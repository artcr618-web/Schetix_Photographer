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7"/>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11" customWidth="1" min="3" max="3"/>
    <col width="62" customWidth="1" min="4" max="4"/>
    <col width="34" customWidth="1" min="5" max="5"/>
  </cols>
  <sheetData>
    <row r="1">
      <c r="A1" s="1" t="inlineStr">
        <is>
          <t>01 · ГЛОССАРИЙ — понятия, типы, обозначения</t>
        </is>
      </c>
    </row>
    <row r="3">
      <c r="A3" s="3" t="inlineStr">
        <is>
          <t>A · МАРКЕРЫ ТИПОВ</t>
        </is>
      </c>
    </row>
    <row r="4">
      <c r="A4" s="4" t="inlineStr">
        <is>
          <t>Наименование</t>
        </is>
      </c>
      <c r="B4" s="4" t="inlineStr">
        <is>
          <t>ID</t>
        </is>
      </c>
      <c r="C4" s="4" t="inlineStr">
        <is>
          <t>Тип</t>
        </is>
      </c>
      <c r="D4" s="4" t="inlineStr">
        <is>
          <t>Описание</t>
        </is>
      </c>
      <c r="E4" s="4" t="inlineStr">
        <is>
          <t>Формула / значение</t>
        </is>
      </c>
    </row>
    <row r="5">
      <c r="A5" s="5" t="inlineStr">
        <is>
          <t>Константа</t>
        </is>
      </c>
      <c r="B5" s="6" t="inlineStr">
        <is>
          <t>const</t>
        </is>
      </c>
      <c r="C5" s="7" t="inlineStr">
        <is>
          <t>meta</t>
        </is>
      </c>
      <c r="D5" s="5" t="inlineStr">
        <is>
          <t>Аксиома из достоверного источника: закон, производственный календарь. Пользователь не меняет</t>
        </is>
      </c>
      <c r="E5" s="5" t="inlineStr">
        <is>
          <t>247 дня, 57 390 ₽</t>
        </is>
      </c>
    </row>
    <row r="6">
      <c r="A6" s="5" t="inlineStr">
        <is>
          <t>Значение по умолчанию</t>
        </is>
      </c>
      <c r="B6" s="6" t="inlineStr">
        <is>
          <t>default</t>
        </is>
      </c>
      <c r="C6" s="7" t="inlineStr">
        <is>
          <t>meta</t>
        </is>
      </c>
      <c r="D6" s="5" t="inlineStr">
        <is>
          <t>Предзаполнено нами, пользователь может изменить</t>
        </is>
      </c>
      <c r="E6" s="5" t="inlineStr">
        <is>
          <t>доход 108 999 ₽</t>
        </is>
      </c>
    </row>
    <row r="7">
      <c r="A7" s="5" t="inlineStr">
        <is>
          <t>Формула</t>
        </is>
      </c>
      <c r="B7" s="6" t="inlineStr">
        <is>
          <t>calc</t>
        </is>
      </c>
      <c r="C7" s="7" t="inlineStr">
        <is>
          <t>meta</t>
        </is>
      </c>
      <c r="D7" s="5" t="inlineStr">
        <is>
          <t>Вычисляется из других величин, ввод недоступен</t>
        </is>
      </c>
      <c r="E7" s="5" t="inlineStr">
        <is>
          <t>net_time-side_time</t>
        </is>
      </c>
    </row>
    <row r="8">
      <c r="A8" s="5" t="inlineStr">
        <is>
          <t>Переключатель</t>
        </is>
      </c>
      <c r="B8" s="6" t="inlineStr">
        <is>
          <t>switch</t>
        </is>
      </c>
      <c r="C8" s="7" t="inlineStr">
        <is>
          <t>meta</t>
        </is>
      </c>
      <c r="D8" s="5" t="inlineStr">
        <is>
          <t>Выпадающий список. Меняет ВЕТКУ расчёта, а не только число</t>
        </is>
      </c>
      <c r="E8" s="5" t="inlineStr">
        <is>
          <t>«Работаю из дома» / «Арендую»</t>
        </is>
      </c>
    </row>
    <row r="9">
      <c r="A9" s="5" t="inlineStr">
        <is>
          <t>Служебное понятие</t>
        </is>
      </c>
      <c r="B9" s="6" t="inlineStr">
        <is>
          <t>meta</t>
        </is>
      </c>
      <c r="C9" s="7" t="inlineStr">
        <is>
          <t>meta</t>
        </is>
      </c>
      <c r="D9" s="5" t="inlineStr">
        <is>
          <t>Описывает устройство реестра, а не предметную область</t>
        </is>
      </c>
      <c r="E9" s="5" t="inlineStr">
        <is>
          <t>block, form, section</t>
        </is>
      </c>
    </row>
    <row r="10">
      <c r="A10" s="5" t="inlineStr">
        <is>
          <t>Тип поля интерфейса</t>
        </is>
      </c>
      <c r="B10" s="6" t="inlineStr">
        <is>
          <t>ui</t>
        </is>
      </c>
      <c r="C10" s="7" t="inlineStr">
        <is>
          <t>meta</t>
        </is>
      </c>
      <c r="D10" s="5" t="inlineStr">
        <is>
          <t>Способ ввода в калькуляторе</t>
        </is>
      </c>
      <c r="E10" s="5" t="inlineStr">
        <is>
          <t>input_number, dropdown</t>
        </is>
      </c>
    </row>
    <row r="11">
      <c r="A11" s="3" t="inlineStr">
        <is>
          <t>B · ВРЕМЯ — иерархия по вашему определению (ГЛАВНОЕ)</t>
        </is>
      </c>
    </row>
    <row r="12">
      <c r="A12" s="4" t="inlineStr">
        <is>
          <t>Наименование</t>
        </is>
      </c>
      <c r="B12" s="4" t="inlineStr">
        <is>
          <t>ID</t>
        </is>
      </c>
      <c r="C12" s="4" t="inlineStr">
        <is>
          <t>Тип</t>
        </is>
      </c>
      <c r="D12" s="4" t="inlineStr">
        <is>
          <t>Описание</t>
        </is>
      </c>
      <c r="E12" s="4" t="inlineStr">
        <is>
          <t>Формула / значение</t>
        </is>
      </c>
    </row>
    <row r="13">
      <c r="A13" s="5" t="inlineStr">
        <is>
          <t>Рабочее время</t>
        </is>
      </c>
      <c r="B13" s="6" t="inlineStr">
        <is>
          <t>work_time</t>
        </is>
      </c>
      <c r="C13" s="7" t="inlineStr">
        <is>
          <t>calc</t>
        </is>
      </c>
      <c r="D13" s="5" t="inlineStr">
        <is>
          <t>Производственный календарь без выходных и праздников. Справочно, в расчёте не участвует</t>
        </is>
      </c>
      <c r="E13" s="5" t="inlineStr">
        <is>
          <t>247 × 8 = 1 976 ч/год</t>
        </is>
      </c>
    </row>
    <row r="14">
      <c r="A14" s="8" t="inlineStr">
        <is>
          <t>ЧИСТОЕ время</t>
        </is>
      </c>
      <c r="B14" s="9" t="inlineStr">
        <is>
          <t>net_time</t>
        </is>
      </c>
      <c r="C14" s="10" t="inlineStr">
        <is>
          <t>calc</t>
        </is>
      </c>
      <c r="D14" s="8" t="inlineStr">
        <is>
          <t>Рабочее минус отпуск, больничный и час в день на перерывы. ВЕРХНИЙ УРОВЕНЬ — всё доступное время</t>
        </is>
      </c>
      <c r="E14" s="8" t="inlineStr">
        <is>
          <t>(247−20−8) × 7 = 1 533 ч/год</t>
        </is>
      </c>
    </row>
    <row r="15">
      <c r="A15" s="11" t="inlineStr">
        <is>
          <t>ОПЕРАЦИОННОЕ время</t>
        </is>
      </c>
      <c r="B15" s="12" t="inlineStr">
        <is>
          <t>side_time</t>
        </is>
      </c>
      <c r="C15" s="13" t="inlineStr">
        <is>
          <t>calc</t>
        </is>
      </c>
      <c r="D15" s="11" t="inlineStr">
        <is>
          <t>Второстепенные операции: продвижение и учёт. Клиенту напрямую не продаётся</t>
        </is>
      </c>
      <c r="E15" s="11" t="inlineStr">
        <is>
          <t>438 + 12 = 450 ч/год</t>
        </is>
      </c>
    </row>
    <row r="16">
      <c r="A16" s="5" t="inlineStr">
        <is>
          <t>Время на заказы до резерва</t>
        </is>
      </c>
      <c r="B16" s="6" t="inlineStr">
        <is>
          <t>pool_gross</t>
        </is>
      </c>
      <c r="C16" s="7" t="inlineStr">
        <is>
          <t>calc</t>
        </is>
      </c>
      <c r="D16" s="5" t="inlineStr">
        <is>
          <t>Чистое минус операционное. Промежуточная величина перед вычетом резерва</t>
        </is>
      </c>
      <c r="E16" s="5" t="inlineStr">
        <is>
          <t>1 533 − 450 = 1 083 ч/год</t>
        </is>
      </c>
    </row>
    <row r="17">
      <c r="A17" s="14" t="inlineStr">
        <is>
          <t>Резерв на форс-мажоры</t>
        </is>
      </c>
      <c r="B17" s="15" t="inlineStr">
        <is>
          <t>fm_time</t>
        </is>
      </c>
      <c r="C17" s="16" t="inlineStr">
        <is>
          <t>calc</t>
        </is>
      </c>
      <c r="D17" s="14" t="inlineStr">
        <is>
          <t>Перенос и отмена съёмок, срывы по вине клиента, повторные выезды. Процент от времени на заказы</t>
        </is>
      </c>
      <c r="E17" s="14" t="inlineStr">
        <is>
          <t>5% × 1 083 = 54,15 ч/год</t>
        </is>
      </c>
    </row>
    <row r="18">
      <c r="A18" s="8" t="inlineStr">
        <is>
          <t>ПРОЕКТНОЕ время за год</t>
        </is>
      </c>
      <c r="B18" s="9" t="inlineStr">
        <is>
          <t>project_pool</t>
        </is>
      </c>
      <c r="C18" s="10" t="inlineStr">
        <is>
          <t>calc</t>
        </is>
      </c>
      <c r="D18" s="8" t="inlineStr">
        <is>
          <t>Всё, что реально остаётся на выполнение проектов. После вычета резерва</t>
        </is>
      </c>
      <c r="E18" s="8" t="inlineStr">
        <is>
          <t>1 083 − 54,15 = 1 028,85 ч/год</t>
        </is>
      </c>
    </row>
    <row r="19">
      <c r="A19" s="11" t="inlineStr">
        <is>
          <t>Проектное время на 1 проект</t>
        </is>
      </c>
      <c r="B19" s="12" t="inlineStr">
        <is>
          <t>project_time</t>
        </is>
      </c>
      <c r="C19" s="13" t="inlineStr">
        <is>
          <t>calc</t>
        </is>
      </c>
      <c r="D19" s="11" t="inlineStr">
        <is>
          <t>Реализация одного заказа: S × (1+коэф.) + 1 час клиента</t>
        </is>
      </c>
      <c r="E19" s="11" t="inlineStr">
        <is>
          <t>6×4 + 1 = 25 ч/проект</t>
        </is>
      </c>
    </row>
    <row r="20">
      <c r="A20" s="8" t="inlineStr">
        <is>
          <t>ПРОФИЛЬНОЕ время</t>
        </is>
      </c>
      <c r="B20" s="9" t="inlineStr">
        <is>
          <t>core_time</t>
        </is>
      </c>
      <c r="C20" s="10" t="inlineStr">
        <is>
          <t>calc</t>
        </is>
      </c>
      <c r="D20" s="8" t="inlineStr">
        <is>
          <t>Работа по профилю: съёмка и обработка ВМЕСТЕ. Равно S × (1+коэф.). БЕЗ клиента</t>
        </is>
      </c>
      <c r="E20" s="8" t="inlineStr">
        <is>
          <t>262,80 + 788,40 = 1 051,20 ч/год</t>
        </is>
      </c>
    </row>
    <row r="21">
      <c r="A21" s="8" t="inlineStr">
        <is>
          <t>СЪЁМОЧНОЕ время (S)</t>
        </is>
      </c>
      <c r="B21" s="9" t="inlineStr">
        <is>
          <t>shooting_time</t>
        </is>
      </c>
      <c r="C21" s="10" t="inlineStr">
        <is>
          <t>calc</t>
        </is>
      </c>
      <c r="D21" s="8" t="inlineStr">
        <is>
          <t>Работа на площадке. Обозначается S. ЦЕЛЬ РАСЧЁТА и знаменатель ставки</t>
        </is>
      </c>
      <c r="E21" s="8" t="inlineStr">
        <is>
          <t>43,80 × 6 = 262,80 ч/год</t>
        </is>
      </c>
    </row>
    <row r="22">
      <c r="A22" s="5" t="inlineStr">
        <is>
          <t>Постпродакшн</t>
        </is>
      </c>
      <c r="B22" s="6" t="inlineStr">
        <is>
          <t>post_time</t>
        </is>
      </c>
      <c r="C22" s="7" t="inlineStr">
        <is>
          <t>calc</t>
        </is>
      </c>
      <c r="D22" s="5" t="inlineStr">
        <is>
          <t>Обработка материала. S × коэффициент на каждый проект</t>
        </is>
      </c>
      <c r="E22" s="5" t="inlineStr">
        <is>
          <t>262,80 × 3 = 788,40 ч/год</t>
        </is>
      </c>
    </row>
    <row r="23">
      <c r="A23" s="5" t="inlineStr">
        <is>
          <t>Работа с клиентом</t>
        </is>
      </c>
      <c r="B23" s="6" t="inlineStr">
        <is>
          <t>client_total</t>
        </is>
      </c>
      <c r="C23" s="7" t="inlineStr">
        <is>
          <t>calc</t>
        </is>
      </c>
      <c r="D23" s="5" t="inlineStr">
        <is>
          <t>Продажа, согласования, организация. 1 час НА КАЖДЫЙ проект: чем короче съёмки, тем больше проектов и тем больше суммарных клиентских часов</t>
        </is>
      </c>
      <c r="E23" s="5" t="inlineStr">
        <is>
          <t>проектов × 1 ч</t>
        </is>
      </c>
    </row>
    <row r="24">
      <c r="A24" s="5" t="inlineStr">
        <is>
          <t>Продвижение</t>
        </is>
      </c>
      <c r="B24" s="6" t="inlineStr">
        <is>
          <t>promo_time</t>
        </is>
      </c>
      <c r="C24" s="7" t="inlineStr">
        <is>
          <t>calc</t>
        </is>
      </c>
      <c r="D24" s="5" t="inlineStr">
        <is>
          <t>Часы на поиск заказов: соцсети, отклики</t>
        </is>
      </c>
      <c r="E24" s="5" t="inlineStr">
        <is>
          <t>2 × 219 = 438 ч/год</t>
        </is>
      </c>
    </row>
    <row r="25">
      <c r="A25" s="5" t="inlineStr">
        <is>
          <t>Учёт и планирование</t>
        </is>
      </c>
      <c r="B25" s="6" t="inlineStr">
        <is>
          <t>accounting_time</t>
        </is>
      </c>
      <c r="C25" s="7" t="inlineStr">
        <is>
          <t>calc</t>
        </is>
      </c>
      <c r="D25" s="5" t="inlineStr">
        <is>
          <t>Часы на бухгалтерию, если ведёте сами. При найме бухгалтера = 0</t>
        </is>
      </c>
      <c r="E25" s="5" t="inlineStr">
        <is>
          <t>3 × 4 = 12 ч/год</t>
        </is>
      </c>
    </row>
    <row r="26">
      <c r="A26" s="14" t="inlineStr">
        <is>
          <t>Коэффициент обработки</t>
        </is>
      </c>
      <c r="B26" s="15" t="inlineStr">
        <is>
          <t>post_ratio</t>
        </is>
      </c>
      <c r="C26" s="16" t="inlineStr">
        <is>
          <t>default</t>
        </is>
      </c>
      <c r="D26" s="14" t="inlineStr">
        <is>
          <t>Часов обработки на 1 час съёмки. По умолчанию 3, пользователь меняет под свой жанр</t>
        </is>
      </c>
      <c r="E26" s="14" t="inlineStr">
        <is>
          <t>3 (свадьба больше, репортаж меньше)</t>
        </is>
      </c>
    </row>
    <row r="27">
      <c r="A27" s="14" t="inlineStr">
        <is>
          <t>Резерв на форс-мажоры</t>
        </is>
      </c>
      <c r="B27" s="15" t="inlineStr">
        <is>
          <t>fm_on</t>
        </is>
      </c>
      <c r="C27" s="16" t="inlineStr">
        <is>
          <t>switch</t>
        </is>
      </c>
      <c r="D27" s="14" t="inlineStr">
        <is>
          <t>Включён по умолчанию, 5%. Поле процента редактируется пользователем</t>
        </is>
      </c>
      <c r="E27" s="14" t="inlineStr">
        <is>
          <t>Заложить / Не закладывать</t>
        </is>
      </c>
    </row>
    <row r="28">
      <c r="A28" s="5" t="inlineStr">
        <is>
          <t>Множитель профильного</t>
        </is>
      </c>
      <c r="B28" s="6" t="inlineStr">
        <is>
          <t>profile_multiplier</t>
        </is>
      </c>
      <c r="C28" s="7" t="inlineStr">
        <is>
          <t>calc</t>
        </is>
      </c>
      <c r="D28" s="5" t="inlineStr">
        <is>
          <t>1 + коэффициент обработки. Во столько раз профильное время больше съёмочного</t>
        </is>
      </c>
      <c r="E28" s="5" t="inlineStr">
        <is>
          <t>1 + 3 = 4</t>
        </is>
      </c>
    </row>
    <row r="29">
      <c r="A29" s="5" t="inlineStr">
        <is>
          <t>Проектов в год</t>
        </is>
      </c>
      <c r="B29" s="6" t="inlineStr">
        <is>
          <t>projects_year</t>
        </is>
      </c>
      <c r="C29" s="7" t="inlineStr">
        <is>
          <t>calc</t>
        </is>
      </c>
      <c r="D29" s="5" t="inlineStr">
        <is>
          <t>Сколько проектов помещается в проектное время</t>
        </is>
      </c>
      <c r="E29" s="5" t="inlineStr">
        <is>
          <t>1 095 / 25 = 43,80 = число недель</t>
        </is>
      </c>
    </row>
    <row r="30">
      <c r="A30" s="3" t="inlineStr">
        <is>
          <t>C · ПРОВЕРКА ИЕРАРХИИ — три равенства, которые всегда верны</t>
        </is>
      </c>
    </row>
    <row r="31">
      <c r="A31" s="4" t="inlineStr">
        <is>
          <t>Наименование</t>
        </is>
      </c>
      <c r="B31" s="4" t="inlineStr">
        <is>
          <t>ID</t>
        </is>
      </c>
      <c r="C31" s="4" t="inlineStr">
        <is>
          <t>Тип</t>
        </is>
      </c>
      <c r="D31" s="4" t="inlineStr">
        <is>
          <t>Описание</t>
        </is>
      </c>
      <c r="E31" s="4" t="inlineStr">
        <is>
          <t>Формула / значение</t>
        </is>
      </c>
    </row>
    <row r="32">
      <c r="A32" s="5" t="inlineStr">
        <is>
          <t>Первый уровень</t>
        </is>
      </c>
      <c r="B32" s="6" t="inlineStr">
        <is>
          <t>—</t>
        </is>
      </c>
      <c r="C32" s="7" t="inlineStr">
        <is>
          <t>meta</t>
        </is>
      </c>
      <c r="D32" s="5" t="inlineStr">
        <is>
          <t>ОПЕРАЦИОННОЕ + РЕЗЕРВ + ПРОЕКТНОЕ = ЧИСТОЕ</t>
        </is>
      </c>
      <c r="E32" s="5" t="inlineStr">
        <is>
          <t>450 + 54,15 + 1 028,85 = 1 533 ✓</t>
        </is>
      </c>
    </row>
    <row r="33">
      <c r="A33" s="5" t="inlineStr">
        <is>
          <t>Второй уровень</t>
        </is>
      </c>
      <c r="B33" s="6" t="inlineStr">
        <is>
          <t>—</t>
        </is>
      </c>
      <c r="C33" s="7" t="inlineStr">
        <is>
          <t>meta</t>
        </is>
      </c>
      <c r="D33" s="5" t="inlineStr">
        <is>
          <t>ПРОФИЛЬНОЕ + работа с клиентом = ПРОЕКТНОЕ</t>
        </is>
      </c>
      <c r="E33" s="5" t="inlineStr">
        <is>
          <t>985,05 + 43,80 = 1 028,85 ✓</t>
        </is>
      </c>
    </row>
    <row r="34">
      <c r="A34" s="5" t="inlineStr">
        <is>
          <t>Третий уровень</t>
        </is>
      </c>
      <c r="B34" s="6" t="inlineStr">
        <is>
          <t>—</t>
        </is>
      </c>
      <c r="C34" s="7" t="inlineStr">
        <is>
          <t>meta</t>
        </is>
      </c>
      <c r="D34" s="5" t="inlineStr">
        <is>
          <t>СЪЁМОЧНОЕ + постпродакшн = ПРОФИЛЬНОЕ</t>
        </is>
      </c>
      <c r="E34" s="5" t="inlineStr">
        <is>
          <t>246,26 + 738,79 = 985,05 ✓</t>
        </is>
      </c>
    </row>
    <row r="35">
      <c r="A35" s="3" t="inlineStr">
        <is>
          <t>D · ПЕРЕКЛЮЧАТЕЛИ — шесть точек выбора пользователя</t>
        </is>
      </c>
    </row>
    <row r="36">
      <c r="A36" s="4" t="inlineStr">
        <is>
          <t>Наименование</t>
        </is>
      </c>
      <c r="B36" s="4" t="inlineStr">
        <is>
          <t>ID</t>
        </is>
      </c>
      <c r="C36" s="4" t="inlineStr">
        <is>
          <t>Тип</t>
        </is>
      </c>
      <c r="D36" s="4" t="inlineStr">
        <is>
          <t>Описание</t>
        </is>
      </c>
      <c r="E36" s="4" t="inlineStr">
        <is>
          <t>Формула / значение</t>
        </is>
      </c>
    </row>
    <row r="37">
      <c r="A37" s="14" t="inlineStr">
        <is>
          <t>Режим налогообложения</t>
        </is>
      </c>
      <c r="B37" s="15" t="inlineStr">
        <is>
          <t>regime</t>
        </is>
      </c>
      <c r="C37" s="16" t="inlineStr">
        <is>
          <t>switch</t>
        </is>
      </c>
      <c r="D37" s="14" t="inlineStr">
        <is>
          <t>Семь вариантов. По умолчанию НПД средняя 5%</t>
        </is>
      </c>
      <c r="E37" s="14" t="inlineStr">
        <is>
          <t>Form015 · Block4</t>
        </is>
      </c>
    </row>
    <row r="38">
      <c r="A38" s="8" t="inlineStr">
        <is>
          <t>Час проектного времени</t>
        </is>
      </c>
      <c r="B38" s="9" t="inlineStr">
        <is>
          <t>hour_pool</t>
        </is>
      </c>
      <c r="C38" s="10" t="inlineStr">
        <is>
          <t>calc</t>
        </is>
      </c>
      <c r="D38" s="8" t="inlineStr">
        <is>
          <t>Выручка / проектное время. ПОСТОЯННАЯ величина: база для сетки объёмных скидок</t>
        </is>
      </c>
      <c r="E38" s="8" t="inlineStr">
        <is>
          <t>2 138 693 / 1 028,85 = 2 079 ₽</t>
        </is>
      </c>
    </row>
    <row r="39">
      <c r="A39" s="14" t="inlineStr">
        <is>
          <t>Рабочее место</t>
        </is>
      </c>
      <c r="B39" s="15" t="inlineStr">
        <is>
          <t>ws_mode</t>
        </is>
      </c>
      <c r="C39" s="16" t="inlineStr">
        <is>
          <t>switch</t>
        </is>
      </c>
      <c r="D39" s="14" t="inlineStr">
        <is>
          <t>Дома — аренда по доле метров плюс коммуналка целиком. Аренда — помещение целиком</t>
        </is>
      </c>
      <c r="E39" s="14" t="inlineStr">
        <is>
          <t>Form005 · Block9</t>
        </is>
      </c>
    </row>
    <row r="40">
      <c r="A40" s="14" t="inlineStr">
        <is>
          <t>Живу в своём</t>
        </is>
      </c>
      <c r="B40" s="15" t="inlineStr">
        <is>
          <t>own_home</t>
        </is>
      </c>
      <c r="C40" s="16" t="inlineStr">
        <is>
          <t>switch</t>
        </is>
      </c>
      <c r="D40" s="14" t="inlineStr">
        <is>
          <t>Если жильё своё и ипотеки нет — плата за жильё обнуляется, коммуналка остаётся</t>
        </is>
      </c>
      <c r="E40" s="14" t="inlineStr">
        <is>
          <t>Form005 · Block9</t>
        </is>
      </c>
    </row>
    <row r="41">
      <c r="A41" s="14" t="inlineStr">
        <is>
          <t>Учёт и планирование</t>
        </is>
      </c>
      <c r="B41" s="15" t="inlineStr">
        <is>
          <t>acc_mode</t>
        </is>
      </c>
      <c r="C41" s="16" t="inlineStr">
        <is>
          <t>switch</t>
        </is>
      </c>
      <c r="D41" s="14" t="inlineStr">
        <is>
          <t>Нанимаю специалиста — расход 120 000 ₽, время 0. Веду самостоятельно — расход 0, время 12 ч</t>
        </is>
      </c>
      <c r="E41" s="14" t="inlineStr">
        <is>
          <t>Form011 · Block14</t>
        </is>
      </c>
    </row>
    <row r="42">
      <c r="A42" s="14" t="inlineStr">
        <is>
          <t>Создание сайта</t>
        </is>
      </c>
      <c r="B42" s="15" t="inlineStr">
        <is>
          <t>site_mode</t>
        </is>
      </c>
      <c r="C42" s="16" t="inlineStr">
        <is>
          <t>switch</t>
        </is>
      </c>
      <c r="D42" s="14" t="inlineStr">
        <is>
          <t>Нанимал — цена подрядчика. Делал сам — часы × полная ставка рабочего часа</t>
        </is>
      </c>
      <c r="E42" s="14" t="inlineStr">
        <is>
          <t>Form014 · Block12</t>
        </is>
      </c>
    </row>
    <row r="43">
      <c r="A43" s="14" t="n"/>
      <c r="B43" s="15" t="n"/>
      <c r="C43" s="16" t="n"/>
      <c r="D43" s="14" t="n"/>
      <c r="E43" s="14" t="n"/>
    </row>
    <row r="44">
      <c r="A44" s="14" t="inlineStr">
        <is>
          <t>Период платежа</t>
        </is>
      </c>
      <c r="B44" s="15" t="inlineStr">
        <is>
          <t>—</t>
        </is>
      </c>
      <c r="C44" s="16" t="inlineStr">
        <is>
          <t>switch</t>
        </is>
      </c>
      <c r="D44" s="14" t="inlineStr">
        <is>
          <t>Год / Квартал / Месяц. Множитель платежей в год: 1 / 4 / 12</t>
        </is>
      </c>
      <c r="E44" s="14" t="inlineStr">
        <is>
          <t>03_Каталоги, столбец «Период»</t>
        </is>
      </c>
    </row>
    <row r="45">
      <c r="A45" s="3" t="inlineStr">
        <is>
          <t>E · ДЕНЬГИ</t>
        </is>
      </c>
    </row>
    <row r="46">
      <c r="A46" s="4" t="inlineStr">
        <is>
          <t>Наименование</t>
        </is>
      </c>
      <c r="B46" s="4" t="inlineStr">
        <is>
          <t>ID</t>
        </is>
      </c>
      <c r="C46" s="4" t="inlineStr">
        <is>
          <t>Тип</t>
        </is>
      </c>
      <c r="D46" s="4" t="inlineStr">
        <is>
          <t>Описание</t>
        </is>
      </c>
      <c r="E46" s="4" t="inlineStr">
        <is>
          <t>Формула / значение</t>
        </is>
      </c>
    </row>
    <row r="47">
      <c r="A47" s="8" t="inlineStr">
        <is>
          <t>Желаемый доход</t>
        </is>
      </c>
      <c r="B47" s="9" t="inlineStr">
        <is>
          <t>target_income</t>
        </is>
      </c>
      <c r="C47" s="10" t="inlineStr">
        <is>
          <t>calc</t>
        </is>
      </c>
      <c r="D47" s="8" t="inlineStr">
        <is>
          <t>Сумма на руки за год. Точка отсчёта всего расчёта</t>
        </is>
      </c>
      <c r="E47" s="8" t="inlineStr">
        <is>
          <t>108 999 × 12 = 1 307 988 ₽</t>
        </is>
      </c>
    </row>
    <row r="48">
      <c r="A48" s="8" t="inlineStr">
        <is>
          <t>Выручка</t>
        </is>
      </c>
      <c r="B48" s="9" t="inlineStr">
        <is>
          <t>revenue</t>
        </is>
      </c>
      <c r="C48" s="10" t="inlineStr">
        <is>
          <t>calc</t>
        </is>
      </c>
      <c r="D48" s="8" t="inlineStr">
        <is>
          <t>Сколько выставить клиентам за год. Главный результат</t>
        </is>
      </c>
      <c r="E48" s="8" t="inlineStr">
        <is>
          <t>04_Расчёт, строка 4</t>
        </is>
      </c>
    </row>
    <row r="49">
      <c r="A49" s="5" t="inlineStr">
        <is>
          <t>Всего расходов</t>
        </is>
      </c>
      <c r="B49" s="6" t="inlineStr">
        <is>
          <t>total_costs</t>
        </is>
      </c>
      <c r="C49" s="7" t="inlineStr">
        <is>
          <t>calc</t>
        </is>
      </c>
      <c r="D49" s="5" t="inlineStr">
        <is>
          <t>Амортизация плюс переменные. Без эквайринга</t>
        </is>
      </c>
      <c r="E49" s="5" t="inlineStr">
        <is>
          <t>C = 786 026 ₽/год</t>
        </is>
      </c>
    </row>
    <row r="50">
      <c r="A50" s="5" t="inlineStr">
        <is>
          <t>Амортизация</t>
        </is>
      </c>
      <c r="B50" s="6" t="inlineStr">
        <is>
          <t>investment</t>
        </is>
      </c>
      <c r="C50" s="7" t="inlineStr">
        <is>
          <t>calc</t>
        </is>
      </c>
      <c r="D50" s="5" t="inlineStr">
        <is>
          <t>Разовые покупки, распределённые по сроку службы</t>
        </is>
      </c>
      <c r="E50" s="5" t="inlineStr">
        <is>
          <t>308 126 ₽/год</t>
        </is>
      </c>
    </row>
    <row r="51">
      <c r="A51" s="5" t="inlineStr">
        <is>
          <t>Переменные расходы</t>
        </is>
      </c>
      <c r="B51" s="6" t="inlineStr">
        <is>
          <t>variable_costs</t>
        </is>
      </c>
      <c r="C51" s="7" t="inlineStr">
        <is>
          <t>calc</t>
        </is>
      </c>
      <c r="D51" s="5" t="inlineStr">
        <is>
          <t>Регулярные платежи за год</t>
        </is>
      </c>
      <c r="E51" s="5" t="inlineStr">
        <is>
          <t>477 900 ₽/год</t>
        </is>
      </c>
    </row>
    <row r="52">
      <c r="A52" s="8" t="inlineStr">
        <is>
          <t>Эквайринг</t>
        </is>
      </c>
      <c r="B52" s="9" t="inlineStr">
        <is>
          <t>acquiring</t>
        </is>
      </c>
      <c r="C52" s="10" t="inlineStr">
        <is>
          <t>calc</t>
        </is>
      </c>
      <c r="D52" s="8" t="inlineStr">
        <is>
          <t>Процент С ОБОРОТА. Не расход — идёт в знаменатель формулы выручки</t>
        </is>
      </c>
      <c r="E52" s="8" t="inlineStr">
        <is>
          <t>2,7%</t>
        </is>
      </c>
    </row>
    <row r="53">
      <c r="A53" s="5" t="inlineStr">
        <is>
          <t>База для выручки</t>
        </is>
      </c>
      <c r="B53" s="6" t="inlineStr">
        <is>
          <t>revenue_base</t>
        </is>
      </c>
      <c r="C53" s="7" t="inlineStr">
        <is>
          <t>calc</t>
        </is>
      </c>
      <c r="D53" s="5" t="inlineStr">
        <is>
          <t>Расходы плюс желаемый доход. Получить ПОСЛЕ всех платежей</t>
        </is>
      </c>
      <c r="E53" s="5" t="inlineStr">
        <is>
          <t>N + C = 2 094 014 ₽</t>
        </is>
      </c>
    </row>
    <row r="54">
      <c r="A54" s="3" t="inlineStr">
        <is>
          <t>F · НАЛОГИ 2026</t>
        </is>
      </c>
    </row>
    <row r="55">
      <c r="A55" s="4" t="inlineStr">
        <is>
          <t>Наименование</t>
        </is>
      </c>
      <c r="B55" s="4" t="inlineStr">
        <is>
          <t>ID</t>
        </is>
      </c>
      <c r="C55" s="4" t="inlineStr">
        <is>
          <t>Тип</t>
        </is>
      </c>
      <c r="D55" s="4" t="inlineStr">
        <is>
          <t>Описание</t>
        </is>
      </c>
      <c r="E55" s="4" t="inlineStr">
        <is>
          <t>Формула / значение</t>
        </is>
      </c>
    </row>
    <row r="56">
      <c r="A56" s="5" t="inlineStr">
        <is>
          <t>НПД</t>
        </is>
      </c>
      <c r="B56" s="6" t="inlineStr">
        <is>
          <t>rate_npd_avg</t>
        </is>
      </c>
      <c r="C56" s="7" t="inlineStr">
        <is>
          <t>default</t>
        </is>
      </c>
      <c r="D56" s="5" t="inlineStr">
        <is>
          <t>Средняя ставка 5% — базовый вариант, работа и с физлицами, и с юрлицами. Взносов нет, лимит 2,4 млн</t>
        </is>
      </c>
      <c r="E56" s="5" t="inlineStr">
        <is>
          <t>4% физлица · 6% юрлица</t>
        </is>
      </c>
    </row>
    <row r="57">
      <c r="A57" s="5" t="inlineStr">
        <is>
          <t>УСН «Доходы»</t>
        </is>
      </c>
      <c r="B57" s="6" t="inlineStr">
        <is>
          <t>rate_usn_inc</t>
        </is>
      </c>
      <c r="C57" s="7" t="inlineStr">
        <is>
          <t>default</t>
        </is>
      </c>
      <c r="D57" s="5" t="inlineStr">
        <is>
          <t>Налог с выручки. Взносы ВЫЧИТАЮТСЯ из налога до нуля</t>
        </is>
      </c>
      <c r="E57" s="5" t="inlineStr">
        <is>
          <t>6%</t>
        </is>
      </c>
    </row>
    <row r="58">
      <c r="A58" s="5" t="inlineStr">
        <is>
          <t>УСН «Д−Р»</t>
        </is>
      </c>
      <c r="B58" s="6" t="inlineStr">
        <is>
          <t>rate_usn_prof</t>
        </is>
      </c>
      <c r="C58" s="7" t="inlineStr">
        <is>
          <t>default</t>
        </is>
      </c>
      <c r="D58" s="5" t="inlineStr">
        <is>
          <t>Налог с прибыли. Взносы уменьшают базу. Минимальный налог 1%</t>
        </is>
      </c>
      <c r="E58" s="5" t="inlineStr">
        <is>
          <t>15%</t>
        </is>
      </c>
    </row>
    <row r="59">
      <c r="A59" s="5" t="inlineStr">
        <is>
          <t>АУСН</t>
        </is>
      </c>
      <c r="B59" s="6" t="inlineStr">
        <is>
          <t>rate_ausn_inc</t>
        </is>
      </c>
      <c r="C59" s="7" t="inlineStr">
        <is>
          <t>const</t>
        </is>
      </c>
      <c r="D59" s="5" t="inlineStr">
        <is>
          <t>Взносы ИП за себя НЕ платятся. Лимит 60 млн</t>
        </is>
      </c>
      <c r="E59" s="5" t="inlineStr">
        <is>
          <t>8% · 20%, мин. налог 3%</t>
        </is>
      </c>
    </row>
    <row r="60">
      <c r="A60" s="5" t="inlineStr">
        <is>
          <t>Фиксированные взносы</t>
        </is>
      </c>
      <c r="B60" s="6" t="inlineStr">
        <is>
          <t>fixed_contrib</t>
        </is>
      </c>
      <c r="C60" s="7" t="inlineStr">
        <is>
          <t>const</t>
        </is>
      </c>
      <c r="D60" s="5" t="inlineStr">
        <is>
          <t>Платит каждый ИП. Срок — 28 декабря</t>
        </is>
      </c>
      <c r="E60" s="5" t="inlineStr">
        <is>
          <t>57 390 ₽/год</t>
        </is>
      </c>
    </row>
    <row r="61">
      <c r="A61" s="5" t="inlineStr">
        <is>
          <t>Дополнительный взнос</t>
        </is>
      </c>
      <c r="B61" s="6" t="inlineStr">
        <is>
          <t>extra_contrib</t>
        </is>
      </c>
      <c r="C61" s="7" t="inlineStr">
        <is>
          <t>const</t>
        </is>
      </c>
      <c r="D61" s="5" t="inlineStr">
        <is>
          <t>1% с дохода свыше порога. Срок — 1 июля следующего года</t>
        </is>
      </c>
      <c r="E61" s="5" t="inlineStr">
        <is>
          <t>1% × (база − 300 000)</t>
        </is>
      </c>
    </row>
    <row r="62">
      <c r="A62" s="5" t="inlineStr">
        <is>
          <t>Предельная величина</t>
        </is>
      </c>
      <c r="B62" s="6" t="inlineStr">
        <is>
          <t>contrib_threshold</t>
        </is>
      </c>
      <c r="C62" s="7" t="inlineStr">
        <is>
          <t>const</t>
        </is>
      </c>
      <c r="D62" s="5" t="inlineStr">
        <is>
          <t>Порог для допвзноса. ЗА ГОД, не за месяц</t>
        </is>
      </c>
      <c r="E62" s="5" t="inlineStr">
        <is>
          <t>300 000 ₽</t>
        </is>
      </c>
    </row>
    <row r="63">
      <c r="A63" s="8" t="inlineStr">
        <is>
          <t>Вычет взносов из налога</t>
        </is>
      </c>
      <c r="B63" s="9" t="inlineStr">
        <is>
          <t>—</t>
        </is>
      </c>
      <c r="C63" s="10" t="inlineStr">
        <is>
          <t>meta</t>
        </is>
      </c>
      <c r="D63" s="8" t="inlineStr">
        <is>
          <t>На УСН «Доходы» взносы уменьшают налог до нуля. Платёж = MAX(налог; взносы), а НЕ сумма</t>
        </is>
      </c>
      <c r="E63" s="8" t="inlineStr">
        <is>
          <t>ключевая механика</t>
        </is>
      </c>
    </row>
    <row r="64">
      <c r="A64" s="3" t="inlineStr">
        <is>
          <t>G · СТАВКИ ЧАСА (все на съёмочный час)</t>
        </is>
      </c>
    </row>
    <row r="65">
      <c r="A65" s="4" t="inlineStr">
        <is>
          <t>Наименование</t>
        </is>
      </c>
      <c r="B65" s="4" t="inlineStr">
        <is>
          <t>ID</t>
        </is>
      </c>
      <c r="C65" s="4" t="inlineStr">
        <is>
          <t>Тип</t>
        </is>
      </c>
      <c r="D65" s="4" t="inlineStr">
        <is>
          <t>Описание</t>
        </is>
      </c>
      <c r="E65" s="4" t="inlineStr">
        <is>
          <t>Формула / значение</t>
        </is>
      </c>
    </row>
    <row r="66">
      <c r="A66" s="17" t="inlineStr">
        <is>
          <t>Наивная ставка</t>
        </is>
      </c>
      <c r="B66" s="18" t="inlineStr">
        <is>
          <t>naive_rate</t>
        </is>
      </c>
      <c r="C66" s="19" t="inlineStr">
        <is>
          <t>calc</t>
        </is>
      </c>
      <c r="D66" s="17" t="inlineStr">
        <is>
          <t>Доход / съёмочные часы. Без расходов и налогов. Демонстрация ошибки</t>
        </is>
      </c>
      <c r="E66" s="17" t="inlineStr">
        <is>
          <t>4 977 ₽/ч</t>
        </is>
      </c>
    </row>
    <row r="67">
      <c r="A67" s="20" t="inlineStr">
        <is>
          <t>Базовая ставка</t>
        </is>
      </c>
      <c r="B67" s="21" t="inlineStr">
        <is>
          <t>base_rate</t>
        </is>
      </c>
      <c r="C67" s="22" t="inlineStr">
        <is>
          <t>calc</t>
        </is>
      </c>
      <c r="D67" s="20" t="inlineStr">
        <is>
          <t>Доход / чистое время. ТОЛЬКО личный доход, без налогов и расходов</t>
        </is>
      </c>
      <c r="E67" s="20" t="inlineStr">
        <is>
          <t>1 307 988 / 1 533 = 853 ₽/ч</t>
        </is>
      </c>
    </row>
    <row r="68">
      <c r="A68" s="20" t="inlineStr">
        <is>
          <t>Текущая ставка</t>
        </is>
      </c>
      <c r="B68" s="21" t="inlineStr">
        <is>
          <t>current_rate</t>
        </is>
      </c>
      <c r="C68" s="22" t="inlineStr">
        <is>
          <t>default</t>
        </is>
      </c>
      <c r="D68" s="20" t="inlineStr">
        <is>
          <t>По которой работаете сейчас. Для блока «Сколько теряете»</t>
        </is>
      </c>
      <c r="E68" s="20" t="inlineStr">
        <is>
          <t>6 000 ₽/ч</t>
        </is>
      </c>
    </row>
    <row r="69">
      <c r="A69" s="11" t="inlineStr">
        <is>
          <t>Операционная ставка</t>
        </is>
      </c>
      <c r="B69" s="12" t="inlineStr">
        <is>
          <t>ops_rate</t>
        </is>
      </c>
      <c r="C69" s="13" t="inlineStr">
        <is>
          <t>calc</t>
        </is>
      </c>
      <c r="D69" s="11" t="inlineStr">
        <is>
          <t>Покрывает доход и расходы, но БЕЗ налога</t>
        </is>
      </c>
      <c r="E69" s="11" t="inlineStr">
        <is>
          <t>(N+C) / 261,41 = 8 011 ₽/ч</t>
        </is>
      </c>
    </row>
    <row r="70">
      <c r="A70" s="8" t="inlineStr">
        <is>
          <t>ПОЛНАЯ ставка</t>
        </is>
      </c>
      <c r="B70" s="9" t="inlineStr">
        <is>
          <t>real_rate</t>
        </is>
      </c>
      <c r="C70" s="10" t="inlineStr">
        <is>
          <t>calc</t>
        </is>
      </c>
      <c r="D70" s="8" t="inlineStr">
        <is>
          <t>Покрывает доход, расходы, налог и эквайринг. ЦЕНА ДЛЯ КЛИЕНТА</t>
        </is>
      </c>
      <c r="E70" s="8" t="inlineStr">
        <is>
          <t>05_Итог, строка 5</t>
        </is>
      </c>
    </row>
    <row r="71">
      <c r="A71" s="5" t="inlineStr">
        <is>
          <t>Точка безубыточности</t>
        </is>
      </c>
      <c r="B71" s="6" t="inlineStr">
        <is>
          <t>breakeven</t>
        </is>
      </c>
      <c r="C71" s="7" t="inlineStr">
        <is>
          <t>calc</t>
        </is>
      </c>
      <c r="D71" s="5" t="inlineStr">
        <is>
          <t>Минимальная выручка при нулевом личном доходе</t>
        </is>
      </c>
      <c r="E71" s="5" t="inlineStr">
        <is>
          <t>подставить N = 0</t>
        </is>
      </c>
    </row>
    <row r="72">
      <c r="A72" s="3" t="inlineStr">
        <is>
          <t>H · ПОЛНЫЙ ПЕРЕЧЕНЬ ПАРАМЕТРОВ — все величины книги, автоматически из 02_Параметры</t>
        </is>
      </c>
    </row>
    <row r="73">
      <c r="A73" s="4" t="inlineStr">
        <is>
          <t>Наименование</t>
        </is>
      </c>
      <c r="B73" s="4" t="inlineStr">
        <is>
          <t>ID</t>
        </is>
      </c>
      <c r="C73" s="4" t="inlineStr">
        <is>
          <t>Тип</t>
        </is>
      </c>
      <c r="D73" s="4" t="inlineStr">
        <is>
          <t>Описание</t>
        </is>
      </c>
      <c r="E73" s="4" t="inlineStr">
        <is>
          <t>Формула / значение</t>
        </is>
      </c>
    </row>
    <row r="74">
      <c r="A74" s="4" t="inlineStr">
        <is>
          <t>1 · Календарь</t>
        </is>
      </c>
      <c r="B74" s="23" t="n"/>
      <c r="C74" s="23" t="n"/>
      <c r="D74" s="23" t="n"/>
      <c r="E74" s="23" t="n"/>
    </row>
    <row r="75">
      <c r="A75" s="5" t="inlineStr">
        <is>
          <t>Всего дней в году</t>
        </is>
      </c>
      <c r="B75" s="6" t="inlineStr">
        <is>
          <t>days_year</t>
        </is>
      </c>
      <c r="C75" s="7" t="inlineStr">
        <is>
          <t>const</t>
        </is>
      </c>
      <c r="D75" s="5" t="inlineStr">
        <is>
          <t>ед.: дн</t>
        </is>
      </c>
      <c r="E75" s="5" t="inlineStr">
        <is>
          <t>365</t>
        </is>
      </c>
    </row>
    <row r="76">
      <c r="A76" s="5" t="inlineStr">
        <is>
          <t>Рабочих дней в году</t>
        </is>
      </c>
      <c r="B76" s="6" t="inlineStr">
        <is>
          <t>work_days</t>
        </is>
      </c>
      <c r="C76" s="7" t="inlineStr">
        <is>
          <t>const</t>
        </is>
      </c>
      <c r="D76" s="5" t="inlineStr">
        <is>
          <t>ед.: дн</t>
        </is>
      </c>
      <c r="E76" s="5" t="inlineStr">
        <is>
          <t>247</t>
        </is>
      </c>
    </row>
    <row r="77">
      <c r="A77" s="5" t="inlineStr">
        <is>
          <t>Рабочих дней в неделю</t>
        </is>
      </c>
      <c r="B77" s="6" t="inlineStr">
        <is>
          <t>days_week</t>
        </is>
      </c>
      <c r="C77" s="7" t="inlineStr">
        <is>
          <t>const</t>
        </is>
      </c>
      <c r="D77" s="5" t="inlineStr">
        <is>
          <t>ед.: дн</t>
        </is>
      </c>
      <c r="E77" s="5" t="inlineStr">
        <is>
          <t>5</t>
        </is>
      </c>
    </row>
    <row r="78">
      <c r="A78" s="5" t="inlineStr">
        <is>
          <t>Месяцев в году</t>
        </is>
      </c>
      <c r="B78" s="6" t="inlineStr">
        <is>
          <t>months</t>
        </is>
      </c>
      <c r="C78" s="7" t="inlineStr">
        <is>
          <t>const</t>
        </is>
      </c>
      <c r="D78" s="5" t="inlineStr">
        <is>
          <t>ед.: мес</t>
        </is>
      </c>
      <c r="E78" s="5" t="inlineStr">
        <is>
          <t>12</t>
        </is>
      </c>
    </row>
    <row r="79">
      <c r="A79" s="5" t="inlineStr">
        <is>
          <t>Кварталов в году</t>
        </is>
      </c>
      <c r="B79" s="6" t="inlineStr">
        <is>
          <t>quarters</t>
        </is>
      </c>
      <c r="C79" s="7" t="inlineStr">
        <is>
          <t>const</t>
        </is>
      </c>
      <c r="D79" s="5" t="inlineStr">
        <is>
          <t>ед.: кв</t>
        </is>
      </c>
      <c r="E79" s="5" t="inlineStr">
        <is>
          <t>4</t>
        </is>
      </c>
    </row>
    <row r="80">
      <c r="A80" s="5" t="inlineStr">
        <is>
          <t>Всего недель в году</t>
        </is>
      </c>
      <c r="B80" s="6" t="inlineStr">
        <is>
          <t>weeks_year</t>
        </is>
      </c>
      <c r="C80" s="7" t="inlineStr">
        <is>
          <t>calc</t>
        </is>
      </c>
      <c r="D80" s="5" t="inlineStr">
        <is>
          <t>ед.: нед · зависит от: days_year</t>
        </is>
      </c>
      <c r="E80" s="5" t="inlineStr">
        <is>
          <t>days_year/7</t>
        </is>
      </c>
    </row>
    <row r="81">
      <c r="A81" s="5" t="inlineStr">
        <is>
          <t>Номинальных часов в дне</t>
        </is>
      </c>
      <c r="B81" s="6" t="inlineStr">
        <is>
          <t>nominal_hours</t>
        </is>
      </c>
      <c r="C81" s="7" t="inlineStr">
        <is>
          <t>const</t>
        </is>
      </c>
      <c r="D81" s="5" t="inlineStr">
        <is>
          <t>ед.: ч</t>
        </is>
      </c>
      <c r="E81" s="5" t="inlineStr">
        <is>
          <t>8</t>
        </is>
      </c>
    </row>
    <row r="82">
      <c r="A82" s="5" t="inlineStr">
        <is>
          <t>Рабочих месяцев в году</t>
        </is>
      </c>
      <c r="B82" s="6" t="inlineStr">
        <is>
          <t>work_months</t>
        </is>
      </c>
      <c r="C82" s="7" t="inlineStr">
        <is>
          <t>const</t>
        </is>
      </c>
      <c r="D82" s="5" t="inlineStr">
        <is>
          <t>ед.: мес</t>
        </is>
      </c>
      <c r="E82" s="5" t="inlineStr">
        <is>
          <t>11</t>
        </is>
      </c>
    </row>
    <row r="83">
      <c r="A83" s="5" t="inlineStr">
        <is>
          <t>Отпуск, календарных дней</t>
        </is>
      </c>
      <c r="B83" s="6" t="inlineStr">
        <is>
          <t>vacation_cal</t>
        </is>
      </c>
      <c r="C83" s="7" t="inlineStr">
        <is>
          <t>const</t>
        </is>
      </c>
      <c r="D83" s="5" t="inlineStr">
        <is>
          <t>ед.: дн</t>
        </is>
      </c>
      <c r="E83" s="5" t="inlineStr">
        <is>
          <t>28</t>
        </is>
      </c>
    </row>
    <row r="84">
      <c r="A84" s="5" t="inlineStr">
        <is>
          <t>Отпуск, рабочих дней</t>
        </is>
      </c>
      <c r="B84" s="6" t="inlineStr">
        <is>
          <t>vacation_work</t>
        </is>
      </c>
      <c r="C84" s="7" t="inlineStr">
        <is>
          <t>const</t>
        </is>
      </c>
      <c r="D84" s="5" t="inlineStr">
        <is>
          <t>ед.: дн</t>
        </is>
      </c>
      <c r="E84" s="5" t="inlineStr">
        <is>
          <t>20</t>
        </is>
      </c>
    </row>
    <row r="85">
      <c r="A85" s="5" t="inlineStr">
        <is>
          <t>Больничный, календарных дней</t>
        </is>
      </c>
      <c r="B85" s="6" t="inlineStr">
        <is>
          <t>sick_cal</t>
        </is>
      </c>
      <c r="C85" s="7" t="inlineStr">
        <is>
          <t>const</t>
        </is>
      </c>
      <c r="D85" s="5" t="inlineStr">
        <is>
          <t>ед.: дн</t>
        </is>
      </c>
      <c r="E85" s="5" t="inlineStr">
        <is>
          <t>10</t>
        </is>
      </c>
    </row>
    <row r="86">
      <c r="A86" s="5" t="inlineStr">
        <is>
          <t>Больничный, рабочих дней</t>
        </is>
      </c>
      <c r="B86" s="6" t="inlineStr">
        <is>
          <t>sick_work</t>
        </is>
      </c>
      <c r="C86" s="7" t="inlineStr">
        <is>
          <t>const</t>
        </is>
      </c>
      <c r="D86" s="5" t="inlineStr">
        <is>
          <t>ед.: дн</t>
        </is>
      </c>
      <c r="E86" s="5" t="inlineStr">
        <is>
          <t>8</t>
        </is>
      </c>
    </row>
    <row r="87">
      <c r="A87" s="5" t="inlineStr">
        <is>
          <t>Чистых (эффективных) часов в дне</t>
        </is>
      </c>
      <c r="B87" s="6" t="inlineStr">
        <is>
          <t>eff_hours</t>
        </is>
      </c>
      <c r="C87" s="7" t="inlineStr">
        <is>
          <t>const</t>
        </is>
      </c>
      <c r="D87" s="5" t="inlineStr">
        <is>
          <t>ед.: ч</t>
        </is>
      </c>
      <c r="E87" s="5" t="inlineStr">
        <is>
          <t>7</t>
        </is>
      </c>
    </row>
    <row r="88">
      <c r="A88" s="4" t="inlineStr">
        <is>
          <t>2 · Время</t>
        </is>
      </c>
      <c r="B88" s="23" t="n"/>
      <c r="C88" s="23" t="n"/>
      <c r="D88" s="23" t="n"/>
      <c r="E88" s="23" t="n"/>
    </row>
    <row r="89">
      <c r="A89" s="5" t="inlineStr">
        <is>
          <t>Рабочее время по календарю</t>
        </is>
      </c>
      <c r="B89" s="6" t="inlineStr">
        <is>
          <t>work_time</t>
        </is>
      </c>
      <c r="C89" s="7" t="inlineStr">
        <is>
          <t>calc</t>
        </is>
      </c>
      <c r="D89" s="5" t="inlineStr">
        <is>
          <t>ед.: ч/год · зависит от: work_days, nominal_hours</t>
        </is>
      </c>
      <c r="E89" s="5" t="inlineStr">
        <is>
          <t>work_days*nominal_hours</t>
        </is>
      </c>
    </row>
    <row r="90">
      <c r="A90" s="5" t="inlineStr">
        <is>
          <t>Чистое рабочее время, дней</t>
        </is>
      </c>
      <c r="B90" s="6" t="inlineStr">
        <is>
          <t>net_days</t>
        </is>
      </c>
      <c r="C90" s="7" t="inlineStr">
        <is>
          <t>calc</t>
        </is>
      </c>
      <c r="D90" s="5" t="inlineStr">
        <is>
          <t>ед.: дн/год · зависит от: work_days, vacation_work, sick_work</t>
        </is>
      </c>
      <c r="E90" s="5" t="inlineStr">
        <is>
          <t>work_days-vacation_work-sick_work</t>
        </is>
      </c>
    </row>
    <row r="91">
      <c r="A91" s="5" t="inlineStr">
        <is>
          <t>ЧИСТОЕ время</t>
        </is>
      </c>
      <c r="B91" s="6" t="inlineStr">
        <is>
          <t>net_time</t>
        </is>
      </c>
      <c r="C91" s="7" t="inlineStr">
        <is>
          <t>calc</t>
        </is>
      </c>
      <c r="D91" s="5" t="inlineStr">
        <is>
          <t>ед.: ч/год · зависит от: net_days, eff_hours</t>
        </is>
      </c>
      <c r="E91" s="5" t="inlineStr">
        <is>
          <t>net_days*eff_hours</t>
        </is>
      </c>
    </row>
    <row r="92">
      <c r="A92" s="5" t="inlineStr">
        <is>
          <t>Чистое время, недель</t>
        </is>
      </c>
      <c r="B92" s="6" t="inlineStr">
        <is>
          <t>net_weeks</t>
        </is>
      </c>
      <c r="C92" s="7" t="inlineStr">
        <is>
          <t>calc</t>
        </is>
      </c>
      <c r="D92" s="5" t="inlineStr">
        <is>
          <t>ед.: нед · зависит от: net_days, days_week</t>
        </is>
      </c>
      <c r="E92" s="5" t="inlineStr">
        <is>
          <t>net_days/days_week</t>
        </is>
      </c>
    </row>
    <row r="93">
      <c r="A93" s="5" t="inlineStr">
        <is>
          <t>Продвижение, часов в день</t>
        </is>
      </c>
      <c r="B93" s="6" t="inlineStr">
        <is>
          <t>promo_per_day</t>
        </is>
      </c>
      <c r="C93" s="7" t="inlineStr">
        <is>
          <t>default</t>
        </is>
      </c>
      <c r="D93" s="5" t="inlineStr">
        <is>
          <t>ед.: ч/дн</t>
        </is>
      </c>
      <c r="E93" s="5" t="inlineStr">
        <is>
          <t>2</t>
        </is>
      </c>
    </row>
    <row r="94">
      <c r="A94" s="5" t="inlineStr">
        <is>
          <t>Продвижение за год</t>
        </is>
      </c>
      <c r="B94" s="6" t="inlineStr">
        <is>
          <t>promo_time</t>
        </is>
      </c>
      <c r="C94" s="7" t="inlineStr">
        <is>
          <t>calc</t>
        </is>
      </c>
      <c r="D94" s="5" t="inlineStr">
        <is>
          <t>ед.: ч/год · зависит от: promo_per_day, net_days</t>
        </is>
      </c>
      <c r="E94" s="5" t="inlineStr">
        <is>
          <t>promo_per_day*net_days</t>
        </is>
      </c>
    </row>
    <row r="95">
      <c r="A95" s="14" t="inlineStr">
        <is>
          <t>ПЕРЕКЛЮЧАТЕЛЬ · учёт и планирование</t>
        </is>
      </c>
      <c r="B95" s="15" t="inlineStr">
        <is>
          <t>acc_mode</t>
        </is>
      </c>
      <c r="C95" s="16" t="inlineStr">
        <is>
          <t>switch</t>
        </is>
      </c>
      <c r="D95" s="14" t="inlineStr"/>
      <c r="E95" s="14" t="inlineStr">
        <is>
          <t>Веду самостоятельно</t>
        </is>
      </c>
    </row>
    <row r="96">
      <c r="A96" s="5" t="inlineStr">
        <is>
          <t>Учёт: часов в квартал, если веду сам</t>
        </is>
      </c>
      <c r="B96" s="6" t="inlineStr">
        <is>
          <t>acc_per_quarter</t>
        </is>
      </c>
      <c r="C96" s="7" t="inlineStr">
        <is>
          <t>default</t>
        </is>
      </c>
      <c r="D96" s="5" t="inlineStr">
        <is>
          <t>ед.: ч/кв</t>
        </is>
      </c>
      <c r="E96" s="5" t="inlineStr">
        <is>
          <t>3</t>
        </is>
      </c>
    </row>
    <row r="97">
      <c r="A97" s="5" t="inlineStr">
        <is>
          <t>Учёт и планирование, время</t>
        </is>
      </c>
      <c r="B97" s="6" t="inlineStr">
        <is>
          <t>accounting_time</t>
        </is>
      </c>
      <c r="C97" s="7" t="inlineStr">
        <is>
          <t>calc</t>
        </is>
      </c>
      <c r="D97" s="5" t="inlineStr">
        <is>
          <t>ед.: ч/год · зависит от: acc_mode, acc_per_quarter, quarters</t>
        </is>
      </c>
      <c r="E97" s="5" t="inlineStr">
        <is>
          <t>IF(acc_mode="Веду самостоятельно",acc_per_quarter*quarters,0)</t>
        </is>
      </c>
    </row>
    <row r="98">
      <c r="A98" s="5" t="inlineStr">
        <is>
          <t>ОПЕРАЦИОННОЕ время</t>
        </is>
      </c>
      <c r="B98" s="6" t="inlineStr">
        <is>
          <t>side_time</t>
        </is>
      </c>
      <c r="C98" s="7" t="inlineStr">
        <is>
          <t>calc</t>
        </is>
      </c>
      <c r="D98" s="5" t="inlineStr">
        <is>
          <t>ед.: ч/год · зависит от: promo_time, accounting_time</t>
        </is>
      </c>
      <c r="E98" s="5" t="inlineStr">
        <is>
          <t>promo_time+accounting_time</t>
        </is>
      </c>
    </row>
    <row r="99">
      <c r="A99" s="5" t="inlineStr">
        <is>
          <t>ПРОЕКТНОЕ время за год</t>
        </is>
      </c>
      <c r="B99" s="6" t="inlineStr">
        <is>
          <t>project_pool</t>
        </is>
      </c>
      <c r="C99" s="7" t="inlineStr">
        <is>
          <t>calc</t>
        </is>
      </c>
      <c r="D99" s="5" t="inlineStr">
        <is>
          <t>ед.: ч/год · зависит от: pool_gross, fm_time</t>
        </is>
      </c>
      <c r="E99" s="5" t="inlineStr">
        <is>
          <t>pool_gross-fm_time</t>
        </is>
      </c>
    </row>
    <row r="100">
      <c r="A100" s="4" t="inlineStr">
        <is>
          <t>3 · Проект</t>
        </is>
      </c>
      <c r="B100" s="23" t="n"/>
      <c r="C100" s="23" t="n"/>
      <c r="D100" s="23" t="n"/>
      <c r="E100" s="23" t="n"/>
    </row>
    <row r="101">
      <c r="A101" s="5" t="inlineStr">
        <is>
          <t>Коэффициент обработки</t>
        </is>
      </c>
      <c r="B101" s="6" t="inlineStr">
        <is>
          <t>post_ratio</t>
        </is>
      </c>
      <c r="C101" s="7" t="inlineStr">
        <is>
          <t>default</t>
        </is>
      </c>
      <c r="D101" s="5" t="inlineStr">
        <is>
          <t>ед.: ×</t>
        </is>
      </c>
      <c r="E101" s="5" t="inlineStr">
        <is>
          <t>3</t>
        </is>
      </c>
    </row>
    <row r="102">
      <c r="A102" s="5" t="inlineStr">
        <is>
          <t>Множитель профильного времени</t>
        </is>
      </c>
      <c r="B102" s="6" t="inlineStr">
        <is>
          <t>profile_multiplier</t>
        </is>
      </c>
      <c r="C102" s="7" t="inlineStr">
        <is>
          <t>calc</t>
        </is>
      </c>
      <c r="D102" s="5" t="inlineStr">
        <is>
          <t>ед.: × · зависит от: post_ratio</t>
        </is>
      </c>
      <c r="E102" s="5" t="inlineStr">
        <is>
          <t>1+post_ratio</t>
        </is>
      </c>
    </row>
    <row r="103">
      <c r="A103" s="5" t="inlineStr">
        <is>
          <t>Работа с клиентом на проект</t>
        </is>
      </c>
      <c r="B103" s="6" t="inlineStr">
        <is>
          <t>client_time</t>
        </is>
      </c>
      <c r="C103" s="7" t="inlineStr">
        <is>
          <t>default</t>
        </is>
      </c>
      <c r="D103" s="5" t="inlineStr">
        <is>
          <t>ед.: ч/проект</t>
        </is>
      </c>
      <c r="E103" s="5" t="inlineStr">
        <is>
          <t>1</t>
        </is>
      </c>
    </row>
    <row r="104">
      <c r="A104" s="5" t="inlineStr">
        <is>
          <t>Целевых проектов в неделю</t>
        </is>
      </c>
      <c r="B104" s="6" t="inlineStr">
        <is>
          <t>week_target</t>
        </is>
      </c>
      <c r="C104" s="7" t="inlineStr">
        <is>
          <t>default</t>
        </is>
      </c>
      <c r="D104" s="5" t="inlineStr">
        <is>
          <t>ед.: шт/нед</t>
        </is>
      </c>
      <c r="E104" s="5" t="inlineStr">
        <is>
          <t>1</t>
        </is>
      </c>
    </row>
    <row r="105">
      <c r="A105" s="5" t="inlineStr">
        <is>
          <t>Максимальная съёмка при целевом темпе</t>
        </is>
      </c>
      <c r="B105" s="6" t="inlineStr">
        <is>
          <t>shoot_auto</t>
        </is>
      </c>
      <c r="C105" s="7" t="inlineStr">
        <is>
          <t>calc</t>
        </is>
      </c>
      <c r="D105" s="5" t="inlineStr">
        <is>
          <t>ед.: ч · зависит от: project_pool, net_weeks, week_target, client_time, profile_multiplier</t>
        </is>
      </c>
      <c r="E105" s="5" t="inlineStr">
        <is>
          <t>IF(profile_multiplier*week_target=0,0,(project_pool/net_weeks/week_target-client_time)/profile_multiplier)</t>
        </is>
      </c>
    </row>
    <row r="106">
      <c r="A106" s="5" t="inlineStr">
        <is>
          <t>ТИПОВАЯ продолжительность съёмки (S)</t>
        </is>
      </c>
      <c r="B106" s="6" t="inlineStr">
        <is>
          <t>shoot_duration</t>
        </is>
      </c>
      <c r="C106" s="7" t="inlineStr">
        <is>
          <t>default</t>
        </is>
      </c>
      <c r="D106" s="5" t="inlineStr">
        <is>
          <t>ед.: ч</t>
        </is>
      </c>
      <c r="E106" s="5" t="inlineStr">
        <is>
          <t>2</t>
        </is>
      </c>
    </row>
    <row r="107">
      <c r="A107" s="5" t="inlineStr">
        <is>
          <t>Стоимость часа проектного времени</t>
        </is>
      </c>
      <c r="B107" s="6" t="inlineStr">
        <is>
          <t>hour_pool</t>
        </is>
      </c>
      <c r="C107" s="7" t="inlineStr">
        <is>
          <t>calc</t>
        </is>
      </c>
      <c r="D107" s="5" t="inlineStr">
        <is>
          <t>ед.: ₽/ч · зависит от: выручка, project_pool</t>
        </is>
      </c>
      <c r="E107" s="5" t="inlineStr">
        <is>
          <t>IF(project_pool=0,0,CHOOSE(regime_no,'05_Расчёт'!B4,'05_Расчёт'!C4,'05_Расчёт'!D4,'05_Расчёт'!E4,'05_Расчёт'!F4,'05_Расчёт'!G4,'05_Расчёт'!H4)/project_pool)</t>
        </is>
      </c>
    </row>
    <row r="108">
      <c r="A108" s="5" t="inlineStr">
        <is>
          <t>ПРОЕКТНОЕ время на 1 проект</t>
        </is>
      </c>
      <c r="B108" s="6" t="inlineStr">
        <is>
          <t>project_time</t>
        </is>
      </c>
      <c r="C108" s="7" t="inlineStr">
        <is>
          <t>calc</t>
        </is>
      </c>
      <c r="D108" s="5" t="inlineStr">
        <is>
          <t>ед.: ч/проект · зависит от: shoot_duration, profile_multiplier, client_time</t>
        </is>
      </c>
      <c r="E108" s="5" t="inlineStr">
        <is>
          <t>shoot_duration*profile_multiplier+client_time</t>
        </is>
      </c>
    </row>
    <row r="109">
      <c r="A109" s="5" t="inlineStr">
        <is>
          <t>Проектов в год</t>
        </is>
      </c>
      <c r="B109" s="6" t="inlineStr">
        <is>
          <t>projects_year</t>
        </is>
      </c>
      <c r="C109" s="7" t="inlineStr">
        <is>
          <t>calc</t>
        </is>
      </c>
      <c r="D109" s="5" t="inlineStr">
        <is>
          <t>ед.: шт/год · зависит от: project_pool, project_time</t>
        </is>
      </c>
      <c r="E109" s="5" t="inlineStr">
        <is>
          <t>IF(project_time=0,0,project_pool/project_time)</t>
        </is>
      </c>
    </row>
    <row r="110">
      <c r="A110" s="5" t="inlineStr">
        <is>
          <t>Проектов в месяц</t>
        </is>
      </c>
      <c r="B110" s="6" t="inlineStr">
        <is>
          <t>projects_month</t>
        </is>
      </c>
      <c r="C110" s="7" t="inlineStr">
        <is>
          <t>calc</t>
        </is>
      </c>
      <c r="D110" s="5" t="inlineStr">
        <is>
          <t>ед.: шт/мес · зависит от: projects_year, months</t>
        </is>
      </c>
      <c r="E110" s="5" t="inlineStr">
        <is>
          <t>projects_year/months</t>
        </is>
      </c>
    </row>
    <row r="111">
      <c r="A111" s="5" t="inlineStr">
        <is>
          <t>Проектов в неделю</t>
        </is>
      </c>
      <c r="B111" s="6" t="inlineStr">
        <is>
          <t>projects_week</t>
        </is>
      </c>
      <c r="C111" s="7" t="inlineStr">
        <is>
          <t>calc</t>
        </is>
      </c>
      <c r="D111" s="5" t="inlineStr">
        <is>
          <t>ед.: шт/нед · зависит от: projects_year, net_weeks</t>
        </is>
      </c>
      <c r="E111" s="5" t="inlineStr">
        <is>
          <t>projects_year/net_weeks</t>
        </is>
      </c>
    </row>
    <row r="112">
      <c r="A112" s="5" t="inlineStr">
        <is>
          <t>СЪЁМОЧНОЕ время</t>
        </is>
      </c>
      <c r="B112" s="6" t="inlineStr">
        <is>
          <t>shooting_time</t>
        </is>
      </c>
      <c r="C112" s="7" t="inlineStr">
        <is>
          <t>calc</t>
        </is>
      </c>
      <c r="D112" s="5" t="inlineStr">
        <is>
          <t>ед.: ч/год · зависит от: projects_year, shoot_duration</t>
        </is>
      </c>
      <c r="E112" s="5" t="inlineStr">
        <is>
          <t>projects_year*shoot_duration</t>
        </is>
      </c>
    </row>
    <row r="113">
      <c r="A113" s="5" t="inlineStr">
        <is>
          <t>Съёмочное время в месяц</t>
        </is>
      </c>
      <c r="B113" s="6" t="inlineStr">
        <is>
          <t>shooting_month</t>
        </is>
      </c>
      <c r="C113" s="7" t="inlineStr">
        <is>
          <t>calc</t>
        </is>
      </c>
      <c r="D113" s="5" t="inlineStr">
        <is>
          <t>ед.: ч/мес · зависит от: shooting_time, months</t>
        </is>
      </c>
      <c r="E113" s="5" t="inlineStr">
        <is>
          <t>shooting_time/months</t>
        </is>
      </c>
    </row>
    <row r="114">
      <c r="A114" s="5" t="inlineStr">
        <is>
          <t>Съёмочное время в неделю</t>
        </is>
      </c>
      <c r="B114" s="6" t="inlineStr">
        <is>
          <t>shooting_week</t>
        </is>
      </c>
      <c r="C114" s="7" t="inlineStr">
        <is>
          <t>calc</t>
        </is>
      </c>
      <c r="D114" s="5" t="inlineStr">
        <is>
          <t>ед.: ч/нед · зависит от: shooting_time, net_weeks</t>
        </is>
      </c>
      <c r="E114" s="5" t="inlineStr">
        <is>
          <t>shooting_time/net_weeks</t>
        </is>
      </c>
    </row>
    <row r="115">
      <c r="A115" s="5" t="inlineStr">
        <is>
          <t>Постпродакшн за год</t>
        </is>
      </c>
      <c r="B115" s="6" t="inlineStr">
        <is>
          <t>post_time</t>
        </is>
      </c>
      <c r="C115" s="7" t="inlineStr">
        <is>
          <t>calc</t>
        </is>
      </c>
      <c r="D115" s="5" t="inlineStr">
        <is>
          <t>ед.: ч/год · зависит от: shooting_time, post_ratio</t>
        </is>
      </c>
      <c r="E115" s="5" t="inlineStr">
        <is>
          <t>shooting_time*post_ratio</t>
        </is>
      </c>
    </row>
    <row r="116">
      <c r="A116" s="5" t="inlineStr">
        <is>
          <t>ПРОФИЛЬНОЕ время</t>
        </is>
      </c>
      <c r="B116" s="6" t="inlineStr">
        <is>
          <t>core_time</t>
        </is>
      </c>
      <c r="C116" s="7" t="inlineStr">
        <is>
          <t>calc</t>
        </is>
      </c>
      <c r="D116" s="5" t="inlineStr">
        <is>
          <t>ед.: ч/год · зависит от: shooting_time, profile_multiplier</t>
        </is>
      </c>
      <c r="E116" s="5" t="inlineStr">
        <is>
          <t>shooting_time*profile_multiplier</t>
        </is>
      </c>
    </row>
    <row r="117">
      <c r="A117" s="5" t="inlineStr">
        <is>
          <t>Работа с клиентом за год</t>
        </is>
      </c>
      <c r="B117" s="6" t="inlineStr">
        <is>
          <t>client_total</t>
        </is>
      </c>
      <c r="C117" s="7" t="inlineStr">
        <is>
          <t>calc</t>
        </is>
      </c>
      <c r="D117" s="5" t="inlineStr">
        <is>
          <t>ед.: ч/год · зависит от: projects_year, client_time</t>
        </is>
      </c>
      <c r="E117" s="5" t="inlineStr">
        <is>
          <t>projects_year*client_time</t>
        </is>
      </c>
    </row>
    <row r="118">
      <c r="A118" s="5" t="inlineStr">
        <is>
          <t>Операционных часов на час съёмки</t>
        </is>
      </c>
      <c r="B118" s="6" t="inlineStr">
        <is>
          <t>ops_per_shoot</t>
        </is>
      </c>
      <c r="C118" s="7" t="inlineStr">
        <is>
          <t>calc</t>
        </is>
      </c>
      <c r="D118" s="5" t="inlineStr">
        <is>
          <t>ед.: ч · зависит от: side_time, shooting_time</t>
        </is>
      </c>
      <c r="E118" s="5" t="inlineStr">
        <is>
          <t>IF(shooting_time=0,0,side_time/shooting_time)</t>
        </is>
      </c>
    </row>
    <row r="119">
      <c r="A119" s="4" t="inlineStr">
        <is>
          <t>4 · Доход</t>
        </is>
      </c>
      <c r="B119" s="23" t="n"/>
      <c r="C119" s="23" t="n"/>
      <c r="D119" s="23" t="n"/>
      <c r="E119" s="23" t="n"/>
    </row>
    <row r="120">
      <c r="A120" s="5" t="inlineStr">
        <is>
          <t>Желаемый доход на руки</t>
        </is>
      </c>
      <c r="B120" s="6" t="inlineStr">
        <is>
          <t>income_month</t>
        </is>
      </c>
      <c r="C120" s="7" t="inlineStr">
        <is>
          <t>default</t>
        </is>
      </c>
      <c r="D120" s="5" t="inlineStr">
        <is>
          <t>ед.: ₽/мес</t>
        </is>
      </c>
      <c r="E120" s="5" t="inlineStr">
        <is>
          <t>108999</t>
        </is>
      </c>
    </row>
    <row r="121">
      <c r="A121" s="5" t="inlineStr">
        <is>
          <t>Желаемый доход за год</t>
        </is>
      </c>
      <c r="B121" s="6" t="inlineStr">
        <is>
          <t>target_income</t>
        </is>
      </c>
      <c r="C121" s="7" t="inlineStr">
        <is>
          <t>calc</t>
        </is>
      </c>
      <c r="D121" s="5" t="inlineStr">
        <is>
          <t>ед.: ₽/год · зависит от: income_month, months</t>
        </is>
      </c>
      <c r="E121" s="5" t="inlineStr">
        <is>
          <t>income_month*months</t>
        </is>
      </c>
    </row>
    <row r="122">
      <c r="A122" s="5" t="inlineStr">
        <is>
          <t>Текущая ставка часа</t>
        </is>
      </c>
      <c r="B122" s="6" t="inlineStr">
        <is>
          <t>current_rate</t>
        </is>
      </c>
      <c r="C122" s="7" t="inlineStr">
        <is>
          <t>default</t>
        </is>
      </c>
      <c r="D122" s="5" t="inlineStr">
        <is>
          <t>ед.: ₽/ч</t>
        </is>
      </c>
      <c r="E122" s="5" t="inlineStr">
        <is>
          <t>6000</t>
        </is>
      </c>
    </row>
    <row r="123">
      <c r="A123" s="4" t="inlineStr">
        <is>
          <t>5 · Рабочее место</t>
        </is>
      </c>
      <c r="B123" s="23" t="n"/>
      <c r="C123" s="23" t="n"/>
      <c r="D123" s="23" t="n"/>
      <c r="E123" s="23" t="n"/>
    </row>
    <row r="124">
      <c r="A124" s="14" t="inlineStr">
        <is>
          <t>ПЕРЕКЛЮЧАТЕЛЬ · рабочее место</t>
        </is>
      </c>
      <c r="B124" s="15" t="inlineStr">
        <is>
          <t>ws_mode</t>
        </is>
      </c>
      <c r="C124" s="16" t="inlineStr">
        <is>
          <t>switch</t>
        </is>
      </c>
      <c r="D124" s="14" t="inlineStr"/>
      <c r="E124" s="14" t="inlineStr">
        <is>
          <t>Работаю из дома</t>
        </is>
      </c>
    </row>
    <row r="125">
      <c r="A125" s="14" t="inlineStr">
        <is>
          <t>ДОМА · живу в своём, ипотеки нет</t>
        </is>
      </c>
      <c r="B125" s="15" t="inlineStr">
        <is>
          <t>own_home</t>
        </is>
      </c>
      <c r="C125" s="16" t="inlineStr">
        <is>
          <t>switch</t>
        </is>
      </c>
      <c r="D125" s="14" t="inlineStr"/>
      <c r="E125" s="14" t="inlineStr">
        <is>
          <t>нет</t>
        </is>
      </c>
    </row>
    <row r="126">
      <c r="A126" s="5" t="inlineStr">
        <is>
          <t>ДОМА · аренда или ипотека</t>
        </is>
      </c>
      <c r="B126" s="6" t="inlineStr">
        <is>
          <t>home_rent</t>
        </is>
      </c>
      <c r="C126" s="7" t="inlineStr">
        <is>
          <t>default</t>
        </is>
      </c>
      <c r="D126" s="5" t="inlineStr">
        <is>
          <t>ед.: ₽/мес</t>
        </is>
      </c>
      <c r="E126" s="5" t="inlineStr">
        <is>
          <t>40000</t>
        </is>
      </c>
    </row>
    <row r="127">
      <c r="A127" s="5" t="inlineStr">
        <is>
          <t>ДОМА · коммунальные и связь</t>
        </is>
      </c>
      <c r="B127" s="6" t="inlineStr">
        <is>
          <t>home_util</t>
        </is>
      </c>
      <c r="C127" s="7" t="inlineStr">
        <is>
          <t>default</t>
        </is>
      </c>
      <c r="D127" s="5" t="inlineStr">
        <is>
          <t>ед.: ₽/мес</t>
        </is>
      </c>
      <c r="E127" s="5" t="inlineStr">
        <is>
          <t>7000</t>
        </is>
      </c>
    </row>
    <row r="128">
      <c r="A128" s="5" t="inlineStr">
        <is>
          <t>ДОМА · общая площадь жилья</t>
        </is>
      </c>
      <c r="B128" s="6" t="inlineStr">
        <is>
          <t>home_area</t>
        </is>
      </c>
      <c r="C128" s="7" t="inlineStr">
        <is>
          <t>default</t>
        </is>
      </c>
      <c r="D128" s="5" t="inlineStr">
        <is>
          <t>ед.: м²</t>
        </is>
      </c>
      <c r="E128" s="5" t="inlineStr">
        <is>
          <t>50</t>
        </is>
      </c>
    </row>
    <row r="129">
      <c r="A129" s="5" t="inlineStr">
        <is>
          <t>ДОМА · площадь под кабинет</t>
        </is>
      </c>
      <c r="B129" s="6" t="inlineStr">
        <is>
          <t>cab_area</t>
        </is>
      </c>
      <c r="C129" s="7" t="inlineStr">
        <is>
          <t>default</t>
        </is>
      </c>
      <c r="D129" s="5" t="inlineStr">
        <is>
          <t>ед.: м²</t>
        </is>
      </c>
      <c r="E129" s="5" t="inlineStr">
        <is>
          <t>6</t>
        </is>
      </c>
    </row>
    <row r="130">
      <c r="A130" s="5" t="inlineStr">
        <is>
          <t>ДОМА · доля кабинета</t>
        </is>
      </c>
      <c r="B130" s="6" t="inlineStr">
        <is>
          <t>cab_share</t>
        </is>
      </c>
      <c r="C130" s="7" t="inlineStr">
        <is>
          <t>calc</t>
        </is>
      </c>
      <c r="D130" s="5" t="inlineStr">
        <is>
          <t>ед.: % · зависит от: cab_area, home_area</t>
        </is>
      </c>
      <c r="E130" s="5" t="inlineStr">
        <is>
          <t>IF(home_area=0,0,cab_area/home_area)</t>
        </is>
      </c>
    </row>
    <row r="131">
      <c r="A131" s="5" t="inlineStr">
        <is>
          <t>АРЕНДА · стоимость помещения</t>
        </is>
      </c>
      <c r="B131" s="6" t="inlineStr">
        <is>
          <t>office_rent</t>
        </is>
      </c>
      <c r="C131" s="7" t="inlineStr">
        <is>
          <t>default</t>
        </is>
      </c>
      <c r="D131" s="5" t="inlineStr">
        <is>
          <t>ед.: ₽/мес</t>
        </is>
      </c>
      <c r="E131" s="5" t="inlineStr">
        <is>
          <t>15000</t>
        </is>
      </c>
    </row>
    <row r="132">
      <c r="A132" s="5" t="inlineStr">
        <is>
          <t>АРЕНДА · коммунальные и связь</t>
        </is>
      </c>
      <c r="B132" s="6" t="inlineStr">
        <is>
          <t>office_util</t>
        </is>
      </c>
      <c r="C132" s="7" t="inlineStr">
        <is>
          <t>default</t>
        </is>
      </c>
      <c r="D132" s="5" t="inlineStr">
        <is>
          <t>ед.: ₽/мес</t>
        </is>
      </c>
      <c r="E132" s="5" t="inlineStr">
        <is>
          <t>7000</t>
        </is>
      </c>
    </row>
    <row r="133">
      <c r="A133" s="5" t="inlineStr">
        <is>
          <t>Содержание рабочего места</t>
        </is>
      </c>
      <c r="B133" s="6" t="inlineStr">
        <is>
          <t>var_workspace</t>
        </is>
      </c>
      <c r="C133" s="7" t="inlineStr">
        <is>
          <t>calc</t>
        </is>
      </c>
      <c r="D133" s="5" t="inlineStr">
        <is>
          <t>ед.: ₽/год · зависит от: ws_mode, home_rent, cab_share, home_util, office_rent, office_util</t>
        </is>
      </c>
      <c r="E133" s="5" t="inlineStr">
        <is>
          <t>IF(ws_mode="Работаю из дома",(home_rent+home_util)*cab_share*months,(office_rent+office_util)*months)</t>
        </is>
      </c>
    </row>
    <row r="134">
      <c r="A134" s="4" t="inlineStr">
        <is>
          <t>6 · Обучение и сайт</t>
        </is>
      </c>
      <c r="B134" s="23" t="n"/>
      <c r="C134" s="23" t="n"/>
      <c r="D134" s="23" t="n"/>
      <c r="E134" s="23" t="n"/>
    </row>
    <row r="135">
      <c r="A135" s="5" t="inlineStr">
        <is>
          <t>Обучение · стоимость курса</t>
        </is>
      </c>
      <c r="B135" s="6" t="inlineStr">
        <is>
          <t>edu_cost</t>
        </is>
      </c>
      <c r="C135" s="7" t="inlineStr">
        <is>
          <t>default</t>
        </is>
      </c>
      <c r="D135" s="5" t="inlineStr">
        <is>
          <t>ед.: ₽</t>
        </is>
      </c>
      <c r="E135" s="5" t="inlineStr">
        <is>
          <t>80000</t>
        </is>
      </c>
    </row>
    <row r="136">
      <c r="A136" s="5" t="inlineStr">
        <is>
          <t>Обучение · месяцев без дохода</t>
        </is>
      </c>
      <c r="B136" s="6" t="inlineStr">
        <is>
          <t>edu_months</t>
        </is>
      </c>
      <c r="C136" s="7" t="inlineStr">
        <is>
          <t>default</t>
        </is>
      </c>
      <c r="D136" s="5" t="inlineStr">
        <is>
          <t>ед.: мес</t>
        </is>
      </c>
      <c r="E136" s="5" t="inlineStr">
        <is>
          <t>4</t>
        </is>
      </c>
    </row>
    <row r="137">
      <c r="A137" s="5" t="inlineStr">
        <is>
          <t>Обучение · срок амортизации</t>
        </is>
      </c>
      <c r="B137" s="6" t="inlineStr">
        <is>
          <t>edu_life</t>
        </is>
      </c>
      <c r="C137" s="7" t="inlineStr">
        <is>
          <t>default</t>
        </is>
      </c>
      <c r="D137" s="5" t="inlineStr">
        <is>
          <t>ед.: лет</t>
        </is>
      </c>
      <c r="E137" s="5" t="inlineStr">
        <is>
          <t>7</t>
        </is>
      </c>
    </row>
    <row r="138">
      <c r="A138" s="14" t="n"/>
      <c r="B138" s="15" t="n"/>
      <c r="C138" s="16" t="n"/>
      <c r="D138" s="14" t="n"/>
      <c r="E138" s="14" t="n"/>
    </row>
    <row r="139">
      <c r="A139" s="5" t="inlineStr">
        <is>
          <t>Обучение · упущенная выгода</t>
        </is>
      </c>
      <c r="B139" s="6" t="inlineStr">
        <is>
          <t>edu_opportunity</t>
        </is>
      </c>
      <c r="C139" s="7" t="inlineStr">
        <is>
          <t>calc</t>
        </is>
      </c>
      <c r="D139" s="5" t="inlineStr">
        <is>
          <t>ед.: ₽ · зависит от: edu_months, income_month</t>
        </is>
      </c>
      <c r="E139" s="5" t="inlineStr">
        <is>
          <t>edu_months*income_month</t>
        </is>
      </c>
    </row>
    <row r="140">
      <c r="A140" s="5" t="inlineStr">
        <is>
          <t>Амортизация · обучение</t>
        </is>
      </c>
      <c r="B140" s="6" t="inlineStr">
        <is>
          <t>dep_education</t>
        </is>
      </c>
      <c r="C140" s="7" t="inlineStr">
        <is>
          <t>calc</t>
        </is>
      </c>
      <c r="D140" s="5" t="inlineStr">
        <is>
          <t>ед.: ₽/год · зависит от: edu_cost, edu_opportunity, edu_life</t>
        </is>
      </c>
      <c r="E140" s="5" t="inlineStr">
        <is>
          <t>IF(edu_life=0,0,(edu_cost+edu_opportunity)/edu_life)</t>
        </is>
      </c>
    </row>
    <row r="141">
      <c r="A141" s="14" t="inlineStr">
        <is>
          <t>ПЕРЕКЛЮЧАТЕЛЬ · создание сайта</t>
        </is>
      </c>
      <c r="B141" s="15" t="inlineStr">
        <is>
          <t>site_mode</t>
        </is>
      </c>
      <c r="C141" s="16" t="inlineStr">
        <is>
          <t>switch</t>
        </is>
      </c>
      <c r="D141" s="14" t="inlineStr"/>
      <c r="E141" s="14" t="inlineStr">
        <is>
          <t>Нанимал (а) специалиста</t>
        </is>
      </c>
    </row>
    <row r="142">
      <c r="A142" s="5" t="inlineStr">
        <is>
          <t>Сайт · стоимость подрядчика</t>
        </is>
      </c>
      <c r="B142" s="6" t="inlineStr">
        <is>
          <t>site_cost</t>
        </is>
      </c>
      <c r="C142" s="7" t="inlineStr">
        <is>
          <t>default</t>
        </is>
      </c>
      <c r="D142" s="5" t="inlineStr">
        <is>
          <t>ед.: ₽</t>
        </is>
      </c>
      <c r="E142" s="5" t="inlineStr">
        <is>
          <t>70000</t>
        </is>
      </c>
    </row>
    <row r="143">
      <c r="A143" s="5" t="inlineStr">
        <is>
          <t>Сайт · часов своими руками</t>
        </is>
      </c>
      <c r="B143" s="6" t="inlineStr">
        <is>
          <t>site_hours</t>
        </is>
      </c>
      <c r="C143" s="7" t="inlineStr">
        <is>
          <t>default</t>
        </is>
      </c>
      <c r="D143" s="5" t="inlineStr">
        <is>
          <t>ед.: ч</t>
        </is>
      </c>
      <c r="E143" s="5" t="inlineStr">
        <is>
          <t>0</t>
        </is>
      </c>
    </row>
    <row r="144">
      <c r="A144" s="5" t="inlineStr">
        <is>
          <t>Сайт · срок амортизации</t>
        </is>
      </c>
      <c r="B144" s="6" t="inlineStr">
        <is>
          <t>site_life</t>
        </is>
      </c>
      <c r="C144" s="7" t="inlineStr">
        <is>
          <t>default</t>
        </is>
      </c>
      <c r="D144" s="5" t="inlineStr">
        <is>
          <t>ед.: лет</t>
        </is>
      </c>
      <c r="E144" s="5" t="inlineStr">
        <is>
          <t>7</t>
        </is>
      </c>
    </row>
    <row r="145">
      <c r="A145" s="5" t="inlineStr">
        <is>
          <t>Амортизация · сайт</t>
        </is>
      </c>
      <c r="B145" s="6" t="inlineStr">
        <is>
          <t>dep_website</t>
        </is>
      </c>
      <c r="C145" s="7" t="inlineStr">
        <is>
          <t>calc</t>
        </is>
      </c>
      <c r="D145" s="5" t="inlineStr">
        <is>
          <t>ед.: ₽/год · зависит от: site_mode, site_cost, site_life</t>
        </is>
      </c>
      <c r="E145" s="5" t="inlineStr">
        <is>
          <t>IF(site_mode="Нанимал (а) специалиста",IF(site_life=0,0,site_cost/site_life),0)</t>
        </is>
      </c>
    </row>
    <row r="146">
      <c r="A146" s="5" t="inlineStr">
        <is>
          <t>Сайт · поправка знаменателя</t>
        </is>
      </c>
      <c r="B146" s="6" t="inlineStr">
        <is>
          <t>site_divisor</t>
        </is>
      </c>
      <c r="C146" s="7" t="inlineStr">
        <is>
          <t>calc</t>
        </is>
      </c>
      <c r="D146" s="5" t="inlineStr">
        <is>
          <t xml:space="preserve"> · зависит от: site_mode, site_hours, site_life, net_time</t>
        </is>
      </c>
      <c r="E146" s="5" t="inlineStr">
        <is>
          <t>IF(site_mode="Нанимал (а) специалиста",0,IF(site_life*net_time=0,0,site_hours/(site_life*net_time)))</t>
        </is>
      </c>
    </row>
    <row r="147">
      <c r="A147" s="4" t="inlineStr">
        <is>
          <t>7 · Расходы</t>
        </is>
      </c>
      <c r="B147" s="23" t="n"/>
      <c r="C147" s="23" t="n"/>
      <c r="D147" s="23" t="n"/>
      <c r="E147" s="23" t="n"/>
    </row>
    <row r="148">
      <c r="A148" s="5" t="inlineStr">
        <is>
          <t>Амортизация · съёмочное оборудование</t>
        </is>
      </c>
      <c r="B148" s="6" t="inlineStr">
        <is>
          <t>dep_shoot</t>
        </is>
      </c>
      <c r="C148" s="7" t="inlineStr">
        <is>
          <t>calc</t>
        </is>
      </c>
      <c r="D148" s="5" t="inlineStr">
        <is>
          <t>ед.: ₽/год · зависит от: Form001</t>
        </is>
      </c>
      <c r="E148" s="5" t="inlineStr">
        <is>
          <t>SUMIF(cat_form,"Form001",cat_year)</t>
        </is>
      </c>
    </row>
    <row r="149">
      <c r="A149" s="5" t="inlineStr">
        <is>
          <t>Амортизация · офисное оборудование</t>
        </is>
      </c>
      <c r="B149" s="6" t="inlineStr">
        <is>
          <t>dep_office</t>
        </is>
      </c>
      <c r="C149" s="7" t="inlineStr">
        <is>
          <t>calc</t>
        </is>
      </c>
      <c r="D149" s="5" t="inlineStr">
        <is>
          <t>ед.: ₽/год · зависит от: Form002</t>
        </is>
      </c>
      <c r="E149" s="5" t="inlineStr">
        <is>
          <t>SUMIF(cat_form,"Form002",cat_year)</t>
        </is>
      </c>
    </row>
    <row r="150">
      <c r="A150" s="5" t="inlineStr">
        <is>
          <t>Амортизация · ПО разовые покупки</t>
        </is>
      </c>
      <c r="B150" s="6" t="inlineStr">
        <is>
          <t>dep_software</t>
        </is>
      </c>
      <c r="C150" s="7" t="inlineStr">
        <is>
          <t>calc</t>
        </is>
      </c>
      <c r="D150" s="5" t="inlineStr">
        <is>
          <t>ед.: ₽/год · зависит от: Form004</t>
        </is>
      </c>
      <c r="E150" s="5" t="inlineStr">
        <is>
          <t>SUMIF(cat_form,"Form004",cat_year)</t>
        </is>
      </c>
    </row>
    <row r="151">
      <c r="A151" s="5" t="inlineStr">
        <is>
          <t>Амортизация · обустройство места</t>
        </is>
      </c>
      <c r="B151" s="6" t="inlineStr">
        <is>
          <t>dep_workspace</t>
        </is>
      </c>
      <c r="C151" s="7" t="inlineStr">
        <is>
          <t>calc</t>
        </is>
      </c>
      <c r="D151" s="5" t="inlineStr">
        <is>
          <t>ед.: ₽/год · зависит от: Form013</t>
        </is>
      </c>
      <c r="E151" s="5" t="inlineStr">
        <is>
          <t>SUMIF(cat_form,"Form013",cat_year)</t>
        </is>
      </c>
    </row>
    <row r="152">
      <c r="A152" s="5" t="inlineStr">
        <is>
          <t>ИТОГО амортизация</t>
        </is>
      </c>
      <c r="B152" s="6" t="inlineStr">
        <is>
          <t>investment</t>
        </is>
      </c>
      <c r="C152" s="7" t="inlineStr">
        <is>
          <t>calc</t>
        </is>
      </c>
      <c r="D152" s="5" t="inlineStr">
        <is>
          <t>ед.: ₽/год · зависит от: dep_*</t>
        </is>
      </c>
      <c r="E152" s="5" t="inlineStr">
        <is>
          <t>dep_shoot+dep_office+dep_software+dep_workspace+dep_education+dep_website</t>
        </is>
      </c>
    </row>
    <row r="153">
      <c r="A153" s="5" t="inlineStr">
        <is>
          <t>Переменные · подписки ПО</t>
        </is>
      </c>
      <c r="B153" s="6" t="inlineStr">
        <is>
          <t>var_software</t>
        </is>
      </c>
      <c r="C153" s="7" t="inlineStr">
        <is>
          <t>calc</t>
        </is>
      </c>
      <c r="D153" s="5" t="inlineStr">
        <is>
          <t>ед.: ₽/год · зависит от: Form003</t>
        </is>
      </c>
      <c r="E153" s="5" t="inlineStr">
        <is>
          <t>SUMIF(cat_form,"Form003",cat_year)</t>
        </is>
      </c>
    </row>
    <row r="154">
      <c r="A154" s="5" t="inlineStr">
        <is>
          <t>Переменные · реклама и продвижение</t>
        </is>
      </c>
      <c r="B154" s="6" t="inlineStr">
        <is>
          <t>var_ads</t>
        </is>
      </c>
      <c r="C154" s="7" t="inlineStr">
        <is>
          <t>calc</t>
        </is>
      </c>
      <c r="D154" s="5" t="inlineStr">
        <is>
          <t>ед.: ₽/год · зависит от: Form010</t>
        </is>
      </c>
      <c r="E154" s="5" t="inlineStr">
        <is>
          <t>SUMIF(cat_form,"Form010",cat_year)</t>
        </is>
      </c>
    </row>
    <row r="155">
      <c r="A155" s="5" t="inlineStr">
        <is>
          <t>Переменные · банк РКО и СМС</t>
        </is>
      </c>
      <c r="B155" s="6" t="inlineStr">
        <is>
          <t>var_bank</t>
        </is>
      </c>
      <c r="C155" s="7" t="inlineStr">
        <is>
          <t>calc</t>
        </is>
      </c>
      <c r="D155" s="5" t="inlineStr">
        <is>
          <t>ед.: ₽/год · зависит от: Form007</t>
        </is>
      </c>
      <c r="E155" s="5" t="inlineStr">
        <is>
          <t>SUMIF(cat_form,"Form007",cat_year)</t>
        </is>
      </c>
    </row>
    <row r="156">
      <c r="A156" s="5" t="inlineStr">
        <is>
          <t>Специалист по учёту · стоимость в месяц</t>
        </is>
      </c>
      <c r="B156" s="6" t="inlineStr">
        <is>
          <t>acc_cost_month</t>
        </is>
      </c>
      <c r="C156" s="7" t="inlineStr">
        <is>
          <t>default</t>
        </is>
      </c>
      <c r="D156" s="5" t="inlineStr">
        <is>
          <t>ед.: ₽/мес</t>
        </is>
      </c>
      <c r="E156" s="5" t="inlineStr">
        <is>
          <t>10000</t>
        </is>
      </c>
    </row>
    <row r="157">
      <c r="A157" s="5" t="inlineStr">
        <is>
          <t>Переменные · специалист по учёту</t>
        </is>
      </c>
      <c r="B157" s="6" t="inlineStr">
        <is>
          <t>var_accounting</t>
        </is>
      </c>
      <c r="C157" s="7" t="inlineStr">
        <is>
          <t>calc</t>
        </is>
      </c>
      <c r="D157" s="5" t="inlineStr">
        <is>
          <t>ед.: ₽/год · зависит от: acc_mode, acc_cost_month, months</t>
        </is>
      </c>
      <c r="E157" s="5" t="inlineStr">
        <is>
          <t>IF(acc_mode="Нанимаю специалиста",acc_cost_month*months,0)</t>
        </is>
      </c>
    </row>
    <row r="158">
      <c r="A158" s="5" t="inlineStr">
        <is>
          <t>ИТОГО переменные</t>
        </is>
      </c>
      <c r="B158" s="6" t="inlineStr">
        <is>
          <t>variable_costs</t>
        </is>
      </c>
      <c r="C158" s="7" t="inlineStr">
        <is>
          <t>calc</t>
        </is>
      </c>
      <c r="D158" s="5" t="inlineStr">
        <is>
          <t>ед.: ₽/год · зависит от: var_*</t>
        </is>
      </c>
      <c r="E158" s="5" t="inlineStr">
        <is>
          <t>var_software+var_ads+var_bank+var_accounting+var_workspace</t>
        </is>
      </c>
    </row>
    <row r="159">
      <c r="A159" s="5" t="inlineStr">
        <is>
          <t>ВСЕГО РАСХОДОВ (C)</t>
        </is>
      </c>
      <c r="B159" s="6" t="inlineStr">
        <is>
          <t>total_costs</t>
        </is>
      </c>
      <c r="C159" s="7" t="inlineStr">
        <is>
          <t>calc</t>
        </is>
      </c>
      <c r="D159" s="5" t="inlineStr">
        <is>
          <t>ед.: ₽/год · зависит от: investment, variable_costs</t>
        </is>
      </c>
      <c r="E159" s="5" t="inlineStr">
        <is>
          <t>investment+variable_costs</t>
        </is>
      </c>
    </row>
    <row r="160">
      <c r="A160" s="5" t="inlineStr">
        <is>
          <t>База для выручки</t>
        </is>
      </c>
      <c r="B160" s="6" t="inlineStr">
        <is>
          <t>revenue_base</t>
        </is>
      </c>
      <c r="C160" s="7" t="inlineStr">
        <is>
          <t>calc</t>
        </is>
      </c>
      <c r="D160" s="5" t="inlineStr">
        <is>
          <t>ед.: ₽/год · зависит от: target_income, total_costs</t>
        </is>
      </c>
      <c r="E160" s="5" t="inlineStr">
        <is>
          <t>target_income+total_costs</t>
        </is>
      </c>
    </row>
    <row r="161">
      <c r="A161" s="4" t="inlineStr">
        <is>
          <t>8 · Налоги</t>
        </is>
      </c>
      <c r="B161" s="23" t="n"/>
      <c r="C161" s="23" t="n"/>
      <c r="D161" s="23" t="n"/>
      <c r="E161" s="23" t="n"/>
    </row>
    <row r="162">
      <c r="A162" s="14" t="inlineStr">
        <is>
          <t>ПЕРЕКЛЮЧАТЕЛЬ · режим налогообложения</t>
        </is>
      </c>
      <c r="B162" s="15" t="inlineStr">
        <is>
          <t>regime</t>
        </is>
      </c>
      <c r="C162" s="16" t="inlineStr">
        <is>
          <t>switch</t>
        </is>
      </c>
      <c r="D162" s="14" t="inlineStr"/>
      <c r="E162" s="14" t="inlineStr">
        <is>
          <t>Самозанятый (НПД), средняя ставка</t>
        </is>
      </c>
    </row>
    <row r="163">
      <c r="A163" s="5" t="inlineStr">
        <is>
          <t>НПД · средняя ставка</t>
        </is>
      </c>
      <c r="B163" s="6" t="inlineStr">
        <is>
          <t>rate_npd_avg</t>
        </is>
      </c>
      <c r="C163" s="7" t="inlineStr">
        <is>
          <t>default</t>
        </is>
      </c>
      <c r="D163" s="5" t="inlineStr">
        <is>
          <t>ед.: %</t>
        </is>
      </c>
      <c r="E163" s="5" t="inlineStr">
        <is>
          <t>0.05</t>
        </is>
      </c>
    </row>
    <row r="164">
      <c r="A164" s="5" t="inlineStr">
        <is>
          <t>НПД · физлица</t>
        </is>
      </c>
      <c r="B164" s="6" t="inlineStr">
        <is>
          <t>rate_npd_fiz</t>
        </is>
      </c>
      <c r="C164" s="7" t="inlineStr">
        <is>
          <t>const</t>
        </is>
      </c>
      <c r="D164" s="5" t="inlineStr">
        <is>
          <t>ед.: %</t>
        </is>
      </c>
      <c r="E164" s="5" t="inlineStr">
        <is>
          <t>0.04</t>
        </is>
      </c>
    </row>
    <row r="165">
      <c r="A165" s="5" t="inlineStr">
        <is>
          <t>НПД · юрлица</t>
        </is>
      </c>
      <c r="B165" s="6" t="inlineStr">
        <is>
          <t>rate_npd_ur</t>
        </is>
      </c>
      <c r="C165" s="7" t="inlineStr">
        <is>
          <t>const</t>
        </is>
      </c>
      <c r="D165" s="5" t="inlineStr">
        <is>
          <t>ед.: %</t>
        </is>
      </c>
      <c r="E165" s="5" t="inlineStr">
        <is>
          <t>0.06</t>
        </is>
      </c>
    </row>
    <row r="166">
      <c r="A166" s="5" t="inlineStr">
        <is>
          <t>УСН доходы</t>
        </is>
      </c>
      <c r="B166" s="6" t="inlineStr">
        <is>
          <t>rate_usn_inc</t>
        </is>
      </c>
      <c r="C166" s="7" t="inlineStr">
        <is>
          <t>default</t>
        </is>
      </c>
      <c r="D166" s="5" t="inlineStr">
        <is>
          <t>ед.: %</t>
        </is>
      </c>
      <c r="E166" s="5" t="inlineStr">
        <is>
          <t>0.06</t>
        </is>
      </c>
    </row>
    <row r="167">
      <c r="A167" s="5" t="inlineStr">
        <is>
          <t>УСН доходы минус расходы</t>
        </is>
      </c>
      <c r="B167" s="6" t="inlineStr">
        <is>
          <t>rate_usn_prof</t>
        </is>
      </c>
      <c r="C167" s="7" t="inlineStr">
        <is>
          <t>default</t>
        </is>
      </c>
      <c r="D167" s="5" t="inlineStr">
        <is>
          <t>ед.: %</t>
        </is>
      </c>
      <c r="E167" s="5" t="inlineStr">
        <is>
          <t>0.15</t>
        </is>
      </c>
    </row>
    <row r="168">
      <c r="A168" s="5" t="inlineStr">
        <is>
          <t>АУСН доходы</t>
        </is>
      </c>
      <c r="B168" s="6" t="inlineStr">
        <is>
          <t>rate_ausn_inc</t>
        </is>
      </c>
      <c r="C168" s="7" t="inlineStr">
        <is>
          <t>const</t>
        </is>
      </c>
      <c r="D168" s="5" t="inlineStr">
        <is>
          <t>ед.: %</t>
        </is>
      </c>
      <c r="E168" s="5" t="inlineStr">
        <is>
          <t>0.08</t>
        </is>
      </c>
    </row>
    <row r="169">
      <c r="A169" s="5" t="inlineStr">
        <is>
          <t>АУСН доходы минус расходы</t>
        </is>
      </c>
      <c r="B169" s="6" t="inlineStr">
        <is>
          <t>rate_ausn_prof</t>
        </is>
      </c>
      <c r="C169" s="7" t="inlineStr">
        <is>
          <t>const</t>
        </is>
      </c>
      <c r="D169" s="5" t="inlineStr">
        <is>
          <t>ед.: %</t>
        </is>
      </c>
      <c r="E169" s="5" t="inlineStr">
        <is>
          <t>0.2</t>
        </is>
      </c>
    </row>
    <row r="170">
      <c r="A170" s="5" t="inlineStr">
        <is>
          <t>Номер режима (1–7)</t>
        </is>
      </c>
      <c r="B170" s="6" t="inlineStr">
        <is>
          <t>regime_no</t>
        </is>
      </c>
      <c r="C170" s="7" t="inlineStr">
        <is>
          <t>calc</t>
        </is>
      </c>
      <c r="D170" s="5" t="inlineStr">
        <is>
          <t>ед.: № · зависит от: regime</t>
        </is>
      </c>
      <c r="E170" s="5"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row>
    <row r="171">
      <c r="A171" s="5" t="inlineStr">
        <is>
          <t>Ставка выбранного режима</t>
        </is>
      </c>
      <c r="B171" s="6" t="inlineStr">
        <is>
          <t>rate_current</t>
        </is>
      </c>
      <c r="C171" s="7" t="inlineStr">
        <is>
          <t>calc</t>
        </is>
      </c>
      <c r="D171" s="5" t="inlineStr">
        <is>
          <t>ед.: % · зависит от: regime_no</t>
        </is>
      </c>
      <c r="E171" s="5" t="inlineStr">
        <is>
          <t>CHOOSE(regime_no,rate_npd_avg,rate_npd_fiz,rate_npd_ur,rate_usn_inc,rate_usn_prof,rate_ausn_inc,rate_ausn_prof)</t>
        </is>
      </c>
    </row>
    <row r="172">
      <c r="A172" s="5" t="inlineStr">
        <is>
          <t>Фиксированные взносы ИП</t>
        </is>
      </c>
      <c r="B172" s="6" t="inlineStr">
        <is>
          <t>fixed_contrib</t>
        </is>
      </c>
      <c r="C172" s="7" t="inlineStr">
        <is>
          <t>const</t>
        </is>
      </c>
      <c r="D172" s="5" t="inlineStr">
        <is>
          <t>ед.: ₽/год</t>
        </is>
      </c>
      <c r="E172" s="5" t="inlineStr">
        <is>
          <t>57390</t>
        </is>
      </c>
    </row>
    <row r="173">
      <c r="A173" s="5" t="inlineStr">
        <is>
          <t>Дополнительный взнос</t>
        </is>
      </c>
      <c r="B173" s="6" t="inlineStr">
        <is>
          <t>extra_contrib</t>
        </is>
      </c>
      <c r="C173" s="7" t="inlineStr">
        <is>
          <t>const</t>
        </is>
      </c>
      <c r="D173" s="5" t="inlineStr">
        <is>
          <t>ед.: %</t>
        </is>
      </c>
      <c r="E173" s="5" t="inlineStr">
        <is>
          <t>0.01</t>
        </is>
      </c>
    </row>
    <row r="174">
      <c r="A174" s="5" t="inlineStr">
        <is>
          <t>Предельная величина дохода</t>
        </is>
      </c>
      <c r="B174" s="6" t="inlineStr">
        <is>
          <t>contrib_threshold</t>
        </is>
      </c>
      <c r="C174" s="7" t="inlineStr">
        <is>
          <t>const</t>
        </is>
      </c>
      <c r="D174" s="5" t="inlineStr">
        <is>
          <t>ед.: ₽/год</t>
        </is>
      </c>
      <c r="E174" s="5" t="inlineStr">
        <is>
          <t>300000</t>
        </is>
      </c>
    </row>
    <row r="175">
      <c r="A175" s="5" t="inlineStr">
        <is>
          <t>Максимум допвзноса</t>
        </is>
      </c>
      <c r="B175" s="6" t="inlineStr">
        <is>
          <t>contrib_cap</t>
        </is>
      </c>
      <c r="C175" s="7" t="inlineStr">
        <is>
          <t>const</t>
        </is>
      </c>
      <c r="D175" s="5" t="inlineStr">
        <is>
          <t>ед.: ₽/год</t>
        </is>
      </c>
      <c r="E175" s="5" t="inlineStr">
        <is>
          <t>321818</t>
        </is>
      </c>
    </row>
    <row r="176">
      <c r="A176" s="5" t="inlineStr">
        <is>
          <t>Поправка на порог</t>
        </is>
      </c>
      <c r="B176" s="6" t="inlineStr">
        <is>
          <t>threshold_credit</t>
        </is>
      </c>
      <c r="C176" s="7" t="inlineStr">
        <is>
          <t>calc</t>
        </is>
      </c>
      <c r="D176" s="5" t="inlineStr">
        <is>
          <t>ед.: ₽ · зависит от: contrib_threshold, extra_contrib</t>
        </is>
      </c>
      <c r="E176" s="5" t="inlineStr">
        <is>
          <t>contrib_threshold*extra_contrib</t>
        </is>
      </c>
    </row>
    <row r="177">
      <c r="A177" s="5" t="inlineStr">
        <is>
          <t>Минимальный налог УСН Д−Р</t>
        </is>
      </c>
      <c r="B177" s="6" t="inlineStr">
        <is>
          <t>min_tax_usn</t>
        </is>
      </c>
      <c r="C177" s="7" t="inlineStr">
        <is>
          <t>const</t>
        </is>
      </c>
      <c r="D177" s="5" t="inlineStr">
        <is>
          <t>ед.: %</t>
        </is>
      </c>
      <c r="E177" s="5" t="inlineStr">
        <is>
          <t>0.01</t>
        </is>
      </c>
    </row>
    <row r="178">
      <c r="A178" s="5" t="inlineStr">
        <is>
          <t>Минимальный налог АУСН Д−Р</t>
        </is>
      </c>
      <c r="B178" s="6" t="inlineStr">
        <is>
          <t>min_tax_ausn</t>
        </is>
      </c>
      <c r="C178" s="7" t="inlineStr">
        <is>
          <t>const</t>
        </is>
      </c>
      <c r="D178" s="5" t="inlineStr">
        <is>
          <t>ед.: %</t>
        </is>
      </c>
      <c r="E178" s="5" t="inlineStr">
        <is>
          <t>0.03</t>
        </is>
      </c>
    </row>
    <row r="179">
      <c r="A179" s="5" t="inlineStr">
        <is>
          <t>Взнос на травматизм (АУСН)</t>
        </is>
      </c>
      <c r="B179" s="6" t="inlineStr">
        <is>
          <t>injury_contrib</t>
        </is>
      </c>
      <c r="C179" s="7" t="inlineStr">
        <is>
          <t>default</t>
        </is>
      </c>
      <c r="D179" s="5" t="inlineStr">
        <is>
          <t>ед.: ₽/год</t>
        </is>
      </c>
      <c r="E179" s="5" t="inlineStr">
        <is>
          <t>0</t>
        </is>
      </c>
    </row>
    <row r="180">
      <c r="A180" s="5" t="inlineStr">
        <is>
          <t>Эквайринг · ставка</t>
        </is>
      </c>
      <c r="B180" s="6" t="inlineStr">
        <is>
          <t>acq_rate</t>
        </is>
      </c>
      <c r="C180" s="7" t="inlineStr">
        <is>
          <t>default</t>
        </is>
      </c>
      <c r="D180" s="5" t="inlineStr">
        <is>
          <t>ед.: %</t>
        </is>
      </c>
      <c r="E180" s="5" t="inlineStr">
        <is>
          <t>0.027</t>
        </is>
      </c>
    </row>
    <row r="181">
      <c r="A181" s="5" t="inlineStr">
        <is>
          <t>Эквайринг · доля безналичных оплат</t>
        </is>
      </c>
      <c r="B181" s="6" t="inlineStr">
        <is>
          <t>acq_share</t>
        </is>
      </c>
      <c r="C181" s="7" t="inlineStr">
        <is>
          <t>default</t>
        </is>
      </c>
      <c r="D181" s="5" t="inlineStr">
        <is>
          <t>ед.: %</t>
        </is>
      </c>
      <c r="E181" s="5" t="inlineStr">
        <is>
          <t>1.0</t>
        </is>
      </c>
    </row>
    <row r="182">
      <c r="A182" s="5" t="inlineStr">
        <is>
          <t>Эквайринг · эффективно</t>
        </is>
      </c>
      <c r="B182" s="6" t="inlineStr">
        <is>
          <t>acquiring</t>
        </is>
      </c>
      <c r="C182" s="7" t="inlineStr">
        <is>
          <t>calc</t>
        </is>
      </c>
      <c r="D182" s="5" t="inlineStr">
        <is>
          <t>ед.: % · зависит от: acq_rate, acq_share</t>
        </is>
      </c>
      <c r="E182" s="5" t="inlineStr">
        <is>
          <t>acq_rate*acq_share</t>
        </is>
      </c>
    </row>
    <row r="183">
      <c r="A183" s="5" t="inlineStr">
        <is>
          <t>Порог освобождения от НДС</t>
        </is>
      </c>
      <c r="B183" s="6" t="inlineStr">
        <is>
          <t>vat_threshold</t>
        </is>
      </c>
      <c r="C183" s="7" t="inlineStr">
        <is>
          <t>const</t>
        </is>
      </c>
      <c r="D183" s="5" t="inlineStr">
        <is>
          <t>ед.: ₽/год</t>
        </is>
      </c>
      <c r="E183" s="5" t="inlineStr">
        <is>
          <t>20000000</t>
        </is>
      </c>
    </row>
    <row r="184">
      <c r="A184" s="5" t="inlineStr">
        <is>
          <t>Лимит НПД</t>
        </is>
      </c>
      <c r="B184" s="6" t="inlineStr">
        <is>
          <t>limit_npd</t>
        </is>
      </c>
      <c r="C184" s="7" t="inlineStr">
        <is>
          <t>const</t>
        </is>
      </c>
      <c r="D184" s="5" t="inlineStr">
        <is>
          <t>ед.: ₽/год</t>
        </is>
      </c>
      <c r="E184" s="5" t="inlineStr">
        <is>
          <t>2400000</t>
        </is>
      </c>
    </row>
    <row r="185">
      <c r="A185" s="5" t="inlineStr">
        <is>
          <t>Лимит АУСН</t>
        </is>
      </c>
      <c r="B185" s="6" t="inlineStr">
        <is>
          <t>limit_ausn</t>
        </is>
      </c>
      <c r="C185" s="7" t="inlineStr">
        <is>
          <t>const</t>
        </is>
      </c>
      <c r="D185" s="5" t="inlineStr">
        <is>
          <t>ед.: ₽/год</t>
        </is>
      </c>
      <c r="E185" s="5" t="inlineStr">
        <is>
          <t>60000000</t>
        </is>
      </c>
    </row>
    <row r="186">
      <c r="A186" s="4" t="inlineStr">
        <is>
          <t>9 · Справочные ставки</t>
        </is>
      </c>
      <c r="B186" s="23" t="n"/>
      <c r="C186" s="23" t="n"/>
      <c r="D186" s="23" t="n"/>
      <c r="E186" s="23" t="n"/>
    </row>
    <row r="187">
      <c r="A187" s="5" t="inlineStr">
        <is>
          <t>Наивная ставка</t>
        </is>
      </c>
      <c r="B187" s="6" t="inlineStr">
        <is>
          <t>naive_rate</t>
        </is>
      </c>
      <c r="C187" s="7" t="inlineStr">
        <is>
          <t>calc</t>
        </is>
      </c>
      <c r="D187" s="5" t="inlineStr">
        <is>
          <t>ед.: ₽/ч · зависит от: target_income, shooting_time</t>
        </is>
      </c>
      <c r="E187" s="5" t="inlineStr">
        <is>
          <t>IF(shooting_time=0,0,target_income/shooting_time)</t>
        </is>
      </c>
    </row>
    <row r="188">
      <c r="A188" s="5" t="inlineStr">
        <is>
          <t>Базовая ставка часа</t>
        </is>
      </c>
      <c r="B188" s="6" t="inlineStr">
        <is>
          <t>base_rate</t>
        </is>
      </c>
      <c r="C188" s="7" t="inlineStr">
        <is>
          <t>calc</t>
        </is>
      </c>
      <c r="D188" s="5" t="inlineStr">
        <is>
          <t>ед.: ₽/ч · зависит от: target_income, net_time</t>
        </is>
      </c>
      <c r="E188" s="5" t="inlineStr">
        <is>
          <t>target_income/net_time</t>
        </is>
      </c>
    </row>
    <row r="189">
      <c r="A189" s="5" t="inlineStr">
        <is>
          <t>Операционная ставка часа</t>
        </is>
      </c>
      <c r="B189" s="6" t="inlineStr">
        <is>
          <t>ops_rate</t>
        </is>
      </c>
      <c r="C189" s="7" t="inlineStr">
        <is>
          <t>calc</t>
        </is>
      </c>
      <c r="D189" s="5" t="inlineStr">
        <is>
          <t>ед.: ₽/ч · зависит от: revenue_base, shooting_time</t>
        </is>
      </c>
      <c r="E189" s="5" t="inlineStr">
        <is>
          <t>IF(shooting_time=0,0,revenue_base/shooting_time)</t>
        </is>
      </c>
    </row>
    <row r="190">
      <c r="A190" s="5" t="inlineStr">
        <is>
          <t>ПОЛНАЯ ставка рабочего часа</t>
        </is>
      </c>
      <c r="B190" s="6" t="inlineStr">
        <is>
          <t>full_hour_rate</t>
        </is>
      </c>
      <c r="C190" s="7" t="inlineStr">
        <is>
          <t>calc</t>
        </is>
      </c>
      <c r="D190" s="5" t="inlineStr">
        <is>
          <t>ед.: ₽/ч · зависит от: выручка, net_time</t>
        </is>
      </c>
      <c r="E190" s="5" t="inlineStr">
        <is>
          <t>IF(net_time=0,0,CHOOSE(regime_no,'05_Расчёт'!B4,'05_Расчёт'!C4,'05_Расчёт'!D4,'05_Расчёт'!E4,'05_Расчёт'!F4,'05_Расчёт'!G4,'05_Расчёт'!H4)/net_time)</t>
        </is>
      </c>
    </row>
    <row r="191">
      <c r="A191" s="5" t="inlineStr">
        <is>
          <t>Сайт · оценка своего труда</t>
        </is>
      </c>
      <c r="B191" s="6" t="inlineStr">
        <is>
          <t>site_value</t>
        </is>
      </c>
      <c r="C191" s="7" t="inlineStr">
        <is>
          <t>calc</t>
        </is>
      </c>
      <c r="D191" s="5" t="inlineStr">
        <is>
          <t>ед.: ₽ · зависит от: site_mode, site_cost, site_hours, full_hour_rate</t>
        </is>
      </c>
      <c r="E191" s="5" t="inlineStr">
        <is>
          <t>IF(site_mode="Нанимал (а) специалиста",site_cost,site_hours*full_hour_rate)</t>
        </is>
      </c>
    </row>
    <row r="192">
      <c r="A192" s="24" t="inlineStr">
        <is>
          <t>Прочие</t>
        </is>
      </c>
      <c r="B192" s="23" t="n"/>
      <c r="C192" s="23" t="n"/>
      <c r="D192" s="23" t="n"/>
      <c r="E192" s="23" t="n"/>
    </row>
    <row r="193">
      <c r="A193" s="5" t="inlineStr">
        <is>
          <t>Время на заказы до резерва</t>
        </is>
      </c>
      <c r="B193" s="6" t="inlineStr">
        <is>
          <t>pool_gross</t>
        </is>
      </c>
      <c r="C193" s="7" t="inlineStr">
        <is>
          <t>calc</t>
        </is>
      </c>
      <c r="D193" s="5" t="inlineStr">
        <is>
          <t>ч/год</t>
        </is>
      </c>
      <c r="E193" s="5" t="inlineStr">
        <is>
          <t>net_time-side_time</t>
        </is>
      </c>
    </row>
    <row r="194">
      <c r="A194" s="5" t="inlineStr">
        <is>
          <t>ПЕРЕКЛЮЧАТЕЛЬ · резерв на форс-мажоры</t>
        </is>
      </c>
      <c r="B194" s="6" t="inlineStr">
        <is>
          <t>fm_on</t>
        </is>
      </c>
      <c r="C194" s="7" t="inlineStr">
        <is>
          <t>default</t>
        </is>
      </c>
      <c r="D194" s="5" t="inlineStr"/>
      <c r="E194" s="5" t="inlineStr">
        <is>
          <t>Заложить резерв</t>
        </is>
      </c>
    </row>
    <row r="195">
      <c r="A195" s="5" t="inlineStr">
        <is>
          <t>Резерв на форс-мажоры, %</t>
        </is>
      </c>
      <c r="B195" s="6" t="inlineStr">
        <is>
          <t>fm_pct</t>
        </is>
      </c>
      <c r="C195" s="7" t="inlineStr">
        <is>
          <t>default</t>
        </is>
      </c>
      <c r="D195" s="5" t="inlineStr">
        <is>
          <t>%</t>
        </is>
      </c>
      <c r="E195" s="5" t="inlineStr">
        <is>
          <t>0.05</t>
        </is>
      </c>
    </row>
    <row r="196">
      <c r="A196" s="5" t="inlineStr">
        <is>
          <t>Резерв на форс-мажоры, часов</t>
        </is>
      </c>
      <c r="B196" s="6" t="inlineStr">
        <is>
          <t>fm_time</t>
        </is>
      </c>
      <c r="C196" s="7" t="inlineStr">
        <is>
          <t>calc</t>
        </is>
      </c>
      <c r="D196" s="5" t="inlineStr">
        <is>
          <t>ч/год</t>
        </is>
      </c>
      <c r="E196" s="5" t="inlineStr">
        <is>
          <t>IF(fm_on="Заложить резерв",pool_gross*fm_pct,0)</t>
        </is>
      </c>
    </row>
    <row r="197">
      <c r="A197" s="5" t="inlineStr">
        <is>
          <t>Резерв, часов в неделю</t>
        </is>
      </c>
      <c r="B197" s="6" t="inlineStr">
        <is>
          <t>fm_week</t>
        </is>
      </c>
      <c r="C197" s="7" t="inlineStr">
        <is>
          <t>calc</t>
        </is>
      </c>
      <c r="D197" s="5" t="inlineStr">
        <is>
          <t>ч/нед</t>
        </is>
      </c>
      <c r="E197" s="5" t="inlineStr">
        <is>
          <t>IF(net_weeks=0,0,fm_time/net_weeks)</t>
        </is>
      </c>
    </row>
  </sheetData>
  <mergeCells count="9">
    <mergeCell ref="A30:E30"/>
    <mergeCell ref="A35:E35"/>
    <mergeCell ref="A54:E54"/>
    <mergeCell ref="A72:E72"/>
    <mergeCell ref="A64:E64"/>
    <mergeCell ref="A11:E11"/>
    <mergeCell ref="A1:E1"/>
    <mergeCell ref="A45:E45"/>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Заложить резерв</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2</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108999</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
      </c>
      <c r="G5" s="36">
        <f>IF(N(D5)&gt;0,C5/D5,C5*F5)</f>
        <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
      </c>
      <c r="G6" s="36">
        <f>IF(N(D6)&gt;0,C6/D6,C6*F6)</f>
        <v/>
      </c>
      <c r="H6" s="25" t="inlineStr">
        <is>
          <t>амортизация</t>
        </is>
      </c>
    </row>
    <row r="7">
      <c r="A7" s="27" t="inlineStr">
        <is>
          <t>Form001</t>
        </is>
      </c>
      <c r="B7" s="28" t="inlineStr">
        <is>
          <t>Godox V1Pro C</t>
        </is>
      </c>
      <c r="C7" s="45" t="n">
        <v>36990</v>
      </c>
      <c r="D7" s="46" t="n">
        <v>5</v>
      </c>
      <c r="E7" s="46" t="n"/>
      <c r="F7" s="32">
        <f>IF(E7="Год",1,IF(E7="Квартал",4,IF(E7="Месяц",12,0)))</f>
        <v/>
      </c>
      <c r="G7" s="36">
        <f>IF(N(D7)&gt;0,C7/D7,C7*F7)</f>
        <v/>
      </c>
      <c r="H7" s="25" t="inlineStr">
        <is>
          <t>амортизация</t>
        </is>
      </c>
    </row>
    <row r="8">
      <c r="A8" s="27" t="inlineStr">
        <is>
          <t>Form001</t>
        </is>
      </c>
      <c r="B8" s="28" t="inlineStr">
        <is>
          <t>Godox XPro II C</t>
        </is>
      </c>
      <c r="C8" s="45" t="n">
        <v>9355</v>
      </c>
      <c r="D8" s="46" t="n">
        <v>5</v>
      </c>
      <c r="E8" s="46" t="n"/>
      <c r="F8" s="32">
        <f>IF(E8="Год",1,IF(E8="Квартал",4,IF(E8="Месяц",12,0)))</f>
        <v/>
      </c>
      <c r="G8" s="36">
        <f>IF(N(D8)&gt;0,C8/D8,C8*F8)</f>
        <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
      </c>
      <c r="G9" s="36">
        <f>IF(N(D9)&gt;0,C9/D9,C9*F9)</f>
        <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
      </c>
      <c r="G10" s="36">
        <f>IF(N(D10)&gt;0,C10/D10,C10*F10)</f>
        <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
      </c>
      <c r="G11" s="36">
        <f>IF(N(D11)&gt;0,C11/D11,C11*F11)</f>
        <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
      </c>
      <c r="G12" s="36">
        <f>IF(N(D12)&gt;0,C12/D12,C12*F12)</f>
        <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
      </c>
      <c r="G13" s="36">
        <f>IF(N(D13)&gt;0,C13/D13,C13*F13)</f>
        <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
      </c>
      <c r="G14" s="36">
        <f>IF(N(D14)&gt;0,C14/D14,C14*F14)</f>
        <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
      </c>
      <c r="G15" s="36">
        <f>IF(N(D15)&gt;0,C15/D15,C15*F15)</f>
        <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
      </c>
      <c r="G16" s="36">
        <f>IF(N(D16)&gt;0,C16/D16,C16*F16)</f>
        <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
      </c>
      <c r="G17" s="36">
        <f>IF(N(D17)&gt;0,C17/D17,C17*F17)</f>
        <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
      </c>
      <c r="G18" s="36">
        <f>IF(N(D18)&gt;0,C18/D18,C18*F18)</f>
        <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
      </c>
      <c r="G19" s="36">
        <f>IF(N(D19)&gt;0,C19/D19,C19*F19)</f>
        <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
      </c>
      <c r="G20" s="36">
        <f>IF(N(D20)&gt;0,C20/D20,C20*F20)</f>
        <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
      </c>
      <c r="G21" s="36">
        <f>IF(N(D21)&gt;0,C21/D21,C21*F21)</f>
        <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
      </c>
      <c r="G22" s="36">
        <f>IF(N(D22)&gt;0,C22/D22,C22*F22)</f>
        <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
      </c>
      <c r="G23" s="36">
        <f>IF(N(D23)&gt;0,C23/D23,C23*F23)</f>
        <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
      </c>
      <c r="G24" s="36">
        <f>IF(N(D24)&gt;0,C24/D24,C24*F24)</f>
        <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
      </c>
      <c r="G25" s="36">
        <f>IF(N(D25)&gt;0,C25/D25,C25*F25)</f>
        <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
      </c>
      <c r="G26" s="36">
        <f>IF(N(D26)&gt;0,C26/D26,C26*F26)</f>
        <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
      </c>
      <c r="G27" s="36">
        <f>IF(N(D27)&gt;0,C27/D27,C27*F27)</f>
        <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
      </c>
      <c r="G28" s="36">
        <f>IF(N(D28)&gt;0,C28/D28,C28*F28)</f>
        <v/>
      </c>
      <c r="H28" s="25" t="inlineStr">
        <is>
          <t>амортизация</t>
        </is>
      </c>
    </row>
    <row r="29">
      <c r="A29" s="27" t="inlineStr">
        <is>
          <t>Form013</t>
        </is>
      </c>
      <c r="B29" s="28" t="inlineStr">
        <is>
          <t>Мебель</t>
        </is>
      </c>
      <c r="C29" s="45" t="n">
        <v>35000</v>
      </c>
      <c r="D29" s="46" t="n">
        <v>7</v>
      </c>
      <c r="E29" s="46" t="n"/>
      <c r="F29" s="32">
        <f>IF(E29="Год",1,IF(E29="Квартал",4,IF(E29="Месяц",12,0)))</f>
        <v/>
      </c>
      <c r="G29" s="36">
        <f>IF(N(D29)&gt;0,C29/D29,C29*F29)</f>
        <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
      </c>
      <c r="G30" s="36">
        <f>IF(N(D30)&gt;0,C30/D30,C30*F30)</f>
        <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
      </c>
      <c r="G31" s="36">
        <f>IF(N(D31)&gt;0,C31/D31,C31*F31)</f>
        <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
      </c>
      <c r="G32" s="36">
        <f>IF(N(D32)&gt;0,C32/D32,C32*F32)</f>
        <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
      </c>
      <c r="G33" s="36">
        <f>IF(N(D33)&gt;0,C33/D33,C33*F33)</f>
        <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
      </c>
      <c r="G34" s="36">
        <f>IF(N(D34)&gt;0,C34/D34,C34*F34)</f>
        <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
      </c>
      <c r="G35" s="36">
        <f>IF(N(D35)&gt;0,C35/D35,C35*F35)</f>
        <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
      </c>
      <c r="G36" s="36">
        <f>IF(N(D36)&gt;0,C36/D36,C36*F36)</f>
        <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
      </c>
      <c r="G37" s="36">
        <f>IF(N(D37)&gt;0,C37/D37,C37*F37)</f>
        <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
      </c>
      <c r="G38" s="36">
        <f>IF(N(D38)&gt;0,C38/D38,C38*F38)</f>
        <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
      </c>
      <c r="G39" s="36">
        <f>IF(N(D39)&gt;0,C39/D39,C39*F39)</f>
        <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
      </c>
      <c r="G40" s="36">
        <f>IF(N(D40)&gt;0,C40/D40,C40*F40)</f>
        <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
      </c>
      <c r="G41" s="36">
        <f>IF(N(D41)&gt;0,C41/D41,C41*F41)</f>
        <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f>regime</f>
        <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
      </c>
    </row>
    <row r="7">
      <c r="A7" s="2" t="inlineStr">
        <is>
          <t>Полная ставка РАБОЧЕГО часа, ₽/час</t>
        </is>
      </c>
      <c r="B7" s="49">
        <f>full_hour_rate</f>
        <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
      </c>
    </row>
    <row r="9">
      <c r="A9" s="2" t="inlineStr">
        <is>
          <t>Выручка, ₽/месяц</t>
        </is>
      </c>
      <c r="B9" s="48">
        <f>CHOOSE(regime_no,'05_Расчёт'!B5,'05_Расчёт'!C5,'05_Расчёт'!D5,'05_Расчёт'!E5,'05_Расчёт'!F5,'05_Расчёт'!G5,'05_Расчёт'!H5)</f>
        <v/>
      </c>
    </row>
    <row r="10">
      <c r="A10" s="2" t="inlineStr">
        <is>
          <t>Всего налогов и взносов, ₽/год</t>
        </is>
      </c>
      <c r="B10" s="48">
        <f>CHOOSE(regime_no,'05_Расчёт'!B15,'05_Расчёт'!C15,'05_Расчёт'!D15,'05_Расчёт'!E15,'05_Расчёт'!F15,'05_Расчёт'!G15,'05_Расчёт'!H15)</f>
        <v/>
      </c>
    </row>
    <row r="11">
      <c r="A11" s="2" t="inlineStr">
        <is>
          <t>Эффективная нагрузка</t>
        </is>
      </c>
      <c r="B11" s="50">
        <f>CHOOSE(regime_no,'05_Расчёт'!B17,'05_Расчёт'!C17,'05_Расчёт'!D17,'05_Расчёт'!E17,'05_Расчёт'!F17,'05_Расчёт'!G17,'05_Расчёт'!H17)</f>
        <v/>
      </c>
    </row>
    <row r="12">
      <c r="A12" s="2" t="inlineStr">
        <is>
          <t>Точка безубыточности, ₽/год</t>
        </is>
      </c>
      <c r="B12" s="51">
        <f>CHOOSE(regime_no,'05_Расчёт'!B22,'05_Расчёт'!C22,'05_Расчёт'!D22,'05_Расчёт'!E22,'05_Расчёт'!F22,'05_Расчёт'!G22,'05_Расчёт'!H22)</f>
        <v/>
      </c>
    </row>
    <row r="13">
      <c r="A13" s="3" t="inlineStr">
        <is>
          <t>ВРЕМЯ — иерархия</t>
        </is>
      </c>
    </row>
    <row r="14">
      <c r="A14" t="inlineStr">
        <is>
          <t>ЧИСТОЕ время (всё доступное)</t>
        </is>
      </c>
      <c r="B14" s="31">
        <f>net_time</f>
        <v/>
      </c>
      <c r="C14" s="25" t="inlineStr">
        <is>
          <t>производств. календарь − отпуск − больничный − час/день</t>
        </is>
      </c>
    </row>
    <row r="15">
      <c r="A15" t="inlineStr">
        <is>
          <t xml:space="preserve">  ├ ОПЕРАЦИОННОЕ (второстепенное)</t>
        </is>
      </c>
      <c r="B15" s="31">
        <f>side_time</f>
        <v/>
      </c>
      <c r="C15" s="25" t="inlineStr">
        <is>
          <t>продвижение + учёт</t>
        </is>
      </c>
    </row>
    <row r="16">
      <c r="A16" t="inlineStr">
        <is>
          <t xml:space="preserve">  ├ РЕЗЕРВ на форс-мажоры</t>
        </is>
      </c>
      <c r="B16" s="31">
        <f>fm_time</f>
        <v/>
      </c>
      <c r="C16" s="25" t="inlineStr">
        <is>
          <t>переносы, отмены, срывы</t>
        </is>
      </c>
    </row>
    <row r="17">
      <c r="A17" t="inlineStr">
        <is>
          <t xml:space="preserve">  └ ПРОЕКТНОЕ за год</t>
        </is>
      </c>
      <c r="B17" s="31">
        <f>project_pool</f>
        <v/>
      </c>
      <c r="C17" s="25" t="inlineStr">
        <is>
          <t>на выполнение всех проектов</t>
        </is>
      </c>
    </row>
    <row r="18">
      <c r="A18" t="inlineStr">
        <is>
          <t xml:space="preserve">      ├ ПРОФИЛЬНОЕ (по профилю)</t>
        </is>
      </c>
      <c r="B18" s="31">
        <f>core_time</f>
        <v/>
      </c>
      <c r="C18" s="25" t="inlineStr">
        <is>
          <t>S × (1+коэф.): площадка + обработка</t>
        </is>
      </c>
    </row>
    <row r="19">
      <c r="A19" t="inlineStr">
        <is>
          <t xml:space="preserve">      │   ├ СЪЁМОЧНОЕ ← ЦЕЛЬ</t>
        </is>
      </c>
      <c r="B19" s="52">
        <f>shooting_time</f>
        <v/>
      </c>
      <c r="C19" s="25" t="inlineStr">
        <is>
          <t>S — работа на площадке</t>
        </is>
      </c>
    </row>
    <row r="20">
      <c r="A20" t="inlineStr">
        <is>
          <t xml:space="preserve">      │   └ постпродакшн</t>
        </is>
      </c>
      <c r="B20" s="31">
        <f>post_time</f>
        <v/>
      </c>
      <c r="C20" s="25" t="inlineStr">
        <is>
          <t>S × коэффициент — обработка</t>
        </is>
      </c>
    </row>
    <row r="21">
      <c r="A21" t="inlineStr">
        <is>
          <t xml:space="preserve">      └ работа с клиентом</t>
        </is>
      </c>
      <c r="B21" s="31">
        <f>client_total</f>
        <v/>
      </c>
      <c r="C21" s="25" t="inlineStr">
        <is>
          <t>1 ч на проект: продажа, согласования</t>
        </is>
      </c>
    </row>
    <row r="22">
      <c r="A22" t="inlineStr">
        <is>
          <t>Продолжительность съёмки (S)</t>
        </is>
      </c>
      <c r="B22" s="31">
        <f>shoot_duration</f>
        <v/>
      </c>
      <c r="C22" s="25" t="inlineStr">
        <is>
          <t>типовой заказ, задаёт пользователь</t>
        </is>
      </c>
    </row>
    <row r="23">
      <c r="A23" t="inlineStr">
        <is>
          <t>Коэффициент обработки</t>
        </is>
      </c>
      <c r="B23" s="31">
        <f>post_ratio</f>
        <v/>
      </c>
      <c r="C23" s="25" t="inlineStr">
        <is>
          <t>часов обработки на 1 час съёмки</t>
        </is>
      </c>
    </row>
    <row r="24">
      <c r="A24" t="inlineStr">
        <is>
          <t>Проектное время на 1 проект</t>
        </is>
      </c>
      <c r="B24" s="31">
        <f>project_time</f>
        <v/>
      </c>
      <c r="C24" s="25" t="inlineStr">
        <is>
          <t>S × (1+коэф.) + 1</t>
        </is>
      </c>
    </row>
    <row r="25">
      <c r="A25" t="inlineStr">
        <is>
          <t>Проектов в год</t>
        </is>
      </c>
      <c r="B25" s="31">
        <f>projects_year</f>
        <v/>
      </c>
      <c r="C25" s="25" t="inlineStr"/>
    </row>
    <row r="26">
      <c r="A26" t="inlineStr">
        <is>
          <t>Проектов в неделю</t>
        </is>
      </c>
      <c r="B26" s="31">
        <f>projects_week</f>
        <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f>IF(ABS(side_time+fm_time+project_pool-net_time)&lt;0.01,"OK","ОШИБКА")</f>
        <v/>
      </c>
    </row>
    <row r="30">
      <c r="A30" t="inlineStr">
        <is>
          <t>Профильное + клиентское = проектное</t>
        </is>
      </c>
      <c r="B30" s="53">
        <f>IF(ABS(core_time+client_total-project_pool)&lt;0.01,"OK","ОШИБКА")</f>
        <v/>
      </c>
    </row>
    <row r="31">
      <c r="A31" t="inlineStr">
        <is>
          <t>Съёмочное + постпродакшн = профильное</t>
        </is>
      </c>
      <c r="B31" s="53">
        <f>IF(ABS(shooting_time+post_time-core_time)&lt;0.01,"OK","ОШИБКА")</f>
        <v/>
      </c>
    </row>
    <row r="33">
      <c r="A33" s="3" t="inlineStr">
        <is>
          <t>РАСХОДЫ</t>
        </is>
      </c>
    </row>
    <row r="34">
      <c r="A34" t="inlineStr">
        <is>
          <t>Амортизация</t>
        </is>
      </c>
      <c r="B34" s="36">
        <f>investment</f>
        <v/>
      </c>
    </row>
    <row r="35">
      <c r="A35" t="inlineStr">
        <is>
          <t>Переменные расходы</t>
        </is>
      </c>
      <c r="B35" s="36">
        <f>variable_costs</f>
        <v/>
      </c>
    </row>
    <row r="36">
      <c r="A36" t="inlineStr">
        <is>
          <t>ВСЕГО расходов (C)</t>
        </is>
      </c>
      <c r="B36" s="36">
        <f>total_costs</f>
        <v/>
      </c>
    </row>
    <row r="37">
      <c r="A37" t="inlineStr">
        <is>
          <t>Эквайринг (% от выручки)</t>
        </is>
      </c>
      <c r="B37" s="39">
        <f>acquiring</f>
        <v/>
      </c>
    </row>
    <row r="39">
      <c r="A39" s="3" t="inlineStr">
        <is>
          <t>СКОЛЬКО ВЫ ТЕРЯЕТЕ</t>
        </is>
      </c>
    </row>
    <row r="41">
      <c r="B41" s="54">
        <f>B38-B37</f>
        <v/>
      </c>
    </row>
    <row r="42">
      <c r="B42" s="55">
        <f>B5</f>
        <v/>
      </c>
    </row>
    <row r="43">
      <c r="A43" t="inlineStr">
        <is>
          <t>Разница с текущей, ₽/час</t>
        </is>
      </c>
    </row>
    <row r="44">
      <c r="A44" t="inlineStr">
        <is>
          <t>Недополучено за год, ₽</t>
        </is>
      </c>
      <c r="B44" s="54">
        <f>B43*shooting_time</f>
        <v/>
      </c>
    </row>
    <row r="46">
      <c r="A46" s="3" t="inlineStr">
        <is>
          <t>САМОПРОВЕРКИ</t>
        </is>
      </c>
    </row>
    <row r="47">
      <c r="A47" t="inlineStr">
        <is>
          <t>Все режимы дают желаемый доход</t>
        </is>
      </c>
      <c r="B47" s="53">
        <f>IF(SUMPRODUCT(--(ABS('05_Расчёт'!B24:H24-target_income)&gt;1))=0,"OK","ОШИБКА")</f>
        <v/>
      </c>
    </row>
    <row r="48">
      <c r="A48" t="inlineStr">
        <is>
          <t>Точки безубыточности сходятся в ноль</t>
        </is>
      </c>
      <c r="B48" s="53">
        <f>IF(SUMPRODUCT(--(ABS('05_Расчёт'!B23:H23)&gt;1))=0,"OK","ОШИБКА")</f>
        <v/>
      </c>
    </row>
    <row r="49">
      <c r="A49" t="inlineStr">
        <is>
          <t>Амортизация + переменные = всего расходов</t>
        </is>
      </c>
      <c r="B49" s="53">
        <f>IF(ABS(investment+variable_costs-total_costs)&lt;0.01,"OK","ОШИБКА")</f>
        <v/>
      </c>
    </row>
    <row r="50">
      <c r="A50" t="inlineStr">
        <is>
          <t>Проектное время положительно</t>
        </is>
      </c>
      <c r="B50" s="53">
        <f>IF(project_pool&gt;0,"OK","ОШИБКА: операционное больше чистого")</f>
        <v/>
      </c>
    </row>
    <row r="51">
      <c r="A51" t="inlineStr">
        <is>
          <t>Съёмочных часов больше нуля</t>
        </is>
      </c>
      <c r="B51" s="53">
        <f>IF(shooting_time&gt;0,"OK","ЗАПОЛНИТЕ продолжительность съёмки")</f>
        <v/>
      </c>
    </row>
    <row r="52">
      <c r="A52" t="inlineStr">
        <is>
          <t>Лимиты режимов не превышены</t>
        </is>
      </c>
      <c r="B52" s="53">
        <f>IF(COUNTIF('05_Расчёт'!B25:H25,"ок")=7,"OK","ПРОВЕРЬТЕ")</f>
        <v/>
      </c>
    </row>
    <row r="53">
      <c r="A53" t="inlineStr">
        <is>
          <t>Бухгалтер: либо деньги, либо время</t>
        </is>
      </c>
      <c r="B53" s="53">
        <f>IF(OR(AND(var_accounting&gt;0,accounting_time=0),AND(var_accounting=0,accounting_time&gt;0)),"OK","ПРОВЕРЬТЕ")</f>
        <v/>
      </c>
    </row>
    <row r="54">
      <c r="A54" t="inlineStr">
        <is>
          <t>Длительность съёмки задана</t>
        </is>
      </c>
      <c r="B54" s="53">
        <f>IF(shoot_duration&gt;0,"OK","ЗАПОЛНИТЕ")</f>
        <v/>
      </c>
    </row>
    <row r="55">
      <c r="A55" t="inlineStr">
        <is>
          <t>Час проектного времени положителен</t>
        </is>
      </c>
      <c r="B55" s="53">
        <f>IF(hour_pool&gt;0,"OK","ПРОВЕРЬТЕ")</f>
        <v/>
      </c>
    </row>
    <row r="56">
      <c r="A56" t="inlineStr">
        <is>
          <t>Резерв на форс-мажоры не больше 30%</t>
        </is>
      </c>
      <c r="B56" s="53">
        <f>IF(fm_pct&lt;=0.3,"OK","СЛИШКОМ БОЛЬШОЙ")</f>
        <v/>
      </c>
    </row>
    <row r="57">
      <c r="A57" t="inlineStr">
        <is>
          <t>Сайт: либо сумма, либо часы</t>
        </is>
      </c>
      <c r="B57" s="53">
        <f>IF(OR(AND(dep_website&gt;0,site_divisor=0),AND(dep_website=0,site_divisor&gt;=0)),"OK","ПРОВЕРЬТЕ")</f>
        <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
      </c>
      <c r="C4" s="48">
        <f>(target_income+total_costs)/((1-acquiring-site_divisor)-rate_npd_fiz)</f>
        <v/>
      </c>
      <c r="D4" s="48">
        <f>(target_income+total_costs)/((1-acquiring-site_divisor)-rate_npd_ur)</f>
        <v/>
      </c>
      <c r="E4" s="48">
        <f>MAX(((target_income+total_costs)+fixed_contrib-threshold_credit)/((1-acquiring-site_divisor)-extra_contrib),(target_income+total_costs)/((1-acquiring-site_divisor)-rate_usn_inc))</f>
        <v/>
      </c>
      <c r="F4" s="48">
        <f>((target_income/(1-rate_usn_prof))+(fixed_contrib-threshold_credit+extra_contrib*(target_income/(1-rate_usn_prof)))+total_costs)/(1-acquiring-site_divisor)</f>
        <v/>
      </c>
      <c r="G4" s="48">
        <f>((target_income+total_costs)+injury_contrib)/((1-acquiring-site_divisor)-rate_ausn_inc)</f>
        <v/>
      </c>
      <c r="H4" s="48">
        <f>((target_income/(1-rate_ausn_prof))+total_costs+injury_contrib)/(1-acquiring-site_divisor)</f>
        <v/>
      </c>
    </row>
    <row r="5">
      <c r="A5" t="inlineStr">
        <is>
          <t>Выручка, ₽/месяц</t>
        </is>
      </c>
      <c r="B5" s="57">
        <f>B4/months</f>
        <v/>
      </c>
      <c r="C5" s="57">
        <f>C4/months</f>
        <v/>
      </c>
      <c r="D5" s="57">
        <f>D4/months</f>
        <v/>
      </c>
      <c r="E5" s="57">
        <f>E4/months</f>
        <v/>
      </c>
      <c r="F5" s="57">
        <f>F4/months</f>
        <v/>
      </c>
      <c r="G5" s="57">
        <f>G4/months</f>
        <v/>
      </c>
      <c r="H5" s="57">
        <f>H4/months</f>
        <v/>
      </c>
    </row>
    <row r="7">
      <c r="A7" t="inlineStr">
        <is>
          <t>Эквайринг, ₽/год</t>
        </is>
      </c>
      <c r="B7" s="57">
        <f>B4*acquiring</f>
        <v/>
      </c>
      <c r="C7" s="57">
        <f>C4*acquiring</f>
        <v/>
      </c>
      <c r="D7" s="57">
        <f>D4*acquiring</f>
        <v/>
      </c>
      <c r="E7" s="57">
        <f>E4*acquiring</f>
        <v/>
      </c>
      <c r="F7" s="57">
        <f>F4*acquiring</f>
        <v/>
      </c>
      <c r="G7" s="57">
        <f>G4*acquiring</f>
        <v/>
      </c>
      <c r="H7" s="57">
        <f>H4*acquiring</f>
        <v/>
      </c>
    </row>
    <row r="8">
      <c r="A8" t="inlineStr">
        <is>
          <t>Страховые взносы (фикс.)</t>
        </is>
      </c>
      <c r="B8" s="57">
        <f>0</f>
        <v/>
      </c>
      <c r="C8" s="57">
        <f>0</f>
        <v/>
      </c>
      <c r="D8" s="57">
        <f>0</f>
        <v/>
      </c>
      <c r="E8" s="57">
        <f>fixed_contrib</f>
        <v/>
      </c>
      <c r="F8" s="57">
        <f>fixed_contrib</f>
        <v/>
      </c>
      <c r="G8" s="57">
        <f>0</f>
        <v/>
      </c>
      <c r="H8" s="57">
        <f>0</f>
        <v/>
      </c>
    </row>
    <row r="9">
      <c r="A9" t="inlineStr">
        <is>
          <t>База для доначисления 1%</t>
        </is>
      </c>
      <c r="B9" s="57">
        <f>0</f>
        <v/>
      </c>
      <c r="C9" s="57">
        <f>0</f>
        <v/>
      </c>
      <c r="D9" s="57">
        <f>0</f>
        <v/>
      </c>
      <c r="E9" s="57">
        <f>MAX(0,E4-contrib_threshold)</f>
        <v/>
      </c>
      <c r="F9" s="57">
        <f>MAX(0,(target_income/(1-rate_usn_prof))-contrib_threshold)</f>
        <v/>
      </c>
      <c r="G9" s="57">
        <f>0</f>
        <v/>
      </c>
      <c r="H9" s="57">
        <f>0</f>
        <v/>
      </c>
    </row>
    <row r="10">
      <c r="A10" t="inlineStr">
        <is>
          <t>Доначисление 1%</t>
        </is>
      </c>
      <c r="B10" s="57">
        <f>0</f>
        <v/>
      </c>
      <c r="C10" s="57">
        <f>0</f>
        <v/>
      </c>
      <c r="D10" s="57">
        <f>0</f>
        <v/>
      </c>
      <c r="E10" s="57">
        <f>MIN(E9*extra_contrib,contrib_cap)</f>
        <v/>
      </c>
      <c r="F10" s="57">
        <f>MIN(F9*extra_contrib,contrib_cap)</f>
        <v/>
      </c>
      <c r="G10" s="57">
        <f>0</f>
        <v/>
      </c>
      <c r="H10" s="57">
        <f>0</f>
        <v/>
      </c>
    </row>
    <row r="11">
      <c r="A11" t="inlineStr">
        <is>
          <t>Налог</t>
        </is>
      </c>
      <c r="B11" s="57">
        <f>B4*rate_npd_avg</f>
        <v/>
      </c>
      <c r="C11" s="57">
        <f>C4*rate_npd_fiz</f>
        <v/>
      </c>
      <c r="D11" s="57">
        <f>D4*rate_npd_ur</f>
        <v/>
      </c>
      <c r="E11" s="57">
        <f>MAX(0,E4*rate_usn_inc-(E8+E10))</f>
        <v/>
      </c>
      <c r="F11" s="57">
        <f>MAX((target_income/(1-rate_usn_prof))*rate_usn_prof,F4*min_tax_usn)</f>
        <v/>
      </c>
      <c r="G11" s="57">
        <f>G4*rate_ausn_inc</f>
        <v/>
      </c>
      <c r="H11" s="57">
        <f>MAX((target_income/(1-rate_ausn_prof))*rate_ausn_prof,H4*min_tax_ausn)</f>
        <v/>
      </c>
    </row>
    <row r="12">
      <c r="A12" t="inlineStr">
        <is>
          <t>Взнос на травматизм</t>
        </is>
      </c>
      <c r="B12" s="57">
        <f>0</f>
        <v/>
      </c>
      <c r="C12" s="57">
        <f>0</f>
        <v/>
      </c>
      <c r="D12" s="57">
        <f>0</f>
        <v/>
      </c>
      <c r="E12" s="57">
        <f>0</f>
        <v/>
      </c>
      <c r="F12" s="57">
        <f>0</f>
        <v/>
      </c>
      <c r="G12" s="57">
        <f>injury_contrib</f>
        <v/>
      </c>
      <c r="H12" s="57">
        <f>injury_contrib</f>
        <v/>
      </c>
    </row>
    <row r="13">
      <c r="A13" t="inlineStr">
        <is>
          <t>Применён минимальный налог?</t>
        </is>
      </c>
      <c r="B13" s="28">
        <f>"—"</f>
        <v/>
      </c>
      <c r="C13" s="28">
        <f>"—"</f>
        <v/>
      </c>
      <c r="D13" s="28">
        <f>"—"</f>
        <v/>
      </c>
      <c r="E13" s="28">
        <f>"—"</f>
        <v/>
      </c>
      <c r="F13" s="28">
        <f>IF((target_income/(1-rate_usn_prof))*rate_usn_prof&lt;F4*min_tax_usn,"ДА","нет")</f>
        <v/>
      </c>
      <c r="G13" s="28">
        <f>"—"</f>
        <v/>
      </c>
      <c r="H13" s="28">
        <f>IF((target_income/(1-rate_ausn_prof))*rate_ausn_prof&lt;H4*min_tax_ausn,"ДА","нет")</f>
        <v/>
      </c>
    </row>
    <row r="15">
      <c r="A15" s="2" t="inlineStr">
        <is>
          <t>ВСЕГО налогов и взносов</t>
        </is>
      </c>
      <c r="B15" s="58">
        <f>B8+B10+B11+B12</f>
        <v/>
      </c>
      <c r="C15" s="58">
        <f>C8+C10+C11+C12</f>
        <v/>
      </c>
      <c r="D15" s="58">
        <f>D8+D10+D11+D12</f>
        <v/>
      </c>
      <c r="E15" s="58">
        <f>E8+E10+E11+E12</f>
        <v/>
      </c>
      <c r="F15" s="58">
        <f>F8+F10+F11+F12</f>
        <v/>
      </c>
      <c r="G15" s="58">
        <f>G8+G10+G11+G12</f>
        <v/>
      </c>
      <c r="H15" s="58">
        <f>H8+H10+H11+H12</f>
        <v/>
      </c>
    </row>
    <row r="16">
      <c r="A16" t="inlineStr">
        <is>
          <t>Всего налогов и взносов, ₽/мес</t>
        </is>
      </c>
      <c r="B16" s="57">
        <f>B15/months</f>
        <v/>
      </c>
      <c r="C16" s="57">
        <f>C15/months</f>
        <v/>
      </c>
      <c r="D16" s="57">
        <f>D15/months</f>
        <v/>
      </c>
      <c r="E16" s="57">
        <f>E15/months</f>
        <v/>
      </c>
      <c r="F16" s="57">
        <f>F15/months</f>
        <v/>
      </c>
      <c r="G16" s="57">
        <f>G15/months</f>
        <v/>
      </c>
      <c r="H16" s="57">
        <f>H15/months</f>
        <v/>
      </c>
    </row>
    <row r="17">
      <c r="A17" s="2" t="inlineStr">
        <is>
          <t>Эффективная нагрузка</t>
        </is>
      </c>
      <c r="B17" s="59">
        <f>IF(B4=0,0,B15/B4)</f>
        <v/>
      </c>
      <c r="C17" s="59">
        <f>IF(C4=0,0,C15/C4)</f>
        <v/>
      </c>
      <c r="D17" s="59">
        <f>IF(D4=0,0,D15/D4)</f>
        <v/>
      </c>
      <c r="E17" s="59">
        <f>IF(E4=0,0,E15/E4)</f>
        <v/>
      </c>
      <c r="F17" s="59">
        <f>IF(F4=0,0,F15/F4)</f>
        <v/>
      </c>
      <c r="G17" s="59">
        <f>IF(G4=0,0,G15/G4)</f>
        <v/>
      </c>
      <c r="H17" s="59">
        <f>IF(H4=0,0,H15/H4)</f>
        <v/>
      </c>
    </row>
    <row r="19">
      <c r="A19" s="2" t="inlineStr">
        <is>
          <t>ПОЛНАЯ СТАВКА ЧАСА, ₽/час</t>
        </is>
      </c>
      <c r="B19" s="48">
        <f>IF(shooting_time=0,0,B4/shooting_time)</f>
        <v/>
      </c>
      <c r="C19" s="48">
        <f>IF(shooting_time=0,0,C4/shooting_time)</f>
        <v/>
      </c>
      <c r="D19" s="48">
        <f>IF(shooting_time=0,0,D4/shooting_time)</f>
        <v/>
      </c>
      <c r="E19" s="48">
        <f>IF(shooting_time=0,0,E4/shooting_time)</f>
        <v/>
      </c>
      <c r="F19" s="48">
        <f>IF(shooting_time=0,0,F4/shooting_time)</f>
        <v/>
      </c>
      <c r="G19" s="48">
        <f>IF(shooting_time=0,0,G4/shooting_time)</f>
        <v/>
      </c>
      <c r="H19" s="48">
        <f>IF(shooting_time=0,0,H4/shooting_time)</f>
        <v/>
      </c>
    </row>
    <row r="20">
      <c r="A20" s="2" t="inlineStr">
        <is>
          <t>Стоимость проекта, ₽</t>
        </is>
      </c>
      <c r="B20" s="48">
        <f>IF(projects_year=0,0,B4/projects_year)</f>
        <v/>
      </c>
      <c r="C20" s="48">
        <f>IF(projects_year=0,0,C4/projects_year)</f>
        <v/>
      </c>
      <c r="D20" s="48">
        <f>IF(projects_year=0,0,D4/projects_year)</f>
        <v/>
      </c>
      <c r="E20" s="48">
        <f>IF(projects_year=0,0,E4/projects_year)</f>
        <v/>
      </c>
      <c r="F20" s="48">
        <f>IF(projects_year=0,0,F4/projects_year)</f>
        <v/>
      </c>
      <c r="G20" s="48">
        <f>IF(projects_year=0,0,G4/projects_year)</f>
        <v/>
      </c>
      <c r="H20" s="48">
        <f>IF(projects_year=0,0,H4/projects_year)</f>
        <v/>
      </c>
    </row>
    <row r="22">
      <c r="A22" t="inlineStr">
        <is>
          <t>Точка безубыточности, ₽/год</t>
        </is>
      </c>
      <c r="B22" s="60">
        <f>total_costs/((1-acquiring-site_divisor)-rate_npd_avg)</f>
        <v/>
      </c>
      <c r="C22" s="60">
        <f>total_costs/((1-acquiring-site_divisor)-rate_npd_fiz)</f>
        <v/>
      </c>
      <c r="D22" s="60">
        <f>total_costs/((1-acquiring-site_divisor)-rate_npd_ur)</f>
        <v/>
      </c>
      <c r="E22" s="60">
        <f>MAX((total_costs+fixed_contrib-threshold_credit)/((1-acquiring-site_divisor)-extra_contrib),total_costs/((1-acquiring-site_divisor)-rate_usn_inc))</f>
        <v/>
      </c>
      <c r="F22" s="60">
        <f>(total_costs+fixed_contrib)/((1-acquiring-site_divisor)-min_tax_usn)</f>
        <v/>
      </c>
      <c r="G22" s="60">
        <f>(total_costs+injury_contrib)/((1-acquiring-site_divisor)-rate_ausn_inc)</f>
        <v/>
      </c>
      <c r="H22" s="60">
        <f>(total_costs+injury_contrib)/((1-acquiring-site_divisor)-min_tax_ausn)</f>
        <v/>
      </c>
    </row>
    <row r="23">
      <c r="A23" t="inlineStr">
        <is>
          <t>ПРОВЕРКА безубыточности (=0)</t>
        </is>
      </c>
      <c r="B23" s="38">
        <f>B22-total_costs-B22*acquiring-B22*rate_npd_avg</f>
        <v/>
      </c>
      <c r="C23" s="38">
        <f>C22-total_costs-C22*acquiring-C22*rate_npd_fiz</f>
        <v/>
      </c>
      <c r="D23" s="38">
        <f>D22-total_costs-D22*acquiring-D22*rate_npd_ur</f>
        <v/>
      </c>
      <c r="E23" s="38">
        <f>E22-total_costs-E22*acquiring-MAX(fixed_contrib+MIN(MAX(0,E22-contrib_threshold)*extra_contrib,contrib_cap),E22*rate_usn_inc)</f>
        <v/>
      </c>
      <c r="F23" s="38">
        <f>F22-total_costs-F22*acquiring-fixed_contrib-F22*min_tax_usn</f>
        <v/>
      </c>
      <c r="G23" s="38">
        <f>G22-total_costs-G22*acquiring-G22*rate_ausn_inc</f>
        <v/>
      </c>
      <c r="H23" s="38">
        <f>H22-total_costs-H22*acquiring-H22*min_tax_ausn</f>
        <v/>
      </c>
    </row>
    <row r="24">
      <c r="A24" s="2" t="inlineStr">
        <is>
          <t>ПРОВЕРКА: остаётся на руки</t>
        </is>
      </c>
      <c r="B24" s="58">
        <f>B4-total_costs-B7-B15</f>
        <v/>
      </c>
      <c r="C24" s="58">
        <f>C4-total_costs-C7-C15</f>
        <v/>
      </c>
      <c r="D24" s="58">
        <f>D4-total_costs-D7-D15</f>
        <v/>
      </c>
      <c r="E24" s="58">
        <f>E4-total_costs-E7-E15</f>
        <v/>
      </c>
      <c r="F24" s="58">
        <f>F4-total_costs-F7-F15</f>
        <v/>
      </c>
      <c r="G24" s="58">
        <f>G4-total_costs-G7-G15</f>
        <v/>
      </c>
      <c r="H24" s="58">
        <f>H4-total_costs-H7-H15</f>
        <v/>
      </c>
    </row>
    <row r="25">
      <c r="A25" t="inlineStr">
        <is>
          <t>Контроль лимитов</t>
        </is>
      </c>
      <c r="B25" s="61">
        <f>IF(B4&gt;limit_npd,"! лимит НПД","ок")</f>
        <v/>
      </c>
      <c r="C25" s="61">
        <f>IF(C4&gt;limit_npd,"! лимит НПД","ок")</f>
        <v/>
      </c>
      <c r="D25" s="61">
        <f>IF(D4&gt;limit_npd,"! лимит НПД","ок")</f>
        <v/>
      </c>
      <c r="E25" s="61">
        <f>IF(E4&gt;vat_threshold,"! НДС","ок")</f>
        <v/>
      </c>
      <c r="F25" s="61">
        <f>IF(F4&gt;vat_threshold,"! НДС","ок")</f>
        <v/>
      </c>
      <c r="G25" s="61">
        <f>IF(G4&gt;limit_ausn,"! лимит АУСН","ок")</f>
        <v/>
      </c>
      <c r="H25" s="61">
        <f>IF(H4&gt;limit_ausn,"! лимит АУСН","ок")</f>
        <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
      </c>
      <c r="C6" s="57">
        <f>IF(months=0,0,B6/months)</f>
        <v/>
      </c>
      <c r="D6" s="57">
        <f>IF(shooting_time=0,0,B6/shooting_time)</f>
        <v/>
      </c>
      <c r="E6" s="57">
        <f>IF(projects_year=0,0,B6/projects_year)</f>
        <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
      </c>
      <c r="G6" s="63">
        <f>shooting_time</f>
        <v/>
      </c>
    </row>
    <row r="7">
      <c r="A7" t="inlineStr">
        <is>
          <t>Как РЕТУШЁР — обработка материала</t>
        </is>
      </c>
      <c r="B7" s="57">
        <f>(target_income/net_time)*post_time</f>
        <v/>
      </c>
      <c r="C7" s="57">
        <f>IF(months=0,0,B7/months)</f>
        <v/>
      </c>
      <c r="D7" s="57">
        <f>IF(shooting_time=0,0,B7/shooting_time)</f>
        <v/>
      </c>
      <c r="E7" s="57">
        <f>IF(projects_year=0,0,B7/projects_year)</f>
        <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
      </c>
      <c r="G7" s="63">
        <f>post_time</f>
        <v/>
      </c>
    </row>
    <row r="8">
      <c r="A8" t="inlineStr">
        <is>
          <t>Как МЕНЕДЖЕР — работа с клиентом</t>
        </is>
      </c>
      <c r="B8" s="57">
        <f>(target_income/net_time)*client_total</f>
        <v/>
      </c>
      <c r="C8" s="57">
        <f>IF(months=0,0,B8/months)</f>
        <v/>
      </c>
      <c r="D8" s="57">
        <f>IF(shooting_time=0,0,B8/shooting_time)</f>
        <v/>
      </c>
      <c r="E8" s="57">
        <f>IF(projects_year=0,0,B8/projects_year)</f>
        <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
      </c>
      <c r="G8" s="63">
        <f>client_total</f>
        <v/>
      </c>
    </row>
    <row r="9">
      <c r="A9" t="inlineStr">
        <is>
          <t>Как МАРКЕТОЛОГ — продвижение</t>
        </is>
      </c>
      <c r="B9" s="57">
        <f>(target_income/net_time)*promo_time</f>
        <v/>
      </c>
      <c r="C9" s="57">
        <f>IF(months=0,0,B9/months)</f>
        <v/>
      </c>
      <c r="D9" s="57">
        <f>IF(shooting_time=0,0,B9/shooting_time)</f>
        <v/>
      </c>
      <c r="E9" s="57">
        <f>IF(projects_year=0,0,B9/projects_year)</f>
        <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
      </c>
      <c r="G9" s="63">
        <f>promo_time</f>
        <v/>
      </c>
    </row>
    <row r="10">
      <c r="A10" t="inlineStr">
        <is>
          <t>Как БУХГАЛТЕР — учёт и отчётность</t>
        </is>
      </c>
      <c r="B10" s="57">
        <f>(target_income/net_time)*accounting_time</f>
        <v/>
      </c>
      <c r="C10" s="57">
        <f>IF(months=0,0,B10/months)</f>
        <v/>
      </c>
      <c r="D10" s="57">
        <f>IF(shooting_time=0,0,B10/shooting_time)</f>
        <v/>
      </c>
      <c r="E10" s="57">
        <f>IF(projects_year=0,0,B10/projects_year)</f>
        <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
      </c>
      <c r="G10" s="63">
        <f>accounting_time</f>
        <v/>
      </c>
    </row>
    <row r="11">
      <c r="A11" t="inlineStr">
        <is>
          <t>Компенсация форс-мажоров</t>
        </is>
      </c>
      <c r="B11" s="57">
        <f>(target_income/net_time)*fm_time</f>
        <v/>
      </c>
      <c r="C11" s="57">
        <f>IF(months=0,0,B11/months)</f>
        <v/>
      </c>
      <c r="D11" s="57">
        <f>IF(shooting_time=0,0,B11/shooting_time)</f>
        <v/>
      </c>
      <c r="E11" s="57">
        <f>IF(projects_year=0,0,B11/projects_year)</f>
        <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
      </c>
      <c r="G11" s="63">
        <f>fm_time</f>
        <v/>
      </c>
    </row>
    <row r="12">
      <c r="A12" s="2" t="inlineStr">
        <is>
          <t>ИТОГО НА РУКИ</t>
        </is>
      </c>
      <c r="B12" s="48">
        <f>target_income</f>
        <v/>
      </c>
      <c r="C12" s="55">
        <f>IF(months=0,0,B12/months)</f>
        <v/>
      </c>
      <c r="D12" s="55">
        <f>IF(shooting_time=0,0,B12/shooting_time)</f>
        <v/>
      </c>
      <c r="E12" s="55">
        <f>IF(projects_year=0,0,B12/projects_year)</f>
        <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
      </c>
      <c r="G12" s="63">
        <f>net_time</f>
        <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
      </c>
      <c r="C16" s="57">
        <f>IF(months=0,0,B16/months)</f>
        <v/>
      </c>
      <c r="D16" s="57">
        <f>IF(shooting_time=0,0,B16/shooting_time)</f>
        <v/>
      </c>
      <c r="E16" s="57">
        <f>IF(projects_year=0,0,B16/projects_year)</f>
        <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
      </c>
    </row>
    <row r="17">
      <c r="A17" t="inlineStr">
        <is>
          <t>На офисное оборудование</t>
        </is>
      </c>
      <c r="B17" s="57">
        <f>dep_office</f>
        <v/>
      </c>
      <c r="C17" s="57">
        <f>IF(months=0,0,B17/months)</f>
        <v/>
      </c>
      <c r="D17" s="57">
        <f>IF(shooting_time=0,0,B17/shooting_time)</f>
        <v/>
      </c>
      <c r="E17" s="57">
        <f>IF(projects_year=0,0,B17/projects_year)</f>
        <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
      </c>
    </row>
    <row r="18">
      <c r="A18" t="inlineStr">
        <is>
          <t>На ПО (разовые покупки)</t>
        </is>
      </c>
      <c r="B18" s="57">
        <f>dep_software</f>
        <v/>
      </c>
      <c r="C18" s="57">
        <f>IF(months=0,0,B18/months)</f>
        <v/>
      </c>
      <c r="D18" s="57">
        <f>IF(shooting_time=0,0,B18/shooting_time)</f>
        <v/>
      </c>
      <c r="E18" s="57">
        <f>IF(projects_year=0,0,B18/projects_year)</f>
        <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
      </c>
    </row>
    <row r="19">
      <c r="A19" t="inlineStr">
        <is>
          <t>На обустройство рабочего места</t>
        </is>
      </c>
      <c r="B19" s="57">
        <f>dep_workspace</f>
        <v/>
      </c>
      <c r="C19" s="57">
        <f>IF(months=0,0,B19/months)</f>
        <v/>
      </c>
      <c r="D19" s="57">
        <f>IF(shooting_time=0,0,B19/shooting_time)</f>
        <v/>
      </c>
      <c r="E19" s="57">
        <f>IF(projects_year=0,0,B19/projects_year)</f>
        <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
      </c>
    </row>
    <row r="20">
      <c r="A20" t="inlineStr">
        <is>
          <t>На обучение</t>
        </is>
      </c>
      <c r="B20" s="57">
        <f>dep_education</f>
        <v/>
      </c>
      <c r="C20" s="57">
        <f>IF(months=0,0,B20/months)</f>
        <v/>
      </c>
      <c r="D20" s="57">
        <f>IF(shooting_time=0,0,B20/shooting_time)</f>
        <v/>
      </c>
      <c r="E20" s="57">
        <f>IF(projects_year=0,0,B20/projects_year)</f>
        <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
      </c>
    </row>
    <row r="21">
      <c r="A21" t="inlineStr">
        <is>
          <t>На сайт</t>
        </is>
      </c>
      <c r="B21" s="57">
        <f>dep_website</f>
        <v/>
      </c>
      <c r="C21" s="57">
        <f>IF(months=0,0,B21/months)</f>
        <v/>
      </c>
      <c r="D21" s="57">
        <f>IF(shooting_time=0,0,B21/shooting_time)</f>
        <v/>
      </c>
      <c r="E21" s="57">
        <f>IF(projects_year=0,0,B21/projects_year)</f>
        <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
      </c>
    </row>
    <row r="22">
      <c r="A22" s="2" t="inlineStr">
        <is>
          <t>ИТОГО амортизация</t>
        </is>
      </c>
      <c r="B22" s="58">
        <f>investment</f>
        <v/>
      </c>
      <c r="C22" s="38">
        <f>IF(months=0,0,B22/months)</f>
        <v/>
      </c>
      <c r="D22" s="38">
        <f>IF(shooting_time=0,0,B22/shooting_time)</f>
        <v/>
      </c>
      <c r="E22" s="38">
        <f>IF(projects_year=0,0,B22/projects_year)</f>
        <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
      </c>
      <c r="C26" s="57">
        <f>IF(months=0,0,B26/months)</f>
        <v/>
      </c>
      <c r="D26" s="57">
        <f>IF(shooting_time=0,0,B26/shooting_time)</f>
        <v/>
      </c>
      <c r="E26" s="57">
        <f>IF(projects_year=0,0,B26/projects_year)</f>
        <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
      </c>
    </row>
    <row r="27">
      <c r="A27" t="inlineStr">
        <is>
          <t>Реклама и продвижение</t>
        </is>
      </c>
      <c r="B27" s="57">
        <f>var_ads</f>
        <v/>
      </c>
      <c r="C27" s="57">
        <f>IF(months=0,0,B27/months)</f>
        <v/>
      </c>
      <c r="D27" s="57">
        <f>IF(shooting_time=0,0,B27/shooting_time)</f>
        <v/>
      </c>
      <c r="E27" s="57">
        <f>IF(projects_year=0,0,B27/projects_year)</f>
        <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
      </c>
    </row>
    <row r="28">
      <c r="A28" t="inlineStr">
        <is>
          <t>Банк: РКО и СМС</t>
        </is>
      </c>
      <c r="B28" s="57">
        <f>var_bank</f>
        <v/>
      </c>
      <c r="C28" s="57">
        <f>IF(months=0,0,B28/months)</f>
        <v/>
      </c>
      <c r="D28" s="57">
        <f>IF(shooting_time=0,0,B28/shooting_time)</f>
        <v/>
      </c>
      <c r="E28" s="57">
        <f>IF(projects_year=0,0,B28/projects_year)</f>
        <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
      </c>
    </row>
    <row r="29">
      <c r="A29" t="inlineStr">
        <is>
          <t>Бухгалтер (0 = веду самостоятельно)</t>
        </is>
      </c>
      <c r="B29" s="57">
        <f>var_accounting</f>
        <v/>
      </c>
      <c r="C29" s="57">
        <f>IF(months=0,0,B29/months)</f>
        <v/>
      </c>
      <c r="D29" s="57">
        <f>IF(shooting_time=0,0,B29/shooting_time)</f>
        <v/>
      </c>
      <c r="E29" s="57">
        <f>IF(projects_year=0,0,B29/projects_year)</f>
        <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
      </c>
    </row>
    <row r="30">
      <c r="A30" t="inlineStr">
        <is>
          <t>Аренда и коммунальные</t>
        </is>
      </c>
      <c r="B30" s="57">
        <f>var_workspace</f>
        <v/>
      </c>
      <c r="C30" s="57">
        <f>IF(months=0,0,B30/months)</f>
        <v/>
      </c>
      <c r="D30" s="57">
        <f>IF(shooting_time=0,0,B30/shooting_time)</f>
        <v/>
      </c>
      <c r="E30" s="57">
        <f>IF(projects_year=0,0,B30/projects_year)</f>
        <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
      </c>
    </row>
    <row r="31">
      <c r="A31" s="2" t="inlineStr">
        <is>
          <t>ИТОГО переменные</t>
        </is>
      </c>
      <c r="B31" s="58">
        <f>variable_costs</f>
        <v/>
      </c>
      <c r="C31" s="38">
        <f>IF(months=0,0,B31/months)</f>
        <v/>
      </c>
      <c r="D31" s="38">
        <f>IF(shooting_time=0,0,B31/shooting_time)</f>
        <v/>
      </c>
      <c r="E31" s="38">
        <f>IF(projects_year=0,0,B31/projects_year)</f>
        <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
      </c>
      <c r="C35" s="57">
        <f>IF(months=0,0,B35/months)</f>
        <v/>
      </c>
      <c r="D35" s="57">
        <f>IF(shooting_time=0,0,B35/shooting_time)</f>
        <v/>
      </c>
      <c r="E35" s="57">
        <f>IF(projects_year=0,0,B35/projects_year)</f>
        <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
      </c>
    </row>
    <row r="36">
      <c r="A36" t="inlineStr">
        <is>
          <t>Эквайринг (комиссия банка)</t>
        </is>
      </c>
      <c r="B36" s="57">
        <f>(CHOOSE(regime_no,'05_Расчёт'!B4,'05_Расчёт'!C4,'05_Расчёт'!D4,'05_Расчёт'!E4,'05_Расчёт'!F4,'05_Расчёт'!G4,'05_Расчёт'!H4))*acquiring</f>
        <v/>
      </c>
      <c r="C36" s="57">
        <f>IF(months=0,0,B36/months)</f>
        <v/>
      </c>
      <c r="D36" s="57">
        <f>IF(shooting_time=0,0,B36/shooting_time)</f>
        <v/>
      </c>
      <c r="E36" s="57">
        <f>IF(projects_year=0,0,B36/projects_year)</f>
        <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
      </c>
    </row>
    <row r="38">
      <c r="A38" s="2" t="inlineStr">
        <is>
          <t>ВСЕГО = ВЫРУЧКА</t>
        </is>
      </c>
      <c r="B38" s="48">
        <f>CHOOSE(regime_no,'05_Расчёт'!B4,'05_Расчёт'!C4,'05_Расчёт'!D4,'05_Расчёт'!E4,'05_Расчёт'!F4,'05_Расчёт'!G4,'05_Расчёт'!H4)</f>
        <v/>
      </c>
      <c r="C38" s="48">
        <f>IF(months=0,0,B38/months)</f>
        <v/>
      </c>
      <c r="D38" s="48">
        <f>IF(shooting_time=0,0,B38/shooting_time)</f>
        <v/>
      </c>
      <c r="E38" s="48">
        <f>IF(projects_year=0,0,B38/projects_year)</f>
        <v/>
      </c>
      <c r="F38" s="50">
        <f>1</f>
        <v/>
      </c>
    </row>
    <row r="39">
      <c r="A39" s="2" t="inlineStr">
        <is>
          <t>Сверка: сумма всех статей</t>
        </is>
      </c>
      <c r="B39" s="64">
        <f>IF(ABS(B12+investment+variable_costs+B35+B36-B38)&lt;1,"OK — сходится до рубля","РАСХОЖДЕНИЕ")</f>
        <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
      </c>
      <c r="C43" s="55">
        <f>(CHOOSE(regime_no,'05_Расчёт'!B4,'05_Расчёт'!C4,'05_Расчёт'!D4,'05_Расчёт'!E4,'05_Расчёт'!F4,'05_Расчёт'!G4,'05_Расчёт'!H4))/projects_year</f>
        <v/>
      </c>
      <c r="D43" s="55">
        <f>CHOOSE(regime_no,'05_Расчёт'!B4,'05_Расчёт'!C4,'05_Расчёт'!D4,'05_Расчёт'!E4,'05_Расчёт'!F4,'05_Расчёт'!G4,'05_Расчёт'!H4)</f>
        <v/>
      </c>
      <c r="E43" s="55">
        <f>target_income</f>
        <v/>
      </c>
      <c r="F43" s="55">
        <f>target_income/months</f>
        <v/>
      </c>
      <c r="G43" s="65">
        <f>1</f>
        <v/>
      </c>
    </row>
    <row r="44">
      <c r="A44" s="2" t="inlineStr">
        <is>
          <t>ВАША ТЕКУЩАЯ — по ней работаете сейчас</t>
        </is>
      </c>
      <c r="B44" s="66">
        <f>current_rate</f>
        <v/>
      </c>
      <c r="C44" s="66">
        <f>current_rate*shooting_time/projects_year</f>
        <v/>
      </c>
      <c r="D44" s="66">
        <f>current_rate*shooting_time</f>
        <v/>
      </c>
      <c r="E44" s="66">
        <f>(current_rate*shooting_time*(1-rate_current-acquiring)-total_costs)</f>
        <v/>
      </c>
      <c r="F44" s="66">
        <f>(current_rate*shooting_time*(1-rate_current-acquiring)-total_costs)/months</f>
        <v/>
      </c>
      <c r="G44" s="67">
        <f>(current_rate*shooting_time*(1-rate_current-acquiring)-total_costs)/target_income</f>
        <v/>
      </c>
    </row>
    <row r="45">
      <c r="A45" s="2" t="inlineStr">
        <is>
          <t>БЕЗУБЫТОЧНОСТЬ — работа в ноль</t>
        </is>
      </c>
      <c r="B45" s="68">
        <f>(CHOOSE(regime_no,'05_Расчёт'!B22,'05_Расчёт'!C22,'05_Расчёт'!D22,'05_Расчёт'!E22,'05_Расчёт'!F22,'05_Расчёт'!G22,'05_Расчёт'!H22))/shooting_time</f>
        <v/>
      </c>
      <c r="C45" s="68">
        <f>(CHOOSE(regime_no,'05_Расчёт'!B22,'05_Расчёт'!C22,'05_Расчёт'!D22,'05_Расчёт'!E22,'05_Расчёт'!F22,'05_Расчёт'!G22,'05_Расчёт'!H22))/projects_year</f>
        <v/>
      </c>
      <c r="D45" s="68">
        <f>CHOOSE(regime_no,'05_Расчёт'!B22,'05_Расчёт'!C22,'05_Расчёт'!D22,'05_Расчёт'!E22,'05_Расчёт'!F22,'05_Расчёт'!G22,'05_Расчёт'!H22)</f>
        <v/>
      </c>
      <c r="E45" s="68">
        <f>0</f>
        <v/>
      </c>
      <c r="F45" s="68">
        <f>0</f>
        <v/>
      </c>
      <c r="G45" s="69">
        <f>0</f>
        <v/>
      </c>
    </row>
    <row r="47">
      <c r="A47" s="2" t="inlineStr">
        <is>
          <t>Недополучено за год при текущей ставке</t>
        </is>
      </c>
      <c r="B47" s="54">
        <f>target_income-(current_rate*shooting_time*(1-rate_current-acquiring)-total_costs)</f>
        <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
      </c>
      <c r="C56" s="57">
        <f>IF(shooting_time=0,0,B56/shooting_time)</f>
        <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
      </c>
      <c r="F56" s="5" t="inlineStr">
        <is>
          <t>Ваш доход на руки</t>
        </is>
      </c>
      <c r="G56" s="57">
        <f>MAX(0,((current_rate*shooting_time)*(1-rate_current-acquiring)-total_costs))</f>
        <v/>
      </c>
      <c r="H56" s="57">
        <f>IF(shooting_time=0,0,G56/shooting_time)</f>
        <v/>
      </c>
      <c r="I56" s="62">
        <f>IF((current_rate*shooting_time)=0,0,G56/(current_rate*shooting_time))</f>
        <v/>
      </c>
      <c r="K56" s="5" t="inlineStr">
        <is>
          <t>Ваш доход на руки</t>
        </is>
      </c>
      <c r="L56" s="57">
        <f>MAX(0,0)</f>
        <v/>
      </c>
      <c r="M56" s="57">
        <f>IF(shooting_time=0,0,L56/shooting_time)</f>
        <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
      </c>
    </row>
    <row r="57">
      <c r="A57" s="5" t="inlineStr">
        <is>
          <t>Отложить на оборудование и обучение</t>
        </is>
      </c>
      <c r="B57" s="57">
        <f>MAX(0,investment)</f>
        <v/>
      </c>
      <c r="C57" s="57">
        <f>IF(shooting_time=0,0,B57/shooting_time)</f>
        <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
      </c>
      <c r="F57" s="5" t="inlineStr">
        <is>
          <t>Отложить на оборудование и обучение</t>
        </is>
      </c>
      <c r="G57" s="57">
        <f>MAX(0,investment)</f>
        <v/>
      </c>
      <c r="H57" s="57">
        <f>IF(shooting_time=0,0,G57/shooting_time)</f>
        <v/>
      </c>
      <c r="I57" s="62">
        <f>IF((current_rate*shooting_time)=0,0,G57/(current_rate*shooting_time))</f>
        <v/>
      </c>
      <c r="K57" s="5" t="inlineStr">
        <is>
          <t>Отложить на оборудование и обучение</t>
        </is>
      </c>
      <c r="L57" s="57">
        <f>MAX(0,investment)</f>
        <v/>
      </c>
      <c r="M57" s="57">
        <f>IF(shooting_time=0,0,L57/shooting_time)</f>
        <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
      </c>
    </row>
    <row r="58">
      <c r="A58" s="5" t="inlineStr">
        <is>
          <t>Регулярные расходы (реклама, аренда, ПО)</t>
        </is>
      </c>
      <c r="B58" s="57">
        <f>MAX(0,variable_costs)</f>
        <v/>
      </c>
      <c r="C58" s="57">
        <f>IF(shooting_time=0,0,B58/shooting_time)</f>
        <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
      </c>
      <c r="F58" s="5" t="inlineStr">
        <is>
          <t>Регулярные расходы (реклама, аренда, ПО)</t>
        </is>
      </c>
      <c r="G58" s="57">
        <f>MAX(0,variable_costs)</f>
        <v/>
      </c>
      <c r="H58" s="57">
        <f>IF(shooting_time=0,0,G58/shooting_time)</f>
        <v/>
      </c>
      <c r="I58" s="62">
        <f>IF((current_rate*shooting_time)=0,0,G58/(current_rate*shooting_time))</f>
        <v/>
      </c>
      <c r="K58" s="5" t="inlineStr">
        <is>
          <t>Регулярные расходы (реклама, аренда, ПО)</t>
        </is>
      </c>
      <c r="L58" s="57">
        <f>MAX(0,variable_costs)</f>
        <v/>
      </c>
      <c r="M58" s="57">
        <f>IF(shooting_time=0,0,L58/shooting_time)</f>
        <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
      </c>
    </row>
    <row r="59">
      <c r="A59" s="5" t="inlineStr">
        <is>
          <t>Налог и страховые взносы</t>
        </is>
      </c>
      <c r="B59" s="57">
        <f>MAX(0,(CHOOSE(regime_no,'05_Расчёт'!B4,'05_Расчёт'!C4,'05_Расчёт'!D4,'05_Расчёт'!E4,'05_Расчёт'!F4,'05_Расчёт'!G4,'05_Расчёт'!H4))*rate_current)</f>
        <v/>
      </c>
      <c r="C59" s="57">
        <f>IF(shooting_time=0,0,B59/shooting_time)</f>
        <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
      </c>
      <c r="F59" s="5" t="inlineStr">
        <is>
          <t>Налог и страховые взносы</t>
        </is>
      </c>
      <c r="G59" s="57">
        <f>MAX(0,(current_rate*shooting_time)*rate_current)</f>
        <v/>
      </c>
      <c r="H59" s="57">
        <f>IF(shooting_time=0,0,G59/shooting_time)</f>
        <v/>
      </c>
      <c r="I59" s="62">
        <f>IF((current_rate*shooting_time)=0,0,G59/(current_rate*shooting_time))</f>
        <v/>
      </c>
      <c r="K59" s="5" t="inlineStr">
        <is>
          <t>Налог и страховые взносы</t>
        </is>
      </c>
      <c r="L59" s="57">
        <f>MAX(0,(CHOOSE(regime_no,'05_Расчёт'!B22,'05_Расчёт'!C22,'05_Расчёт'!D22,'05_Расчёт'!E22,'05_Расчёт'!F22,'05_Расчёт'!G22,'05_Расчёт'!H22))*rate_current)</f>
        <v/>
      </c>
      <c r="M59" s="57">
        <f>IF(shooting_time=0,0,L59/shooting_time)</f>
        <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
      </c>
    </row>
    <row r="60">
      <c r="A60" s="5" t="inlineStr">
        <is>
          <t>Банку за эквайринг</t>
        </is>
      </c>
      <c r="B60" s="57">
        <f>MAX(0,(CHOOSE(regime_no,'05_Расчёт'!B4,'05_Расчёт'!C4,'05_Расчёт'!D4,'05_Расчёт'!E4,'05_Расчёт'!F4,'05_Расчёт'!G4,'05_Расчёт'!H4))*acquiring)</f>
        <v/>
      </c>
      <c r="C60" s="57">
        <f>IF(shooting_time=0,0,B60/shooting_time)</f>
        <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
      </c>
      <c r="F60" s="5" t="inlineStr">
        <is>
          <t>Банку за эквайринг</t>
        </is>
      </c>
      <c r="G60" s="57">
        <f>MAX(0,(current_rate*shooting_time)*acquiring)</f>
        <v/>
      </c>
      <c r="H60" s="57">
        <f>IF(shooting_time=0,0,G60/shooting_time)</f>
        <v/>
      </c>
      <c r="I60" s="62">
        <f>IF((current_rate*shooting_time)=0,0,G60/(current_rate*shooting_time))</f>
        <v/>
      </c>
      <c r="K60" s="5" t="inlineStr">
        <is>
          <t>Банку за эквайринг</t>
        </is>
      </c>
      <c r="L60" s="57">
        <f>MAX(0,(CHOOSE(regime_no,'05_Расчёт'!B22,'05_Расчёт'!C22,'05_Расчёт'!D22,'05_Расчёт'!E22,'05_Расчёт'!F22,'05_Расчёт'!G22,'05_Расчёт'!H22))*acquiring)</f>
        <v/>
      </c>
      <c r="M60" s="57">
        <f>IF(shooting_time=0,0,L60/shooting_time)</f>
        <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
      </c>
    </row>
    <row r="61">
      <c r="A61" s="77" t="inlineStr">
        <is>
          <t>ИТОГО берёте с клиента</t>
        </is>
      </c>
      <c r="B61" s="48">
        <f>(CHOOSE(regime_no,'05_Расчёт'!B4,'05_Расчёт'!C4,'05_Расчёт'!D4,'05_Расчёт'!E4,'05_Расчёт'!F4,'05_Расчёт'!G4,'05_Расчёт'!H4))</f>
        <v/>
      </c>
      <c r="C61" s="48">
        <f>IF(shooting_time=0,0,(CHOOSE(regime_no,'05_Расчёт'!B4,'05_Расчёт'!C4,'05_Расчёт'!D4,'05_Расчёт'!E4,'05_Расчёт'!F4,'05_Расчёт'!G4,'05_Расчёт'!H4))/shooting_time)</f>
        <v/>
      </c>
      <c r="D61" s="50">
        <f>1</f>
        <v/>
      </c>
      <c r="F61" s="77" t="inlineStr">
        <is>
          <t>ИТОГО берёте с клиента</t>
        </is>
      </c>
      <c r="G61" s="54">
        <f>(current_rate*shooting_time)</f>
        <v/>
      </c>
      <c r="H61" s="54">
        <f>IF(shooting_time=0,0,(current_rate*shooting_time)/shooting_time)</f>
        <v/>
      </c>
      <c r="I61" s="78">
        <f>1</f>
        <v/>
      </c>
      <c r="K61" s="77" t="inlineStr">
        <is>
          <t>ИТОГО берёте с клиента</t>
        </is>
      </c>
      <c r="L61" s="43">
        <f>(CHOOSE(regime_no,'05_Расчёт'!B22,'05_Расчёт'!C22,'05_Расчёт'!D22,'05_Расчёт'!E22,'05_Расчёт'!F22,'05_Расчёт'!G22,'05_Расчёт'!H22))</f>
        <v/>
      </c>
      <c r="M61" s="43">
        <f>IF(shooting_time=0,0,(CHOOSE(regime_no,'05_Расчёт'!B22,'05_Расчёт'!C22,'05_Расчёт'!D22,'05_Расчёт'!E22,'05_Расчёт'!F22,'05_Расчёт'!G22,'05_Расчёт'!H22))/shooting_time)</f>
        <v/>
      </c>
      <c r="N61" s="42">
        <f>1</f>
        <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
      </c>
    </row>
    <row r="89">
      <c r="A89" s="2" t="inlineStr">
        <is>
          <t>Из них вы заработаете (за все свои роли)</t>
        </is>
      </c>
      <c r="B89" s="80">
        <f>IF(shooting_time=0,0,target_income/shooting_time)</f>
        <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
      </c>
      <c r="C102" s="85">
        <f>shoot_duration</f>
        <v/>
      </c>
      <c r="D102" s="57">
        <f>(target_income/net_time)*shooting_time</f>
        <v/>
      </c>
      <c r="E102" s="57">
        <f>IF(shooting_time=0,0,(target_income/net_time)*shooting_time/shooting_time)</f>
        <v/>
      </c>
    </row>
    <row r="103">
      <c r="A103" t="inlineStr">
        <is>
          <t>РЕТУШЁР — обработка отснятого материала</t>
        </is>
      </c>
      <c r="B103" s="85">
        <f>post_time</f>
        <v/>
      </c>
      <c r="C103" s="85">
        <f>shoot_duration*post_ratio</f>
        <v/>
      </c>
      <c r="D103" s="57">
        <f>(target_income/net_time)*post_time</f>
        <v/>
      </c>
      <c r="E103" s="57">
        <f>IF(shooting_time=0,0,(target_income/net_time)*post_time/shooting_time)</f>
        <v/>
      </c>
    </row>
    <row r="104">
      <c r="A104" t="inlineStr">
        <is>
          <t>МЕНЕДЖЕР ПО ПРОДАЖАМ — переговоры, согласования</t>
        </is>
      </c>
      <c r="B104" s="85">
        <f>client_total</f>
        <v/>
      </c>
      <c r="C104" s="85">
        <f>client_time</f>
        <v/>
      </c>
      <c r="D104" s="57">
        <f>(target_income/net_time)*client_total</f>
        <v/>
      </c>
      <c r="E104" s="57">
        <f>IF(shooting_time=0,0,(target_income/net_time)*client_total/shooting_time)</f>
        <v/>
      </c>
    </row>
    <row r="105">
      <c r="A105" t="inlineStr">
        <is>
          <t>МАРКЕТОЛОГ и SMM — продвижение, соцсети, отклики</t>
        </is>
      </c>
      <c r="B105" s="85">
        <f>promo_time</f>
        <v/>
      </c>
      <c r="C105" s="85">
        <f>IF(projects_year=0,0,promo_time/projects_year)</f>
        <v/>
      </c>
      <c r="D105" s="57">
        <f>(target_income/net_time)*promo_time</f>
        <v/>
      </c>
      <c r="E105" s="57">
        <f>IF(shooting_time=0,0,(target_income/net_time)*promo_time/shooting_time)</f>
        <v/>
      </c>
    </row>
    <row r="106">
      <c r="A106" t="inlineStr">
        <is>
          <t>БУХГАЛТЕР — учёт, отчётность, налоги</t>
        </is>
      </c>
      <c r="B106" s="85">
        <f>accounting_time</f>
        <v/>
      </c>
      <c r="C106" s="85">
        <f>IF(projects_year=0,0,accounting_time/projects_year)</f>
        <v/>
      </c>
      <c r="D106" s="57">
        <f>(target_income/net_time)*accounting_time</f>
        <v/>
      </c>
      <c r="E106" s="57">
        <f>IF(shooting_time=0,0,(target_income/net_time)*accounting_time/shooting_time)</f>
        <v/>
      </c>
    </row>
    <row r="107">
      <c r="A107" t="inlineStr">
        <is>
          <t>Компенсация сорванных съёмок</t>
        </is>
      </c>
      <c r="B107" s="85">
        <f>fm_time</f>
        <v/>
      </c>
      <c r="C107" s="85">
        <f>IF(projects_year=0,0,fm_time/projects_year)</f>
        <v/>
      </c>
      <c r="D107" s="57">
        <f>(target_income/net_time)*fm_time</f>
        <v/>
      </c>
      <c r="E107" s="57">
        <f>IF(shooting_time=0,0,(target_income/net_time)*fm_time/shooting_time)</f>
        <v/>
      </c>
    </row>
    <row r="108">
      <c r="A108" s="2" t="inlineStr">
        <is>
          <t>ИТОГО за все роли</t>
        </is>
      </c>
      <c r="B108" s="86">
        <f>net_time</f>
        <v/>
      </c>
      <c r="C108" s="86">
        <f>IF(projects_year=0,0,net_time/projects_year)</f>
        <v/>
      </c>
      <c r="D108" s="48">
        <f>target_income</f>
        <v/>
      </c>
      <c r="E108" s="48">
        <f>IF(shooting_time=0,0,target_income/shooting_time)</f>
        <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
      </c>
    </row>
    <row r="115">
      <c r="A115" s="2" t="inlineStr">
        <is>
          <t>Остаётся вам на руки за год</t>
        </is>
      </c>
      <c r="B115" s="57">
        <f>MAX(0,((current_rate*shooting_time)*(1-rate_current-acquiring)-total_costs))</f>
        <v/>
      </c>
    </row>
    <row r="116">
      <c r="A116" s="2" t="inlineStr">
        <is>
          <t>Недополучено за год</t>
        </is>
      </c>
      <c r="B116" s="88">
        <f>MAX(0,target_income-((current_rate*shooting_time)*(1-rate_current-acquiring)-total_costs))</f>
        <v/>
      </c>
    </row>
    <row r="117">
      <c r="A117" s="2" t="inlineStr">
        <is>
          <t>Недополучено с каждого часа съёмки</t>
        </is>
      </c>
      <c r="B117" s="54">
        <f>IF(shooting_time=0,0,MAX(0,target_income-((current_rate*shooting_time)*(1-rate_current-acquiring)-total_costs))/shooting_time)</f>
        <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
      </c>
    </row>
    <row r="165">
      <c r="A165" t="inlineStr">
        <is>
          <t>Обработка</t>
        </is>
      </c>
      <c r="B165" s="31">
        <f>IF(net_weeks=0,0,post_time/net_weeks)</f>
        <v/>
      </c>
    </row>
    <row r="166">
      <c r="A166" t="inlineStr">
        <is>
          <t>Работа с клиентом</t>
        </is>
      </c>
      <c r="B166" s="31">
        <f>IF(net_weeks=0,0,client_total/net_weeks)</f>
        <v/>
      </c>
    </row>
    <row r="167">
      <c r="A167" t="inlineStr">
        <is>
          <t>Продвижение</t>
        </is>
      </c>
      <c r="B167" s="31">
        <f>IF(net_weeks=0,0,promo_time/net_weeks)</f>
        <v/>
      </c>
    </row>
    <row r="168">
      <c r="A168" t="inlineStr">
        <is>
          <t>Учёт и отчётность</t>
        </is>
      </c>
      <c r="B168" s="31">
        <f>IF(net_weeks=0,0,accounting_time/net_weeks)</f>
        <v/>
      </c>
    </row>
    <row r="169">
      <c r="A169" t="inlineStr">
        <is>
          <t>Резерв</t>
        </is>
      </c>
      <c r="B169" s="31">
        <f>IF(net_weeks=0,0,fm_time/net_weeks)</f>
        <v/>
      </c>
    </row>
    <row r="170">
      <c r="A170" s="2" t="inlineStr">
        <is>
          <t>ИТОГО занято в неделю</t>
        </is>
      </c>
      <c r="B170" s="86">
        <f>IF(net_weeks=0,0,net_time/net_weeks)</f>
        <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f> --c-ig-4 → --c-ig-3</f>
        <v/>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
      </c>
      <c r="E14" s="5" t="inlineStr">
        <is>
          <t>85%</t>
        </is>
      </c>
      <c r="F14" s="5" t="inlineStr">
        <is>
          <t>Основной канал: партнёры, соцсети</t>
        </is>
      </c>
    </row>
    <row r="15">
      <c r="A15" s="5" t="inlineStr">
        <is>
          <t>Прямые заходы</t>
        </is>
      </c>
      <c r="B15" s="115" t="n">
        <v>1500</v>
      </c>
      <c r="C15" s="114" t="n">
        <v>490</v>
      </c>
      <c r="D15" s="116">
        <f>B15*C15</f>
        <v/>
      </c>
      <c r="E15" s="5" t="inlineStr">
        <is>
          <t>15%</t>
        </is>
      </c>
      <c r="F15" s="5" t="inlineStr">
        <is>
          <t>Поиск, прямые ссылки</t>
        </is>
      </c>
    </row>
    <row r="16">
      <c r="A16" s="5" t="inlineStr">
        <is>
          <t>ИТОГО</t>
        </is>
      </c>
      <c r="B16" s="117">
        <f>B14+B15</f>
        <v/>
      </c>
      <c r="C16" s="5" t="inlineStr"/>
      <c r="D16" s="118">
        <f>D14+D15</f>
        <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
      </c>
      <c r="E20" s="116">
        <f>$D$16-D20</f>
        <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
      </c>
      <c r="E21" s="116">
        <f>$D$16-D21</f>
        <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
      </c>
      <c r="E22" s="116">
        <f>$D$16-D22</f>
        <v/>
      </c>
      <c r="F22" s="5" t="inlineStr">
        <is>
          <t>С 2026 к комиссии добавляется НДС 22%</t>
        </is>
      </c>
    </row>
    <row r="23">
      <c r="A23" s="5" t="inlineStr">
        <is>
          <t>Смешанный: 70% СБП + 30% карты</t>
        </is>
      </c>
      <c r="B23" s="5" t="inlineStr"/>
      <c r="C23" s="5" t="inlineStr"/>
      <c r="D23" s="118">
        <f>$D$16*0.7*B21+$D$16*0.3*B22*1.22</f>
        <v/>
      </c>
      <c r="E23" s="118">
        <f>$D$16-D23</f>
        <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
      </c>
      <c r="C45" s="5" t="inlineStr">
        <is>
          <t>₽</t>
        </is>
      </c>
      <c r="D45" s="5" t="inlineStr"/>
      <c r="E45" s="5" t="inlineStr"/>
      <c r="F45" s="5" t="inlineStr">
        <is>
          <t>При реферальной цене</t>
        </is>
      </c>
    </row>
    <row r="46">
      <c r="A46" s="5" t="inlineStr">
        <is>
          <t>Остаётся проекту</t>
        </is>
      </c>
      <c r="B46" s="116">
        <f>B7-B45</f>
        <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f>"https://"&amp;$B$4&amp;$B$5&amp;"?ref="&amp;B9&amp;"&amp;utm_source=telegram&amp;utm_medium=referral&amp;utm_campaign=calc"</f>
        <v/>
      </c>
      <c r="D9" s="123" t="inlineStr">
        <is>
          <t>169 ₽</t>
        </is>
      </c>
      <c r="E9" s="112" t="inlineStr">
        <is>
          <t>переходы, время, клик по кнопке</t>
        </is>
      </c>
    </row>
    <row r="10">
      <c r="A10" s="28" t="inlineStr">
        <is>
          <t>ВКонтакте</t>
        </is>
      </c>
      <c r="B10" s="121" t="inlineStr">
        <is>
          <t>vk</t>
        </is>
      </c>
      <c r="C10" s="122">
        <f>"https://"&amp;$B$4&amp;$B$5&amp;"?ref="&amp;B10&amp;"&amp;utm_source=vk&amp;utm_medium=referral&amp;utm_campaign=calc"</f>
        <v/>
      </c>
      <c r="D10" s="123" t="inlineStr">
        <is>
          <t>169 ₽</t>
        </is>
      </c>
      <c r="E10" s="112" t="inlineStr">
        <is>
          <t>переходы, время, клик по кнопке</t>
        </is>
      </c>
    </row>
    <row r="11">
      <c r="A11" s="28" t="inlineStr">
        <is>
          <t>Instagram / блог</t>
        </is>
      </c>
      <c r="B11" s="121" t="inlineStr">
        <is>
          <t>ig</t>
        </is>
      </c>
      <c r="C11" s="122">
        <f>"https://"&amp;$B$4&amp;$B$5&amp;"?ref="&amp;B11&amp;"&amp;utm_source=instagram&amp;utm_medium=referral&amp;utm_campaign=calc"</f>
        <v/>
      </c>
      <c r="D11" s="123" t="inlineStr">
        <is>
          <t>169 ₽</t>
        </is>
      </c>
      <c r="E11" s="112" t="inlineStr">
        <is>
          <t>переходы, время, клик по кнопке</t>
        </is>
      </c>
    </row>
    <row r="12">
      <c r="A12" s="28" t="inlineStr">
        <is>
          <t>Партнёр №1</t>
        </is>
      </c>
      <c r="B12" s="121" t="inlineStr">
        <is>
          <t>p1</t>
        </is>
      </c>
      <c r="C12" s="122">
        <f>"https://"&amp;$B$4&amp;$B$5&amp;"?ref="&amp;B12&amp;"&amp;utm_source=partner&amp;utm_medium=referral&amp;utm_campaign=calc"</f>
        <v/>
      </c>
      <c r="D12" s="123" t="inlineStr">
        <is>
          <t>169 ₽</t>
        </is>
      </c>
      <c r="E12" s="112" t="inlineStr">
        <is>
          <t>переходы, время, клик по кнопке</t>
        </is>
      </c>
    </row>
    <row r="13">
      <c r="A13" s="28" t="inlineStr">
        <is>
          <t>Партнёр №2</t>
        </is>
      </c>
      <c r="B13" s="121" t="inlineStr">
        <is>
          <t>p2</t>
        </is>
      </c>
      <c r="C13" s="122">
        <f>"https://"&amp;$B$4&amp;$B$5&amp;"?ref="&amp;B13&amp;"&amp;utm_source=partner&amp;utm_medium=referral&amp;utm_campaign=calc"</f>
        <v/>
      </c>
      <c r="D13" s="123" t="inlineStr">
        <is>
          <t>169 ₽</t>
        </is>
      </c>
      <c r="E13" s="112" t="inlineStr">
        <is>
          <t>переходы, время, клик по кнопке</t>
        </is>
      </c>
    </row>
    <row r="14">
      <c r="A14" s="28" t="inlineStr">
        <is>
          <t>Рассылка</t>
        </is>
      </c>
      <c r="B14" s="121" t="inlineStr">
        <is>
          <t>mail</t>
        </is>
      </c>
      <c r="C14" s="122">
        <f>"https://"&amp;$B$4&amp;$B$5&amp;"?ref="&amp;B14&amp;"&amp;utm_source=email&amp;utm_medium=referral&amp;utm_campaign=calc"</f>
        <v/>
      </c>
      <c r="D14" s="123" t="inlineStr">
        <is>
          <t>169 ₽</t>
        </is>
      </c>
      <c r="E14" s="112" t="inlineStr">
        <is>
          <t>переходы, время, клик по кнопке</t>
        </is>
      </c>
    </row>
    <row r="15">
      <c r="A15" s="28" t="inlineStr">
        <is>
          <t>Прямой заход</t>
        </is>
      </c>
      <c r="B15" s="121" t="inlineStr">
        <is>
          <t>—</t>
        </is>
      </c>
      <c r="C15" s="122">
        <f>"https://"&amp;$B$4&amp;$B$5</f>
        <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
      </c>
      <c r="C18" s="304">
        <f>C17-C19-C20</f>
        <v/>
      </c>
      <c r="G18" s="229" t="inlineStr">
        <is>
          <t>Остаток фонда: то, что не ушло на постоянных и спецпредложения</t>
        </is>
      </c>
    </row>
    <row r="19">
      <c r="A19" t="inlineStr">
        <is>
          <t>Постоянным клиентам</t>
        </is>
      </c>
      <c r="B19" s="303">
        <f>C19/$C$17</f>
        <v/>
      </c>
      <c r="C19" s="304">
        <f>F30</f>
        <v/>
      </c>
      <c r="G19" s="229" t="inlineStr">
        <is>
          <t>Ровно сумма ступеней ниже — направление расходуется полностью</t>
        </is>
      </c>
    </row>
    <row r="20">
      <c r="A20" t="inlineStr">
        <is>
          <t>Специальные предложения</t>
        </is>
      </c>
      <c r="B20" s="303">
        <f>C20/$C$17</f>
        <v/>
      </c>
      <c r="C20" s="304">
        <f>E46</f>
        <v/>
      </c>
      <c r="G20" s="229" t="inlineStr">
        <is>
          <t>Ровно номинал комплекта сертификатов</t>
        </is>
      </c>
    </row>
    <row r="21">
      <c r="A21" s="2" t="inlineStr">
        <is>
          <t>ИТОГО</t>
        </is>
      </c>
      <c r="B21" s="305">
        <f>SUM(B18:B20)</f>
        <v/>
      </c>
      <c r="C21" s="306">
        <f>SUM(C18:C20)</f>
        <v/>
      </c>
      <c r="G21" s="229" t="inlineStr">
        <is>
          <t>Должно совпасть с бюджетом фонда</t>
        </is>
      </c>
    </row>
    <row r="22">
      <c r="A22" t="inlineStr">
        <is>
          <t>В месяц</t>
        </is>
      </c>
      <c r="C22" s="304">
        <f>ROUND(C17/12,0)</f>
        <v/>
      </c>
    </row>
    <row r="23">
      <c r="A23" t="inlineStr">
        <is>
          <t>С каждой съёмки</t>
        </is>
      </c>
      <c r="C23" s="304">
        <f>ROUND(C17/B9,0)</f>
        <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
      </c>
      <c r="F27" s="304">
        <f>ROUND(E27*$B$10*B27,0)</f>
        <v/>
      </c>
      <c r="G27" s="304">
        <f>ROUND(C27*$B$10*(1-B27),-2)</f>
        <v/>
      </c>
    </row>
    <row r="28">
      <c r="A28" t="inlineStr">
        <is>
          <t>Раз в квартал</t>
        </is>
      </c>
      <c r="B28" s="303" t="n">
        <v>0.07000000000000001</v>
      </c>
      <c r="C28" t="n">
        <v>4</v>
      </c>
      <c r="D28" s="302" t="n">
        <v>5</v>
      </c>
      <c r="E28">
        <f>C28*D28</f>
        <v/>
      </c>
      <c r="F28" s="304">
        <f>ROUND(E28*$B$10*B28,0)</f>
        <v/>
      </c>
      <c r="G28" s="304">
        <f>ROUND(C28*$B$10*(1-B28),-2)</f>
        <v/>
      </c>
    </row>
    <row r="29">
      <c r="A29" t="inlineStr">
        <is>
          <t>Раз в месяц</t>
        </is>
      </c>
      <c r="B29" s="303" t="n">
        <v>0.1</v>
      </c>
      <c r="C29" t="n">
        <v>12</v>
      </c>
      <c r="D29" s="302" t="n">
        <v>1</v>
      </c>
      <c r="E29">
        <f>C29*D29</f>
        <v/>
      </c>
      <c r="F29" s="304">
        <f>ROUND(E29*$B$10*B29,0)</f>
        <v/>
      </c>
      <c r="G29" s="304">
        <f>ROUND(C29*$B$10*(1-B29),-2)</f>
        <v/>
      </c>
    </row>
    <row r="30">
      <c r="A30" s="2" t="inlineStr">
        <is>
          <t>ИТОГО</t>
        </is>
      </c>
      <c r="D30" s="307">
        <f>SUM(D27:D29)</f>
        <v/>
      </c>
      <c r="E30" s="307">
        <f>SUM(E27:E29)</f>
        <v/>
      </c>
      <c r="F30" s="306">
        <f>SUM(F27:F29)</f>
        <v/>
      </c>
    </row>
    <row r="31">
      <c r="A31" t="inlineStr">
        <is>
          <t>Сходимость фонда</t>
        </is>
      </c>
      <c r="F31" s="308">
        <f>C21-C17</f>
        <v/>
      </c>
      <c r="G31" s="229" t="inlineStr">
        <is>
          <t>Должно быть 0: сумма трёх направлений равна бюджету фонда</t>
        </is>
      </c>
    </row>
    <row r="32">
      <c r="A32" t="inlineStr">
        <is>
          <t>Доля заказов от постоянных</t>
        </is>
      </c>
      <c r="F32" s="303">
        <f>E30/B9</f>
        <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
      </c>
      <c r="G36" s="229" t="inlineStr">
        <is>
          <t>Повторный заказ не требует поиска и повторных согласований</t>
        </is>
      </c>
    </row>
    <row r="37">
      <c r="A37" t="inlineStr">
        <is>
          <t>Высвобождено времени, ч</t>
        </is>
      </c>
      <c r="C37">
        <f>ROUND(E30*B12,0)</f>
        <v/>
      </c>
    </row>
    <row r="38">
      <c r="A38" t="inlineStr">
        <is>
          <t>То же в рабочих днях</t>
        </is>
      </c>
      <c r="C38">
        <f>ROUND(C37/B13,0)</f>
        <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
      </c>
      <c r="G43" s="229" t="inlineStr">
        <is>
          <t>Точечный прогрев в несезон</t>
        </is>
      </c>
    </row>
    <row r="44">
      <c r="A44" t="inlineStr">
        <is>
          <t>SP-26002</t>
        </is>
      </c>
      <c r="B44" t="inlineStr">
        <is>
          <t>На свадьбу</t>
        </is>
      </c>
      <c r="C44" s="310" t="n">
        <v>10000</v>
      </c>
      <c r="D44" s="249" t="n">
        <v>1</v>
      </c>
      <c r="E44" s="304">
        <f>C44*D44</f>
        <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
      </c>
      <c r="G45" s="229" t="inlineStr">
        <is>
          <t>Бонус клиенту или под удобные праздники</t>
        </is>
      </c>
    </row>
    <row r="46">
      <c r="A46" s="2" t="inlineStr">
        <is>
          <t>ИТОГО</t>
        </is>
      </c>
      <c r="D46" s="2">
        <f>SUM(D43:D45)</f>
        <v/>
      </c>
      <c r="E46" s="306">
        <f>SUM(E43:E45)</f>
        <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
      </c>
      <c r="G52" s="229" t="inlineStr">
        <is>
          <t>Проценты считаются от ОКРУГЛЁННЫХ цен — клиент проверит на калькуляторе</t>
        </is>
      </c>
    </row>
    <row r="53">
      <c r="A53" t="inlineStr">
        <is>
          <t>от 5 часов</t>
        </is>
      </c>
      <c r="B53" s="310" t="n">
        <v>9400</v>
      </c>
      <c r="C53" s="303">
        <f>B53/$B$51-1</f>
        <v/>
      </c>
      <c r="G53" s="229" t="inlineStr"/>
    </row>
    <row r="54">
      <c r="A54" t="inlineStr">
        <is>
          <t>от 7 часов</t>
        </is>
      </c>
      <c r="B54" s="310" t="n">
        <v>8300</v>
      </c>
      <c r="C54" s="303">
        <f>B54/$B$51-1</f>
        <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2026-08-16T13:02:39Z</dcterms:modified>
</cp:coreProperties>
</file>