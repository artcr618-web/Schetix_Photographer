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worksheets/sheet32.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calc" sheetId="3" state="visible" r:id="rId3"/>
    <sheet xmlns:r="http://schemas.openxmlformats.org/officeDocument/2006/relationships" name="Состав" sheetId="32" state="visible" r:id="rId34"/>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'calc'!$C$6</definedName>
    <definedName name="work_days">'calc'!$C$7</definedName>
    <definedName name="days_week">'calc'!$C$8</definedName>
    <definedName name="months">'calc'!$C$9</definedName>
    <definedName name="quarters">'calc'!$C$10</definedName>
    <definedName name="weeks_year">'calc'!$C$11</definedName>
    <definedName name="nominal_hours">'calc'!$C$12</definedName>
    <definedName name="work_months">'calc'!$C$13</definedName>
    <definedName name="vacation_cal">'calc'!$C$14</definedName>
    <definedName name="vacation_work">'calc'!$C$15</definedName>
    <definedName name="sick_cal">'calc'!$C$16</definedName>
    <definedName name="sick_work">'calc'!$C$17</definedName>
    <definedName name="eff_hours">'calc'!$C$18</definedName>
    <definedName name="work_time">'calc'!$C$21</definedName>
    <definedName name="net_days">'calc'!$C$22</definedName>
    <definedName name="net_time">'calc'!$C$23</definedName>
    <definedName name="net_weeks">'calc'!$C$24</definedName>
    <definedName name="promo_per_day">'calc'!$C$25</definedName>
    <definedName name="promo_time">'calc'!$C$26</definedName>
    <definedName name="acc_mode">'calc'!$C$27</definedName>
    <definedName name="acc_per_quarter">'calc'!$C$28</definedName>
    <definedName name="accounting_time">'calc'!$C$29</definedName>
    <definedName name="side_time">'calc'!$C$30</definedName>
    <definedName name="pool_gross">'calc'!$C$31</definedName>
    <definedName name="fm_on">'calc'!$C$32</definedName>
    <definedName name="fm_pct">'calc'!$C$33</definedName>
    <definedName name="fm_time">'calc'!$C$34</definedName>
    <definedName name="fm_week">'calc'!$C$35</definedName>
    <definedName name="project_pool">'calc'!$C$36</definedName>
    <definedName name="post_ratio">'calc'!$C$39</definedName>
    <definedName name="profile_multiplier">'calc'!$C$40</definedName>
    <definedName name="client_time">'calc'!$C$41</definedName>
    <definedName name="shoot_duration">'calc'!$C$42</definedName>
    <definedName name="week_target">'calc'!$C$43</definedName>
    <definedName name="shoot_auto">'calc'!$C$44</definedName>
    <definedName name="project_time">'calc'!$C$45</definedName>
    <definedName name="projects_year">'calc'!$C$46</definedName>
    <definedName name="projects_month">'calc'!$C$47</definedName>
    <definedName name="projects_week">'calc'!$C$48</definedName>
    <definedName name="shooting_time">'calc'!$C$49</definedName>
    <definedName name="shooting_month">'calc'!$C$50</definedName>
    <definedName name="shooting_week">'calc'!$C$51</definedName>
    <definedName name="post_time">'calc'!$C$52</definedName>
    <definedName name="core_time">'calc'!$C$53</definedName>
    <definedName name="client_total">'calc'!$C$54</definedName>
    <definedName name="ops_per_shoot">'calc'!$C$55</definedName>
    <definedName name="income_month">'calc'!$C$58</definedName>
    <definedName name="target_income">'calc'!$C$59</definedName>
    <definedName name="current_rate">'calc'!$C$60</definedName>
    <definedName name="ws_mode">'calc'!$C$63</definedName>
    <definedName name="own_home">'calc'!$C$64</definedName>
    <definedName name="home_rent">'calc'!$C$65</definedName>
    <definedName name="home_util">'calc'!$C$66</definedName>
    <definedName name="home_area">'calc'!$C$67</definedName>
    <definedName name="cab_area">'calc'!$C$68</definedName>
    <definedName name="cab_share">'calc'!$C$69</definedName>
    <definedName name="office_rent">'calc'!$C$70</definedName>
    <definedName name="office_util">'calc'!$C$71</definedName>
    <definedName name="var_workspace">'calc'!$C$72</definedName>
    <definedName name="edu_cost">'calc'!$C$75</definedName>
    <definedName name="edu_months">'calc'!$C$76</definedName>
    <definedName name="edu_life">'calc'!$C$77</definedName>
    <definedName name="edu_opportunity">'calc'!$C$79</definedName>
    <definedName name="dep_education">'calc'!$C$80</definedName>
    <definedName name="site_mode">'calc'!$C$81</definedName>
    <definedName name="site_cost">'calc'!$C$82</definedName>
    <definedName name="site_hours">'calc'!$C$83</definedName>
    <definedName name="site_life">'calc'!$C$84</definedName>
    <definedName name="dep_website">'calc'!$C$85</definedName>
    <definedName name="site_divisor">'calc'!$C$86</definedName>
    <definedName name="dep_shoot">'calc'!$C$89</definedName>
    <definedName name="dep_office">'calc'!$C$90</definedName>
    <definedName name="dep_software">'calc'!$C$91</definedName>
    <definedName name="dep_workspace">'calc'!$C$92</definedName>
    <definedName name="investment">'calc'!$C$93</definedName>
    <definedName name="var_software">'calc'!$C$94</definedName>
    <definedName name="var_ads">'calc'!$C$95</definedName>
    <definedName name="var_bank">'calc'!$C$96</definedName>
    <definedName name="acc_cost_month">'calc'!$C$97</definedName>
    <definedName name="var_accounting">'calc'!$C$98</definedName>
    <definedName name="variable_costs">'calc'!$C$99</definedName>
    <definedName name="total_costs">'calc'!$C$100</definedName>
    <definedName name="revenue_base">'calc'!$C$101</definedName>
    <definedName name="regime">'calc'!$C$104</definedName>
    <definedName name="rate_npd_avg">'calc'!$C$105</definedName>
    <definedName name="rate_npd_fiz">'calc'!$C$106</definedName>
    <definedName name="rate_npd_ur">'calc'!$C$107</definedName>
    <definedName name="rate_usn_inc">'calc'!$C$108</definedName>
    <definedName name="rate_usn_prof">'calc'!$C$109</definedName>
    <definedName name="rate_ausn_inc">'calc'!$C$110</definedName>
    <definedName name="rate_ausn_prof">'calc'!$C$111</definedName>
    <definedName name="regime_no">'calc'!$C$112</definedName>
    <definedName name="rate_current">'calc'!$C$113</definedName>
    <definedName name="fixed_contrib">'calc'!$C$114</definedName>
    <definedName name="extra_contrib">'calc'!$C$115</definedName>
    <definedName name="contrib_threshold">'calc'!$C$116</definedName>
    <definedName name="contrib_cap">'calc'!$C$117</definedName>
    <definedName name="threshold_credit">'calc'!$C$118</definedName>
    <definedName name="min_tax_usn">'calc'!$C$119</definedName>
    <definedName name="min_tax_ausn">'calc'!$C$120</definedName>
    <definedName name="injury_contrib">'calc'!$C$121</definedName>
    <definedName name="acq_rate">'calc'!$C$122</definedName>
    <definedName name="acq_share">'calc'!$C$123</definedName>
    <definedName name="acquiring">'calc'!$C$124</definedName>
    <definedName name="vat_threshold">'calc'!$C$125</definedName>
    <definedName name="limit_npd">'calc'!$C$126</definedName>
    <definedName name="limit_ausn">'calc'!$C$127</definedName>
    <definedName name="ops_rate">'calc'!$C$131</definedName>
    <definedName name="site_value">'calc'!$C$133</definedName>
    <definedName name="cat_form">'03_Каталоги'!$A$5:$A$41</definedName>
    <definedName name="cat_year">'03_Каталоги'!$G$5:$G$41</definedName>
    <definedName name="idle_time">'calc'!$C$136</definedName>
    <definedName name="idle_week">'calc'!$C$137</definedName>
    <definedName name="hour_all">'calc'!$C$138</definedName>
    <definedName name="frames_out">'calc'!$C$139</definedName>
    <definedName name="frames_total">'calc'!$C$140</definedName>
    <definedName name="equip_only">'calc'!$C$141</definedName>
    <definedName name="_xlnm._FilterDatabase" localSheetId="10" hidden="1">'09_Тексты'!$A$4:$C$514</definedName>
    <definedName name="_xlnm._FilterDatabase" localSheetId="28" hidden="1">'16_Реестр_правил'!$A$1:$G$20</definedName>
    <definedName name="base_rate">'calc'!$C$132</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 Type="http://schemas.openxmlformats.org/officeDocument/2006/relationships/worksheet" Target="/xl/worksheets/sheet32.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0;&#1059;&#1052;&#1045;&#1053;&#1058;&#1040;&#1062;&#1048;&#1071;/&#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40;&#1044;&#1040;&#1063;&#1048;/&#1047;-035_&#1074;&#1072;&#1083;&#1080;&#1076;&#1072;&#1094;&#1080;&#1103;_&#1080;_&#1088;&#1077;&#1072;&#1083;&#1080;&#1089;&#1090;&#1080;&#1095;&#1085;&#1099;&#1077;_&#1087;&#1088;&#1077;&#1076;&#1077;&#1083;&#1099;_&#1087;&#1086;&#1083;&#1077;&#1081;_c.md" TargetMode="External" Id="rId18"/><Relationship Type="http://schemas.openxmlformats.org/officeDocument/2006/relationships/hyperlink" Target="&#1047;&#1040;&#1044;&#1040;&#1063;&#1048;/&#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25 августа 2026.</t>
        </is>
      </c>
    </row>
    <row r="4">
      <c r="A4" s="146" t="inlineStr">
        <is>
          <t>ИЗ ЧЕГО СОСТОИТ ПРОДУКТ — ЧЕТЫРЕ ФАЙЛА</t>
        </is>
      </c>
    </row>
    <row r="5">
      <c r="A5" s="148" t="inlineStr">
        <is>
          <t>Файл</t>
        </is>
      </c>
      <c r="B5" s="148" t="inlineStr">
        <is>
          <t>Что это и где живёт</t>
        </is>
      </c>
    </row>
    <row r="6">
      <c r="A6" s="149" t="inlineStr">
        <is>
          <t>Книга/Калькулятор_ставки_часа.xlsx</t>
        </is>
      </c>
      <c r="B6" s="152" t="inlineStr">
        <is>
          <t>ЭТА КНИГА, 30 листов: параметры, каталоги, расчёт, глоссарий, реестры. Источник понятий и сверка</t>
        </is>
      </c>
    </row>
    <row r="7">
      <c r="A7" s="149" t="inlineStr">
        <is>
          <t>Веб/index.html</t>
        </is>
      </c>
      <c r="B7" s="152" t="inlineStr">
        <is>
          <t>СТРАНИЦА ВХОДА. Обложка; кто уже начинал — сразу в анкету</t>
        </is>
      </c>
    </row>
    <row r="8">
      <c r="A8" s="149" t="inlineStr">
        <is>
          <t>Веб/calc.html</t>
        </is>
      </c>
      <c r="B8" s="152" t="inlineStr">
        <is>
          <t>АНКЕТА + ВЕСЬ РАСЧЁТ — функция calc(). Результат вынесен в отчёт</t>
        </is>
      </c>
    </row>
    <row r="9">
      <c r="A9" s="149" t="inlineStr">
        <is>
          <t>Веб/report.html</t>
        </is>
      </c>
      <c r="B9" s="152" t="inlineStr">
        <is>
          <t>ПОЛНЫЙ ОТЧЁТ: 21 блок, справочник на 77 понятий, 8 таблиц детализации. Бесплатный; данные приходят из анкеты</t>
        </is>
      </c>
    </row>
    <row r="11">
      <c r="A11" s="146" t="inlineStr">
        <is>
          <t>ОПОРНЫЕ ЛИСТЫ КНИГИ — 30 ЛИСТОВ</t>
        </is>
      </c>
    </row>
    <row r="12">
      <c r="A12" s="148" t="inlineStr">
        <is>
          <t>Лист</t>
        </is>
      </c>
      <c r="B12" s="148" t="inlineStr">
        <is>
          <t>Назначение</t>
        </is>
      </c>
    </row>
    <row r="13">
      <c r="A13" s="149" t="inlineStr">
        <is>
          <t>00_Читать</t>
        </is>
      </c>
      <c r="B13" s="152" t="inlineStr">
        <is>
          <t>Этот лист — карта книги</t>
        </is>
      </c>
    </row>
    <row r="14">
      <c r="A14" s="149" t="inlineStr">
        <is>
          <t>01_Глоссарий</t>
        </is>
      </c>
      <c r="B14" s="152" t="inlineStr">
        <is>
          <t>Источник понятий: 125 строк</t>
        </is>
      </c>
    </row>
    <row r="15">
      <c r="A15" s="149" t="inlineStr">
        <is>
          <t>calc</t>
        </is>
      </c>
      <c r="B15" s="152" t="inlineStr">
        <is>
          <t>121 именованная величина. ГЛАВНЫЙ лист для правки цифр</t>
        </is>
      </c>
    </row>
    <row r="16">
      <c r="A16" s="149" t="inlineStr">
        <is>
          <t>Состав</t>
        </is>
      </c>
      <c r="B16" s="152" t="inlineStr">
        <is>
          <t>Группировка параметров отчёта: ID из calc, наименование из глоссария, составные части по номерам. Заполняется по блокам</t>
        </is>
      </c>
    </row>
    <row r="17">
      <c r="A17" s="149" t="inlineStr">
        <is>
          <t>03_Каталоги</t>
        </is>
      </c>
      <c r="B17" s="152" t="inlineStr">
        <is>
          <t>Позиции форм: техника, ПО, реклама, банк</t>
        </is>
      </c>
    </row>
    <row r="18">
      <c r="A18" s="149" t="inlineStr">
        <is>
          <t>04_Итог / 05_Расчёт</t>
        </is>
      </c>
      <c r="B18" s="152" t="inlineStr">
        <is>
          <t>Свод по режиму и расчёт по семи налоговым режимам</t>
        </is>
      </c>
    </row>
    <row r="19">
      <c r="A19" s="149" t="inlineStr">
        <is>
          <t>06_Отчёт / 06b_Отчёт_полный</t>
        </is>
      </c>
      <c r="B19" s="152" t="inlineStr">
        <is>
          <t>Отчёт в книге; 06b — 46 показателей со сверкой с калькулятором</t>
        </is>
      </c>
    </row>
    <row r="20">
      <c r="A20" s="149" t="inlineStr">
        <is>
          <t>07_Интерфейс / 08_UI / 08c_Структура_отчёта</t>
        </is>
      </c>
      <c r="B20" s="152" t="inlineStr">
        <is>
          <t>Структура анкеты и отчёта</t>
        </is>
      </c>
    </row>
    <row r="21">
      <c r="A21" s="149" t="inlineStr">
        <is>
          <t>09_Тексты</t>
        </is>
      </c>
      <c r="B21" s="152" t="inlineStr">
        <is>
          <t>514 надписей: ключ data-t → текст</t>
        </is>
      </c>
    </row>
    <row r="22">
      <c r="A22" s="149" t="inlineStr">
        <is>
          <t>09b_Методика_цифр / 09e_Как_считается</t>
        </is>
      </c>
      <c r="B22" s="152" t="inlineStr">
        <is>
          <t>Как посчитана каждая цифра отчёта</t>
        </is>
      </c>
    </row>
    <row r="23">
      <c r="A23" s="149" t="inlineStr">
        <is>
          <t>09c_Палитра / 09d_Логотип / 09g_Сокращения / 09h_Элементы</t>
        </is>
      </c>
      <c r="B23" s="152" t="inlineStr">
        <is>
          <t>Единый стиль записи и оформления</t>
        </is>
      </c>
    </row>
    <row r="24">
      <c r="A24" s="149" t="inlineStr">
        <is>
          <t>10_Монетизация / 11_Ссылки / 11b_Связка</t>
        </is>
      </c>
      <c r="B24" s="152" t="inlineStr">
        <is>
          <t>Цены, источники норм, контракт данных анкета → отчёт</t>
        </is>
      </c>
    </row>
    <row r="25">
      <c r="A25" s="149" t="inlineStr">
        <is>
          <t>12_Диаграммы / 13_Сетка_скидок / 13b_Программа_лояльности</t>
        </is>
      </c>
      <c r="B25" s="152" t="inlineStr">
        <is>
          <t>Диаграммы, объёмные скидки, программа лояльности</t>
        </is>
      </c>
    </row>
    <row r="26">
      <c r="A26" s="149" t="inlineStr">
        <is>
          <t>14_Опрос</t>
        </is>
      </c>
      <c r="B26" s="152" t="inlineStr">
        <is>
          <t>Опрос в отчёте</t>
        </is>
      </c>
    </row>
    <row r="27">
      <c r="A27" s="149" t="inlineStr">
        <is>
          <t>15_Реестр_полей / 16_Реестр_правил</t>
        </is>
      </c>
      <c r="B27" s="152" t="inlineStr">
        <is>
          <t>Реестры полей и правил — проверяются автоматически</t>
        </is>
      </c>
    </row>
    <row r="28">
      <c r="A28" s="149" t="inlineStr">
        <is>
          <t>28_Журнал_изменений</t>
        </is>
      </c>
      <c r="B28" s="152" t="inlineStr">
        <is>
          <t>Летопись модели</t>
        </is>
      </c>
    </row>
    <row r="30">
      <c r="A30" s="146" t="inlineStr">
        <is>
          <t>ЧТО ГДЕ ПРАВИТЬ</t>
        </is>
      </c>
    </row>
    <row r="31">
      <c r="A31" s="148" t="inlineStr">
        <is>
          <t>Задача</t>
        </is>
      </c>
      <c r="B31" s="148" t="inlineStr">
        <is>
          <t>Куда идти</t>
        </is>
      </c>
    </row>
    <row r="32">
      <c r="A32" s="149" t="inlineStr">
        <is>
          <t>Поменять текст надписи</t>
        </is>
      </c>
      <c r="B32" s="152" t="inlineStr">
        <is>
          <t>09_Тексты → найти по ключу data-t из HTML → колонка «Текст»</t>
        </is>
      </c>
    </row>
    <row r="33">
      <c r="A33" s="149" t="inlineStr">
        <is>
          <t>Поменять цифру или формулу</t>
        </is>
      </c>
      <c r="B33" s="152" t="inlineStr">
        <is>
          <t>calc → колонка «Значение»</t>
        </is>
      </c>
    </row>
    <row r="34">
      <c r="A34" s="149" t="inlineStr">
        <is>
          <t>Поменять цвет</t>
        </is>
      </c>
      <c r="B34" s="152" t="inlineStr">
        <is>
          <t>09c_Палитра → HEX → тот же токен в :root обоих HTML</t>
        </is>
      </c>
    </row>
    <row r="35">
      <c r="A35" s="149" t="inlineStr">
        <is>
          <t>Добавить оборудование</t>
        </is>
      </c>
      <c r="B35" s="152" t="inlineStr">
        <is>
          <t>03_Каталоги → новая строка с кодом формы</t>
        </is>
      </c>
    </row>
    <row r="36">
      <c r="A36" s="149" t="inlineStr">
        <is>
          <t>Изменить скидки, фонд, сертификаты</t>
        </is>
      </c>
      <c r="B36" s="152" t="inlineStr">
        <is>
          <t>13b_Программа_лояльности → жёлтые ячейки</t>
        </is>
      </c>
    </row>
    <row r="38">
      <c r="A38" s="146" t="inlineStr">
        <is>
          <t>ПЕРЕД ПУБЛИКАЦИЕЙ — ОБЯЗАТЕЛЬНО</t>
        </is>
      </c>
    </row>
    <row r="39">
      <c r="A39" s="149" t="inlineStr">
        <is>
          <t>1</t>
        </is>
      </c>
      <c r="B39" s="152" t="inlineStr">
        <is>
          <t>YM_ID → номер счётчика Метрики (сейчас 0)</t>
        </is>
      </c>
    </row>
    <row r="40">
      <c r="A40" s="149" t="inlineStr">
        <is>
          <t>2</t>
        </is>
      </c>
      <c r="B40" s="152" t="inlineStr">
        <is>
          <t>PAY_URL → ссылка оплаты (сейчас «#order»); возврат — report.html?paid=1</t>
        </is>
      </c>
    </row>
    <row r="41">
      <c r="A41" s="149" t="inlineStr">
        <is>
          <t>3</t>
        </is>
      </c>
      <c r="B41" s="152" t="inlineStr">
        <is>
          <t>Выполнить З-039: публикационная копия без DEMO</t>
        </is>
      </c>
    </row>
    <row r="42">
      <c r="A42" s="149" t="inlineStr">
        <is>
          <t>4</t>
        </is>
      </c>
      <c r="B42" s="152" t="inlineStr">
        <is>
          <t>Пройти путь целиком на телефоне и на компьютере</t>
        </is>
      </c>
    </row>
    <row r="44">
      <c r="A44" s="149" t="inlineStr">
        <is>
          <t>Подробности — Документация/Подготовка к запуску/ и README.md в корне проекта.</t>
        </is>
      </c>
    </row>
  </sheetData>
  <mergeCells count="1">
    <mergeCell ref="A1:B1"/>
  </mergeCells>
  <pageMargins left="0.75" right="0.75" top="1" bottom="1" header="0.5" footer="0.5"/>
</worksheet>
</file>

<file path=xl/worksheets/sheet2.xml><?xml version="1.0" encoding="utf-8"?>
<worksheet xmlns="http://schemas.openxmlformats.org/spreadsheetml/2006/main">
  <sheetFormatPr defaultRowHeight="15"/>
  <cols>
    <col min="1" max="1" width="6" customWidth="1"/>
    <col min="2" max="2" width="36" customWidth="1"/>
    <col min="3" max="3" width="18" customWidth="1"/>
    <col min="4" max="4" width="14" customWidth="1"/>
    <col min="5" max="5" width="14" customWidth="1"/>
    <col min="6" max="6" width="70" customWidth="1"/>
  </cols>
  <sheetData>
    <row r="1">
      <c r="A1" t="inlineStr">
        <is>
          <t xml:space="preserve">№</t>
        </is>
      </c>
      <c r="B1" t="inlineStr">
        <is>
          <t xml:space="preserve">Наименование</t>
        </is>
      </c>
      <c r="C1" t="inlineStr">
        <is>
          <t xml:space="preserve">ID</t>
        </is>
      </c>
      <c r="D1" t="inlineStr">
        <is>
          <t xml:space="preserve">Назначение</t>
        </is>
      </c>
      <c r="E1" t="inlineStr">
        <is>
          <t xml:space="preserve">Тип</t>
        </is>
      </c>
      <c r="F1" t="inlineStr">
        <is>
          <t xml:space="preserve">Определение</t>
        </is>
      </c>
    </row>
    <row r="2">
      <c r="A1" t="inlineStr">
        <is>
          <t xml:space="preserve">1</t>
        </is>
      </c>
      <c r="B2" t="inlineStr">
        <is>
          <t xml:space="preserve">Маркер</t>
        </is>
      </c>
      <c r="C2" t="inlineStr">
        <is>
          <t xml:space="preserve">marker</t>
        </is>
      </c>
      <c r="D2" t="inlineStr">
        <is>
          <t xml:space="preserve">meta</t>
        </is>
      </c>
      <c r="E2" t="inlineStr">
        <is>
          <t xml:space="preserve">—</t>
        </is>
      </c>
      <c r="F2" t="inlineStr">
        <is>
          <t xml:space="preserve">Служебный параметр, который используется для обозначения принадлежности элемента или понятия к определённому типу, категории или назначению.</t>
        </is>
      </c>
    </row>
    <row r="3">
      <c r="A2" t="inlineStr">
        <is>
          <t xml:space="preserve">2</t>
        </is>
      </c>
      <c r="B3" t="inlineStr">
        <is>
          <t xml:space="preserve">id в вёрстке</t>
        </is>
      </c>
      <c r="C3" t="inlineStr">
        <is>
          <t xml:space="preserve">id</t>
        </is>
      </c>
      <c r="D3" t="inlineStr">
        <is>
          <t xml:space="preserve">meta</t>
        </is>
      </c>
      <c r="E3" t="inlineStr">
        <is>
          <t xml:space="preserve">—</t>
        </is>
      </c>
      <c r="F3" t="inlineStr">
        <is>
          <t xml:space="preserve">Обозначение элемента на странице, по которому скрипт подставляет в него рассчитанное значение.</t>
        </is>
      </c>
    </row>
    <row r="4">
      <c r="A3" t="inlineStr">
        <is>
          <t xml:space="preserve">3</t>
        </is>
      </c>
      <c r="B4" t="inlineStr">
        <is>
          <t xml:space="preserve">Служебное понятие</t>
        </is>
      </c>
      <c r="C4" t="inlineStr">
        <is>
          <t xml:space="preserve">meta</t>
        </is>
      </c>
      <c r="D4" t="inlineStr">
        <is>
          <t xml:space="preserve">meta</t>
        </is>
      </c>
      <c r="E4" t="inlineStr">
        <is>
          <t xml:space="preserve">marker</t>
        </is>
      </c>
      <c r="F4" t="inlineStr">
        <is>
          <t xml:space="preserve">Обозначение, описывающее устройство самого калькулятора, а не деятельность специалиста.</t>
        </is>
      </c>
    </row>
    <row r="5">
      <c r="A4" t="inlineStr">
        <is>
          <t xml:space="preserve">4</t>
        </is>
      </c>
      <c r="B5" t="inlineStr">
        <is>
          <t xml:space="preserve">Пользователь</t>
        </is>
      </c>
      <c r="C5" t="inlineStr">
        <is>
          <t xml:space="preserve">user</t>
        </is>
      </c>
      <c r="D5" t="inlineStr">
        <is>
          <t xml:space="preserve">user</t>
        </is>
      </c>
      <c r="E5" t="inlineStr">
        <is>
          <t xml:space="preserve">marker</t>
        </is>
      </c>
      <c r="F5" t="inlineStr">
        <is>
          <t xml:space="preserve">Человек, который взаимодействует с Счётикс, вводит данные, использует результаты расчётов и получает информацию, представленную сервисом.</t>
        </is>
      </c>
    </row>
    <row r="6">
      <c r="A5" t="inlineStr">
        <is>
          <t xml:space="preserve">5</t>
        </is>
      </c>
      <c r="B6" t="inlineStr">
        <is>
          <t xml:space="preserve">Параметр</t>
        </is>
      </c>
      <c r="C6" t="inlineStr">
        <is>
          <t xml:space="preserve">—</t>
        </is>
      </c>
      <c r="D6" t="inlineStr">
        <is>
          <t xml:space="preserve">meta</t>
        </is>
      </c>
      <c r="F6" t="inlineStr">
        <is>
          <t xml:space="preserve">Именованная величина, или характеристика со своим постоянным обозначением, которая используется в расчётах и на которую могут ссылаться формулы и другие параметры.</t>
        </is>
      </c>
    </row>
    <row r="7">
      <c r="A6" t="inlineStr">
        <is>
          <t xml:space="preserve">6</t>
        </is>
      </c>
      <c r="B7" t="inlineStr">
        <is>
          <t xml:space="preserve">Назначение</t>
        </is>
      </c>
      <c r="C7" t="inlineStr">
        <is>
          <t xml:space="preserve">—</t>
        </is>
      </c>
      <c r="D7" t="inlineStr">
        <is>
          <t xml:space="preserve">meta</t>
        </is>
      </c>
      <c r="E7" t="inlineStr">
        <is>
          <t xml:space="preserve">marker</t>
        </is>
      </c>
      <c r="F7" t="inlineStr">
        <is>
          <t xml:space="preserve">Область использования элемента или понятия в структуре Счётикс и его проектной документации.</t>
        </is>
      </c>
    </row>
    <row r="8">
      <c r="A7" t="inlineStr">
        <is>
          <t xml:space="preserve">7</t>
        </is>
      </c>
      <c r="B8" t="inlineStr">
        <is>
          <t xml:space="preserve">Тип</t>
        </is>
      </c>
      <c r="C8" t="inlineStr">
        <is>
          <t xml:space="preserve">—</t>
        </is>
      </c>
      <c r="D8" t="inlineStr">
        <is>
          <t xml:space="preserve">meta</t>
        </is>
      </c>
      <c r="E8" t="inlineStr">
        <is>
          <t xml:space="preserve">marker</t>
        </is>
      </c>
    </row>
    <row r="9">
      <c r="A8" t="inlineStr">
        <is>
          <t xml:space="preserve">8</t>
        </is>
      </c>
      <c r="B9" t="inlineStr">
        <is>
          <t xml:space="preserve">Значение</t>
        </is>
      </c>
      <c r="D9" t="inlineStr">
        <is>
          <t xml:space="preserve">meta</t>
        </is>
      </c>
      <c r="F9" t="inlineStr">
        <is>
          <t xml:space="preserve">Конкретная величина или характеристика параметра, используемая калькулятором для отображения, расчёта или настройки результата.</t>
        </is>
      </c>
    </row>
    <row r="10">
      <c r="A9" t="inlineStr">
        <is>
          <t xml:space="preserve">9</t>
        </is>
      </c>
      <c r="B10" t="inlineStr">
        <is>
          <t xml:space="preserve">Константа</t>
        </is>
      </c>
      <c r="C10" t="inlineStr">
        <is>
          <t xml:space="preserve">const</t>
        </is>
      </c>
      <c r="D10" t="inlineStr">
        <is>
          <t xml:space="preserve">meta</t>
        </is>
      </c>
      <c r="F10" t="inlineStr">
        <is>
          <t xml:space="preserve">Заранее установленное значение, которое используется в расчётах и не изменяется в зависимости от введённых пользователем данных.</t>
        </is>
      </c>
    </row>
    <row r="11">
      <c r="A10" t="inlineStr">
        <is>
          <t xml:space="preserve">10</t>
        </is>
      </c>
      <c r="B11" t="inlineStr">
        <is>
          <t xml:space="preserve">Значение по умолчанию</t>
        </is>
      </c>
      <c r="C11" t="inlineStr">
        <is>
          <t xml:space="preserve">default</t>
        </is>
      </c>
      <c r="D11" t="inlineStr">
        <is>
          <t xml:space="preserve">meta</t>
        </is>
      </c>
      <c r="F11" t="inlineStr">
        <is>
          <t xml:space="preserve">Заранее установленное значение параметра, которое используется автоматически, если пользователь не указал другое значение.</t>
        </is>
      </c>
    </row>
    <row r="12">
      <c r="A11" t="inlineStr">
        <is>
          <t xml:space="preserve">11</t>
        </is>
      </c>
      <c r="B12" t="inlineStr">
        <is>
          <t xml:space="preserve">Введённое значение</t>
        </is>
      </c>
      <c r="D12" t="inlineStr">
        <is>
          <t xml:space="preserve">meta</t>
        </is>
      </c>
      <c r="F12" t="inlineStr">
        <is>
          <t xml:space="preserve">Значение параметра, которое пользователь самостоятельно указал (выбрал из выпадающего списка, ввёл вручную или другим способом) или изменил вручную.</t>
        </is>
      </c>
    </row>
    <row r="13">
      <c r="A12" t="inlineStr">
        <is>
          <t xml:space="preserve">12</t>
        </is>
      </c>
      <c r="B13" t="inlineStr">
        <is>
          <t xml:space="preserve">Тип значения</t>
        </is>
      </c>
      <c r="D13" t="inlineStr">
        <is>
          <t xml:space="preserve">meta</t>
        </is>
      </c>
      <c r="F13" t="inlineStr">
        <is>
          <t xml:space="preserve">Определяет, что означает значение параметра и как с ним работать в калькуляторе: процент, денежная сумма, время, количество, текст, выбор и т. д.</t>
        </is>
      </c>
    </row>
    <row r="14">
      <c r="A13" t="inlineStr">
        <is>
          <t xml:space="preserve">13</t>
        </is>
      </c>
      <c r="B14" t="inlineStr">
        <is>
          <t xml:space="preserve">Расчётное значение (Формула)</t>
        </is>
      </c>
      <c r="D14" t="inlineStr">
        <is>
          <t xml:space="preserve">meta</t>
        </is>
      </c>
      <c r="F14" t="inlineStr">
        <is>
          <t xml:space="preserve">Значение, полученное в результате вычисления на основе других параметров.</t>
        </is>
      </c>
    </row>
    <row r="15">
      <c r="A14" t="inlineStr">
        <is>
          <t xml:space="preserve">14</t>
        </is>
      </c>
      <c r="B15" t="inlineStr">
        <is>
          <t xml:space="preserve">Отображаемое значение</t>
        </is>
      </c>
      <c r="D15" t="inlineStr">
        <is>
          <t xml:space="preserve">meta</t>
        </is>
      </c>
      <c r="F15" t="inlineStr">
        <is>
          <t xml:space="preserve">Значение, которое выводится пользователю в интерфейсе и может отличаться от фактического значения параметра из-за форматирования, округления или способа представления.</t>
        </is>
      </c>
    </row>
    <row r="16">
      <c r="A15" t="inlineStr">
        <is>
          <t xml:space="preserve">15</t>
        </is>
      </c>
      <c r="B16" t="inlineStr">
        <is>
          <t xml:space="preserve">Вводимые данные</t>
        </is>
      </c>
      <c r="C16" t="inlineStr">
        <is>
          <t xml:space="preserve">input_data</t>
        </is>
      </c>
      <c r="D16" t="inlineStr">
        <is>
          <t xml:space="preserve">meta</t>
        </is>
      </c>
      <c r="F16" t="inlineStr">
        <is>
          <t xml:space="preserve">Данные введенные пользователем вручную</t>
        </is>
      </c>
    </row>
    <row r="17">
      <c r="A16" t="inlineStr">
        <is>
          <t xml:space="preserve">16</t>
        </is>
      </c>
      <c r="B17" t="inlineStr">
        <is>
          <t xml:space="preserve">Интерфейс</t>
        </is>
      </c>
      <c r="C17" t="inlineStr">
        <is>
          <t xml:space="preserve">ui</t>
        </is>
      </c>
      <c r="D17" t="inlineStr">
        <is>
          <t xml:space="preserve">meta</t>
        </is>
      </c>
      <c r="E17" t="inlineStr">
        <is>
          <t xml:space="preserve">marker</t>
        </is>
      </c>
      <c r="F17" t="inlineStr">
        <is>
          <t xml:space="preserve">Совокупность элементов, с которыми взаимодействует пользователь.</t>
        </is>
      </c>
    </row>
    <row r="18">
      <c r="A17" t="inlineStr">
        <is>
          <t xml:space="preserve">17</t>
        </is>
      </c>
      <c r="B18" t="inlineStr">
        <is>
          <t xml:space="preserve">Страница</t>
        </is>
      </c>
      <c r="D18" t="inlineStr">
        <is>
          <t xml:space="preserve">meta</t>
        </is>
      </c>
      <c r="E18" t="inlineStr">
        <is>
          <t xml:space="preserve">ui</t>
        </is>
      </c>
      <c r="F18" t="inlineStr">
        <is>
          <t xml:space="preserve">Отдельный экран интерфейса, содержащий определённый набор элементов.</t>
        </is>
      </c>
    </row>
    <row r="19">
      <c r="A18" t="inlineStr">
        <is>
          <t xml:space="preserve">18</t>
        </is>
      </c>
      <c r="B19" t="inlineStr">
        <is>
          <t xml:space="preserve">Анкета</t>
        </is>
      </c>
      <c r="D19" t="inlineStr">
        <is>
          <t xml:space="preserve">meta</t>
        </is>
      </c>
      <c r="E19" t="inlineStr">
        <is>
          <t xml:space="preserve">ui</t>
        </is>
      </c>
      <c r="F19" t="inlineStr">
        <is>
          <t xml:space="preserve">Часть интерфейса, предназначенная для последовательного ввода пользователем данных для расчета.</t>
        </is>
      </c>
    </row>
    <row r="20">
      <c r="A19" t="inlineStr">
        <is>
          <t xml:space="preserve">19</t>
        </is>
      </c>
      <c r="B20" t="inlineStr">
        <is>
          <t xml:space="preserve">Отчёт</t>
        </is>
      </c>
      <c r="C20" t="inlineStr">
        <is>
          <t xml:space="preserve">report</t>
        </is>
      </c>
      <c r="D20" t="inlineStr">
        <is>
          <t xml:space="preserve">meta</t>
        </is>
      </c>
      <c r="E20" t="inlineStr">
        <is>
          <t xml:space="preserve">ui</t>
        </is>
      </c>
      <c r="F20" t="inlineStr">
        <is>
          <t xml:space="preserve">Часть интерфейса, предназначенная для представления результатов расчёта.</t>
        </is>
      </c>
    </row>
    <row r="21">
      <c r="A20" t="inlineStr">
        <is>
          <t xml:space="preserve">20</t>
        </is>
      </c>
      <c r="B21" t="inlineStr">
        <is>
          <t xml:space="preserve">Главный экран</t>
        </is>
      </c>
      <c r="C21" t="inlineStr">
        <is>
          <t xml:space="preserve">hero</t>
        </is>
      </c>
      <c r="D21" t="inlineStr">
        <is>
          <t xml:space="preserve">meta</t>
        </is>
      </c>
      <c r="E21" t="inlineStr">
        <is>
          <t xml:space="preserve">ui</t>
        </is>
      </c>
      <c r="F21" t="inlineStr">
        <is>
          <t xml:space="preserve">Главный блок на странице</t>
        </is>
      </c>
    </row>
    <row r="22">
      <c r="A21" t="inlineStr">
        <is>
          <t xml:space="preserve">21</t>
        </is>
      </c>
      <c r="B22" t="inlineStr">
        <is>
          <t xml:space="preserve">Раздел</t>
        </is>
      </c>
      <c r="C22" t="inlineStr">
        <is>
          <t xml:space="preserve">section</t>
        </is>
      </c>
      <c r="D22" t="inlineStr">
        <is>
          <t xml:space="preserve">meta</t>
        </is>
      </c>
      <c r="E22" t="inlineStr">
        <is>
          <t xml:space="preserve">ui</t>
        </is>
      </c>
      <c r="F22" t="inlineStr">
        <is>
          <t xml:space="preserve">Крупная часть анкеты, объединяющая несколько блоков.</t>
        </is>
      </c>
    </row>
    <row r="23">
      <c r="A22" t="inlineStr">
        <is>
          <t xml:space="preserve">22</t>
        </is>
      </c>
      <c r="B23" t="inlineStr">
        <is>
          <t xml:space="preserve">Блок</t>
        </is>
      </c>
      <c r="C23" t="inlineStr">
        <is>
          <t xml:space="preserve">block</t>
        </is>
      </c>
      <c r="D23" t="inlineStr">
        <is>
          <t xml:space="preserve">meta</t>
        </is>
      </c>
      <c r="E23" t="inlineStr">
        <is>
          <t xml:space="preserve">ui</t>
        </is>
      </c>
      <c r="F23" t="inlineStr">
        <is>
          <t xml:space="preserve">Смысловая часть анкеты: один вопрос или группа связанных вопросов с общим заголовком.</t>
        </is>
      </c>
    </row>
    <row r="24">
      <c r="A23" t="inlineStr">
        <is>
          <t xml:space="preserve">23</t>
        </is>
      </c>
      <c r="B24" t="inlineStr">
        <is>
          <t xml:space="preserve">Выпадающий список</t>
        </is>
      </c>
      <c r="C24" t="inlineStr">
        <is>
          <t xml:space="preserve">dropdown</t>
        </is>
      </c>
      <c r="D24" t="inlineStr">
        <is>
          <t xml:space="preserve">meta</t>
        </is>
      </c>
      <c r="E24" t="inlineStr">
        <is>
          <t xml:space="preserve">ui</t>
        </is>
      </c>
      <c r="F24" t="inlineStr">
        <is>
          <t xml:space="preserve">Выпадающий список с выбором одного варианта.</t>
        </is>
      </c>
    </row>
    <row r="25">
      <c r="A24" t="inlineStr">
        <is>
          <t xml:space="preserve">24</t>
        </is>
      </c>
      <c r="B25" t="inlineStr">
        <is>
          <t xml:space="preserve">Поле с ручным вводом</t>
        </is>
      </c>
      <c r="D25" t="inlineStr">
        <is>
          <t xml:space="preserve">meta</t>
        </is>
      </c>
      <c r="E25" t="inlineStr">
        <is>
          <t xml:space="preserve">ui</t>
        </is>
      </c>
      <c r="F25" t="inlineStr">
        <is>
          <t xml:space="preserve">Элемент интерфейса, позволяющий пользователю самостоятельно ввести значение с клавиатуры в предусмотренное для этого поле.</t>
        </is>
      </c>
    </row>
    <row r="26">
      <c r="A25" t="inlineStr">
        <is>
          <t xml:space="preserve">25</t>
        </is>
      </c>
      <c r="B26" t="inlineStr">
        <is>
          <t xml:space="preserve">Галочка</t>
        </is>
      </c>
      <c r="C26" t="inlineStr">
        <is>
          <t xml:space="preserve">checkbox</t>
        </is>
      </c>
      <c r="D26" t="inlineStr">
        <is>
          <t xml:space="preserve">meta</t>
        </is>
      </c>
      <c r="E26" t="inlineStr">
        <is>
          <t xml:space="preserve">ui</t>
        </is>
      </c>
      <c r="F26" t="inlineStr">
        <is>
          <t xml:space="preserve">Включает или выключает блок либо строку расчёта.</t>
        </is>
      </c>
    </row>
    <row r="27">
      <c r="A26" t="inlineStr">
        <is>
          <t xml:space="preserve">26</t>
        </is>
      </c>
      <c r="B27" t="inlineStr">
        <is>
          <t xml:space="preserve">Обратная галочка</t>
        </is>
      </c>
      <c r="D27" t="inlineStr">
        <is>
          <t xml:space="preserve">meta</t>
        </is>
      </c>
      <c r="E27" t="inlineStr">
        <is>
          <t xml:space="preserve">ui</t>
        </is>
      </c>
      <c r="F27" t="inlineStr">
        <is>
          <t xml:space="preserve">Элемент интерфейса, позволяющий пользователю включить или отключить определённую опцию. Установка галочки активирует соответствующий блок или функцию, снятие галочки — отключает их.</t>
        </is>
      </c>
    </row>
    <row r="28">
      <c r="A27" t="inlineStr">
        <is>
          <t xml:space="preserve">27</t>
        </is>
      </c>
      <c r="B28" t="inlineStr">
        <is>
          <t xml:space="preserve">Переключатель</t>
        </is>
      </c>
      <c r="C28" t="inlineStr">
        <is>
          <t xml:space="preserve">switch</t>
        </is>
      </c>
      <c r="D28" t="inlineStr">
        <is>
          <t xml:space="preserve">meta</t>
        </is>
      </c>
      <c r="E28" t="inlineStr">
        <is>
          <t xml:space="preserve">ui</t>
        </is>
      </c>
      <c r="F28" t="inlineStr">
        <is>
          <t xml:space="preserve">Параметр с выбором из нескольких вариантов, который меняет не только значение, но и сам ход расчёта.</t>
        </is>
      </c>
    </row>
    <row r="29">
      <c r="A28" t="inlineStr">
        <is>
          <t xml:space="preserve">28</t>
        </is>
      </c>
      <c r="B29" t="inlineStr">
        <is>
          <t xml:space="preserve">Текстовый блок</t>
        </is>
      </c>
      <c r="C29" t="inlineStr">
        <is>
          <t xml:space="preserve">info_block</t>
        </is>
      </c>
      <c r="D29" t="inlineStr">
        <is>
          <t xml:space="preserve">meta</t>
        </is>
      </c>
      <c r="E29" t="inlineStr">
        <is>
          <t xml:space="preserve">ui</t>
        </is>
      </c>
      <c r="F29" t="inlineStr">
        <is>
          <t xml:space="preserve">Пояснительный текст без полей ввода.</t>
        </is>
      </c>
    </row>
    <row r="30">
      <c r="A29" t="inlineStr">
        <is>
          <t xml:space="preserve">29</t>
        </is>
      </c>
      <c r="B30" t="inlineStr">
        <is>
          <t xml:space="preserve">Форма</t>
        </is>
      </c>
      <c r="C30" t="inlineStr">
        <is>
          <t xml:space="preserve">form</t>
        </is>
      </c>
      <c r="D30" t="inlineStr">
        <is>
          <t xml:space="preserve">meta</t>
        </is>
      </c>
      <c r="E30" t="inlineStr">
        <is>
          <t xml:space="preserve">ui</t>
        </is>
      </c>
      <c r="F30" t="inlineStr">
        <is>
          <t xml:space="preserve">Набор однотипных строк, которые пользователь заполняет списком.</t>
        </is>
      </c>
    </row>
    <row r="31">
      <c r="A30" t="inlineStr">
        <is>
          <t xml:space="preserve">30</t>
        </is>
      </c>
      <c r="B31" t="inlineStr">
        <is>
          <t xml:space="preserve">Каталог</t>
        </is>
      </c>
      <c r="C31" t="inlineStr">
        <is>
          <t xml:space="preserve">cat_form, cat_year</t>
        </is>
      </c>
      <c r="D31" t="inlineStr">
        <is>
          <t xml:space="preserve">meta</t>
        </is>
      </c>
      <c r="E31" t="inlineStr">
        <is>
          <t xml:space="preserve">ui</t>
        </is>
      </c>
      <c r="F31" t="inlineStr">
        <is>
          <t xml:space="preserve">Список позиций формы вместе с ценой, сроком службы, периодом платежа и годовой суммой.</t>
        </is>
      </c>
    </row>
    <row r="32">
      <c r="A31" t="inlineStr">
        <is>
          <t xml:space="preserve">31</t>
        </is>
      </c>
      <c r="B32" t="inlineStr">
        <is>
          <t xml:space="preserve">Таблица</t>
        </is>
      </c>
      <c r="D32" t="inlineStr">
        <is>
          <t xml:space="preserve">meta</t>
        </is>
      </c>
      <c r="E32" t="inlineStr">
        <is>
          <t xml:space="preserve">ui</t>
        </is>
      </c>
      <c r="F32" t="inlineStr">
        <is>
          <t xml:space="preserve">Элемент интерфейса, предназначенный для представления структурированной информации в виде строк и столбцов, где данные распределены по определённым категориям и показателям.</t>
        </is>
      </c>
    </row>
    <row r="33">
      <c r="A32" t="inlineStr">
        <is>
          <t xml:space="preserve">32</t>
        </is>
      </c>
      <c r="B33" t="inlineStr">
        <is>
          <t xml:space="preserve">Шапка таблицы</t>
        </is>
      </c>
      <c r="C33" t="inlineStr">
        <is>
          <t xml:space="preserve">table_head</t>
        </is>
      </c>
      <c r="D33" t="inlineStr">
        <is>
          <t xml:space="preserve">meta</t>
        </is>
      </c>
      <c r="E33" t="inlineStr">
        <is>
          <t xml:space="preserve">ui</t>
        </is>
      </c>
      <c r="F33" t="inlineStr">
        <is>
          <t xml:space="preserve">Названия столбцов таблицы.</t>
        </is>
      </c>
    </row>
    <row r="34">
      <c r="A33" t="inlineStr">
        <is>
          <t xml:space="preserve">33</t>
        </is>
      </c>
      <c r="B34" t="inlineStr">
        <is>
          <t xml:space="preserve">Строка таблицы</t>
        </is>
      </c>
      <c r="C34" t="inlineStr">
        <is>
          <t xml:space="preserve">table_row</t>
        </is>
      </c>
      <c r="D34" t="inlineStr">
        <is>
          <t xml:space="preserve">meta</t>
        </is>
      </c>
      <c r="E34" t="inlineStr">
        <is>
          <t xml:space="preserve">ui</t>
        </is>
      </c>
      <c r="F34" t="inlineStr">
        <is>
          <t xml:space="preserve">Одна строка, заполняемая пользователем.</t>
        </is>
      </c>
    </row>
    <row r="35">
      <c r="A34" t="inlineStr">
        <is>
          <t xml:space="preserve">34</t>
        </is>
      </c>
      <c r="B35" t="inlineStr">
        <is>
          <t xml:space="preserve">Кнопка</t>
        </is>
      </c>
      <c r="C35" t="inlineStr">
        <is>
          <t xml:space="preserve">button</t>
        </is>
      </c>
      <c r="D35" t="inlineStr">
        <is>
          <t xml:space="preserve">meta</t>
        </is>
      </c>
      <c r="E35" t="inlineStr">
        <is>
          <t xml:space="preserve">ui</t>
        </is>
      </c>
      <c r="F35" t="inlineStr">
        <is>
          <t xml:space="preserve">Элемент интерфейса, предназначенный для выполнения определённого действия при нажатии.</t>
        </is>
      </c>
    </row>
    <row r="36">
      <c r="A35" t="inlineStr">
        <is>
          <t xml:space="preserve">35</t>
        </is>
      </c>
      <c r="B36" t="inlineStr">
        <is>
          <t xml:space="preserve">Строка показателей</t>
        </is>
      </c>
      <c r="C36" t="inlineStr">
        <is>
          <t xml:space="preserve">report_row</t>
        </is>
      </c>
      <c r="D36" t="inlineStr">
        <is>
          <t xml:space="preserve">meta</t>
        </is>
      </c>
      <c r="E36" t="inlineStr">
        <is>
          <t xml:space="preserve">ui</t>
        </is>
      </c>
      <c r="F36" t="inlineStr">
        <is>
          <t xml:space="preserve">Три показателя в строку под главной плашкой.</t>
        </is>
      </c>
    </row>
    <row r="37">
      <c r="A36" t="inlineStr">
        <is>
          <t xml:space="preserve">36</t>
        </is>
      </c>
      <c r="B37" t="inlineStr">
        <is>
          <t xml:space="preserve">Диаграмма</t>
        </is>
      </c>
      <c r="C37" t="inlineStr">
        <is>
          <t xml:space="preserve">chart_donut</t>
        </is>
      </c>
      <c r="D37" t="inlineStr">
        <is>
          <t xml:space="preserve">meta</t>
        </is>
      </c>
      <c r="E37" t="inlineStr">
        <is>
          <t xml:space="preserve">ui</t>
        </is>
      </c>
      <c r="F37" t="inlineStr">
        <is>
          <t xml:space="preserve">Кольцо с сегментами и легендой.</t>
        </is>
      </c>
    </row>
    <row r="38">
      <c r="A37" t="inlineStr">
        <is>
          <t xml:space="preserve">37</t>
        </is>
      </c>
      <c r="B38" t="inlineStr">
        <is>
          <t xml:space="preserve">Книга</t>
        </is>
      </c>
      <c r="D38" t="inlineStr">
        <is>
          <t xml:space="preserve">meta</t>
        </is>
      </c>
      <c r="E38" t="inlineStr">
        <is>
          <t xml:space="preserve">ui</t>
        </is>
      </c>
      <c r="F38" t="inlineStr">
        <is>
          <t xml:space="preserve">Совокупность взаимосвязанных таблиц, объединённых в один файл или документ и предназначенных для совместного хранения, обработки и расчёта данных.</t>
        </is>
      </c>
    </row>
    <row r="39">
      <c r="A38" t="inlineStr">
        <is>
          <t xml:space="preserve">38</t>
        </is>
      </c>
      <c r="B39" t="inlineStr">
        <is>
          <t xml:space="preserve">Лист книги</t>
        </is>
      </c>
      <c r="C39" t="inlineStr">
        <is>
          <t xml:space="preserve">list</t>
        </is>
      </c>
      <c r="D39" t="inlineStr">
        <is>
          <t xml:space="preserve">meta</t>
        </is>
      </c>
      <c r="E39" t="inlineStr">
        <is>
          <t xml:space="preserve">ui</t>
        </is>
      </c>
      <c r="F39" t="inlineStr">
        <is>
          <t xml:space="preserve">Отдельная страница книги с номером и назначением в названии.</t>
        </is>
      </c>
    </row>
    <row r="40">
      <c r="A39" t="inlineStr">
        <is>
          <t xml:space="preserve">39</t>
        </is>
      </c>
      <c r="B40" t="inlineStr">
        <is>
          <t xml:space="preserve">Выручка</t>
        </is>
      </c>
      <c r="D40" t="inlineStr">
        <is>
          <t xml:space="preserve">user</t>
        </is>
      </c>
      <c r="F40" t="inlineStr">
        <is>
          <t xml:space="preserve">Общая сумма денежных средств, которую специалист получает от продажи своих услуг за определённый период, включая суммы, предназначенные для покрытия всех расходов и обязательных платежей, налогов, стоимости оборудования и его амортизации, банковских расходов, резервов на отпуск, развитие, обучение и другие предусмотренные расчётом затраты, а также доход специалиста.</t>
        </is>
      </c>
    </row>
    <row r="41">
      <c r="A40" t="inlineStr">
        <is>
          <t xml:space="preserve">40</t>
        </is>
      </c>
      <c r="B41" t="inlineStr">
        <is>
          <t xml:space="preserve">Доход </t>
        </is>
      </c>
      <c r="D41" t="inlineStr">
        <is>
          <t xml:space="preserve">user</t>
        </is>
      </c>
      <c r="F41" t="inlineStr">
        <is>
          <t xml:space="preserve">Денежные средства, остающиеся у специалиста от профессиональной деятельности после вычета связанных с этой деятельностью расходов, налогов и обязательных платежей, в зависимости от принятой системы расчёта.</t>
        </is>
      </c>
    </row>
    <row r="42">
      <c r="A41" t="inlineStr">
        <is>
          <t xml:space="preserve">41</t>
        </is>
      </c>
      <c r="B42" t="inlineStr">
        <is>
          <t xml:space="preserve">Желаемый доход</t>
        </is>
      </c>
      <c r="D42" t="inlineStr">
        <is>
          <t xml:space="preserve">user</t>
        </is>
      </c>
      <c r="F42" t="inlineStr">
        <is>
          <t xml:space="preserve">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43">
      <c r="A42" t="inlineStr">
        <is>
          <t xml:space="preserve">42</t>
        </is>
      </c>
      <c r="B43" t="inlineStr">
        <is>
          <t xml:space="preserve">Доход на руки</t>
        </is>
      </c>
      <c r="D43" t="inlineStr">
        <is>
          <t xml:space="preserve">user</t>
        </is>
      </c>
      <c r="F43" t="inlineStr">
        <is>
          <t xml:space="preserve">Сумма денежных средств, остающаяся у специалиста после вычета налогов, обязательных платежей и других предусмотренных расходов.</t>
        </is>
      </c>
    </row>
    <row r="44">
      <c r="A43" t="inlineStr">
        <is>
          <t xml:space="preserve">43</t>
        </is>
      </c>
      <c r="B44" t="inlineStr">
        <is>
          <t xml:space="preserve">Ставка часа съёмки (стоимость часа съёмки)</t>
        </is>
      </c>
      <c r="C44" t="inlineStr">
        <is>
          <t xml:space="preserve">rateHour</t>
        </is>
      </c>
      <c r="D44" t="inlineStr">
        <is>
          <t xml:space="preserve">user</t>
        </is>
      </c>
      <c r="E44" t="inlineStr">
        <is>
          <t xml:space="preserve">calc</t>
        </is>
      </c>
      <c r="F44" t="inlineStr">
        <is>
          <t xml:space="preserve">Стоимость одного часа работы фотографа на съёмочной площадке, рассчитанная с учётом необходимых расходов, налогов, обязательных платежей, резервов и дохода специалиста.</t>
        </is>
      </c>
    </row>
    <row r="45">
      <c r="A44" t="inlineStr">
        <is>
          <t xml:space="preserve">44</t>
        </is>
      </c>
      <c r="B45" t="inlineStr">
        <is>
          <t xml:space="preserve">Текущая ставка</t>
        </is>
      </c>
      <c r="C45" t="inlineStr">
        <is>
          <t xml:space="preserve">current_rate</t>
        </is>
      </c>
      <c r="D45" t="inlineStr">
        <is>
          <t xml:space="preserve">user</t>
        </is>
      </c>
      <c r="E45" t="inlineStr">
        <is>
          <t xml:space="preserve">default</t>
        </is>
      </c>
      <c r="F45" t="inlineStr">
        <is>
          <t xml:space="preserve">Стоимость одного часа работы фотографа на съёмочной площадке, по которой он в настоящее время оказывает услуги клиентам.</t>
        </is>
      </c>
    </row>
    <row r="46">
      <c r="A45" t="inlineStr">
        <is>
          <t xml:space="preserve">45</t>
        </is>
      </c>
      <c r="B46" t="inlineStr">
        <is>
          <t xml:space="preserve">Операционная ставка</t>
        </is>
      </c>
      <c r="C46" t="inlineStr">
        <is>
          <t xml:space="preserve">ops_rate</t>
        </is>
      </c>
      <c r="D46" t="inlineStr">
        <is>
          <t xml:space="preserve">user</t>
        </is>
      </c>
      <c r="E46" t="inlineStr">
        <is>
          <t xml:space="preserve">calc</t>
        </is>
      </c>
    </row>
    <row r="47">
      <c r="A46" t="inlineStr">
        <is>
          <t xml:space="preserve">46</t>
        </is>
      </c>
      <c r="B47" t="inlineStr">
        <is>
          <t xml:space="preserve">Ставка в ноль</t>
        </is>
      </c>
      <c r="D47" t="inlineStr">
        <is>
          <t xml:space="preserve">user</t>
        </is>
      </c>
      <c r="F47" t="inlineStr">
        <is>
          <t xml:space="preserve">Минимальная стоимость съёмочного часа, при которой специалист достигает точки безубыточности, то есть получает выручку, достаточную для покрытия предусмотренных расчётом расходов и обязательных платежей, но не получает дохода сверх них.</t>
        </is>
      </c>
    </row>
    <row r="48">
      <c r="A47" t="inlineStr">
        <is>
          <t xml:space="preserve">47</t>
        </is>
      </c>
      <c r="B48" t="inlineStr">
        <is>
          <t xml:space="preserve">Точка безубыточности</t>
        </is>
      </c>
      <c r="D48" t="inlineStr">
        <is>
          <t xml:space="preserve">user</t>
        </is>
      </c>
      <c r="F48" t="inlineStr">
        <is>
          <t xml:space="preserve">Минимальный объём выручки или продаж за определённый период, необходимый для покрытия всех предусмотренных расчётом расходов, налогов и обязательных платежей без получения дополнительного дохода. Может выражаться в денежных единицах, количестве съёмок, съёмочных часах или других единицах объёма деятельности.</t>
        </is>
      </c>
    </row>
    <row r="49">
      <c r="A48" t="inlineStr">
        <is>
          <t xml:space="preserve">48</t>
        </is>
      </c>
      <c r="B49" t="inlineStr">
        <is>
          <t xml:space="preserve">Минимальное количество съёмок</t>
        </is>
      </c>
      <c r="D49" t="inlineStr">
        <is>
          <t xml:space="preserve">user</t>
        </is>
      </c>
      <c r="F49" t="inlineStr">
        <is>
          <t xml:space="preserve">Точка безубыточности в натуральном выражении. Объём реализации в натуральных единицах, при котором выручка покрывает все предусмотренные расчётом затраты, а доход специалиста равен нулю. Для фотографа показатель может выражаться в количестве съёмочных проектов, необходимых для достижения точки безубыточности за выбранный период.</t>
        </is>
      </c>
    </row>
    <row r="50">
      <c r="A49" t="inlineStr">
        <is>
          <t xml:space="preserve">49</t>
        </is>
      </c>
      <c r="B50" t="inlineStr">
        <is>
          <t xml:space="preserve">Доход в час на руки</t>
        </is>
      </c>
      <c r="D50" t="inlineStr">
        <is>
          <t xml:space="preserve">user</t>
        </is>
      </c>
      <c r="F50" t="inlineStr">
        <is>
          <t xml:space="preserve">Сумма, которую специалист получает на руки за один рабочий час при сравнении с наймом. Считается так: желаемый доход на руки за 11 месяцев делится на рабочее время — рабочие дни, умноженные на восемь часов.</t>
        </is>
      </c>
    </row>
    <row r="51">
      <c r="A50" t="inlineStr">
        <is>
          <t xml:space="preserve">50</t>
        </is>
      </c>
      <c r="B51" t="inlineStr">
        <is>
          <t xml:space="preserve">Базовая ставка</t>
        </is>
      </c>
      <c r="C51" t="inlineStr">
        <is>
          <t xml:space="preserve">base_rate</t>
        </is>
      </c>
      <c r="D51" t="inlineStr">
        <is>
          <t xml:space="preserve">user</t>
        </is>
      </c>
      <c r="E51" t="inlineStr">
        <is>
          <t xml:space="preserve">calc</t>
        </is>
      </c>
      <c r="F51" t="inlineStr">
        <is>
          <t xml:space="preserve">Стоимость одного часа работы специалиста при оказании услуг клиенту вне съёмочной площадки, рассчитанная с учётом всех затрат, необходимых для профессиональной деятельности специалиста, включая расходы на оборудование, налоги, обязательные платежи, отпуск и другие предусмотренные расчётом затраты, без повышающего коэффициента, применяемого к съёмочному часу.
Используется для формирования стоимости услуг, не связанных непосредственно со съёмкой, например ретуши, индивидуальных консультаций и выполнения индивидуальных задач для клиента.</t>
        </is>
      </c>
    </row>
    <row r="52">
      <c r="A51" t="inlineStr">
        <is>
          <t xml:space="preserve">51</t>
        </is>
      </c>
      <c r="B52" t="inlineStr">
        <is>
          <t xml:space="preserve">Месяц</t>
        </is>
      </c>
      <c r="D52" t="inlineStr">
        <is>
          <t xml:space="preserve">user</t>
        </is>
      </c>
      <c r="F52" t="inlineStr">
        <is>
          <t xml:space="preserve">Календарный период продолжительностью 12 последовательных месяцев. В расчётах Счётикс год используется как основной расчётный период.</t>
        </is>
      </c>
    </row>
    <row r="53">
      <c r="A52" t="inlineStr">
        <is>
          <t xml:space="preserve">52</t>
        </is>
      </c>
      <c r="B53" t="inlineStr">
        <is>
          <t xml:space="preserve">Квартал</t>
        </is>
      </c>
      <c r="D53" t="inlineStr">
        <is>
          <t xml:space="preserve">user</t>
        </is>
      </c>
      <c r="F53" t="inlineStr">
        <is>
          <t xml:space="preserve">Календарный период продолжительностью три последовательных месяца. Календарный год состоит из четырёх кварталов.</t>
        </is>
      </c>
    </row>
    <row r="54">
      <c r="A53" t="inlineStr">
        <is>
          <t xml:space="preserve">53</t>
        </is>
      </c>
      <c r="B54" t="inlineStr">
        <is>
          <t xml:space="preserve">Год</t>
        </is>
      </c>
      <c r="D54" t="inlineStr">
        <is>
          <t xml:space="preserve">user</t>
        </is>
      </c>
      <c r="F54" t="inlineStr">
        <is>
          <t xml:space="preserve">Календарный период продолжительностью 12 последовательных месяцев, включающий четыре квартала.</t>
        </is>
      </c>
    </row>
    <row r="55">
      <c r="A54" t="inlineStr">
        <is>
          <t xml:space="preserve">54</t>
        </is>
      </c>
      <c r="B55" t="inlineStr">
        <is>
          <t xml:space="preserve">Рабочее время</t>
        </is>
      </c>
      <c r="D55" t="inlineStr">
        <is>
          <t xml:space="preserve">user</t>
        </is>
      </c>
      <c r="F55" t="inlineStr">
        <is>
          <t xml:space="preserve">Время, в течение которого работник в соответствии с условиями трудового договора и правилами внутреннего трудового распорядка должен исполнять трудовые обязанности, а также иные периоды, которые законодательство относит к рабочему времени. Нормальная продолжительность рабочего времени не может превышать 40 часов в неделю.</t>
        </is>
      </c>
    </row>
    <row r="56">
      <c r="A55" t="inlineStr">
        <is>
          <t xml:space="preserve">55</t>
        </is>
      </c>
      <c r="B56" t="inlineStr">
        <is>
          <t xml:space="preserve">Эффективное рабочее время</t>
        </is>
      </c>
      <c r="D56" t="inlineStr">
        <is>
          <t xml:space="preserve">user</t>
        </is>
      </c>
      <c r="F56" t="inlineStr">
        <is>
          <t xml:space="preserve">Часть рабочего времени, которая фактически доступна для выполнения основной оплачиваемой работы после исключения времени, затрачиваемого на личные потребности, отдых, подготовку и обслуживание рабочего места, внутренние коммуникации и другие отвлечения, не связанные непосредственно с выполнением основной работы.</t>
        </is>
      </c>
    </row>
    <row r="57">
      <c r="A56" t="inlineStr">
        <is>
          <t xml:space="preserve">56</t>
        </is>
      </c>
      <c r="B57" t="inlineStr">
        <is>
          <t xml:space="preserve">Неэффективное рабочее время</t>
        </is>
      </c>
      <c r="D57" t="inlineStr">
        <is>
          <t xml:space="preserve">user</t>
        </is>
      </c>
      <c r="F57" t="inlineStr">
        <is>
          <t xml:space="preserve">Часть рабочего времени, затрачиваемая на действия и перерывы, не связанные непосредственно с выполнением основной оплачиваемой работы, включая личные потребности, отдых, обслуживание рабочего места, внутренние коммуникации и другие отвлечения. Используется в Счётикс для учёта времени, которое фактически не может быть использовано для выполнения оплачиваемой работы.</t>
        </is>
      </c>
    </row>
    <row r="58">
      <c r="A57" t="inlineStr">
        <is>
          <t xml:space="preserve">57</t>
        </is>
      </c>
      <c r="B58" t="inlineStr">
        <is>
          <t xml:space="preserve">Выходной</t>
        </is>
      </c>
      <c r="D58" t="inlineStr">
        <is>
          <t xml:space="preserve">user</t>
        </is>
      </c>
      <c r="F58" t="inlineStr">
        <is>
          <t xml:space="preserve">Дни недели, в которые работник освобождён от выполнения трудовых обязанностей в соответствии с установленным режимом рабочего времени. Предоставляются для еженедельного непрерывного отдыха. По общему правилу при пятидневной рабочей неделе предоставляются два выходных дня, при шестидневной — один.</t>
        </is>
      </c>
    </row>
    <row r="59">
      <c r="A58" t="inlineStr">
        <is>
          <t xml:space="preserve">58</t>
        </is>
      </c>
      <c r="B59" t="inlineStr">
        <is>
          <t xml:space="preserve">Праздник</t>
        </is>
      </c>
      <c r="D59" t="inlineStr">
        <is>
          <t xml:space="preserve">user</t>
        </is>
      </c>
      <c r="F59" t="inlineStr">
        <is>
          <t xml:space="preserve">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60">
      <c r="A59" t="inlineStr">
        <is>
          <t xml:space="preserve">59</t>
        </is>
      </c>
      <c r="B60" t="inlineStr">
        <is>
          <t xml:space="preserve">Отпуск</t>
        </is>
      </c>
      <c r="D60" t="inlineStr">
        <is>
          <t xml:space="preserve">user</t>
        </is>
      </c>
      <c r="F60" t="inlineStr">
        <is>
          <t xml:space="preserve">Предоставляемый работнику ежегодный период освобождения от работы с сохранением места работы (должности) и среднего заработка. Основная продолжительность ежегодного оплачиваемого отпуска составляет 28 календарных дней.</t>
        </is>
      </c>
    </row>
    <row r="61">
      <c r="A60" t="inlineStr">
        <is>
          <t xml:space="preserve">60</t>
        </is>
      </c>
      <c r="B61" t="inlineStr">
        <is>
          <t xml:space="preserve">Отпуск / рабочих дней</t>
        </is>
      </c>
      <c r="D61" t="inlineStr">
        <is>
          <t xml:space="preserve">user</t>
        </is>
      </c>
      <c r="F61" t="inlineStr">
        <is>
          <t xml:space="preserve">Количество рабочих дней, приходящихся на период ежегодного оплачиваемого отпуска, используемое Счётикс для расчёта доступного рабочего времени. Показатель определяется на основании продолжительности отпуска и производственного календаря и используется только для внутренних расчётов.</t>
        </is>
      </c>
    </row>
    <row r="62">
      <c r="A61" t="inlineStr">
        <is>
          <t xml:space="preserve">61</t>
        </is>
      </c>
      <c r="B62" t="inlineStr">
        <is>
          <t xml:space="preserve">Больничный</t>
        </is>
      </c>
      <c r="D62" t="inlineStr">
        <is>
          <t xml:space="preserve">user</t>
        </is>
      </c>
      <c r="F62" t="inlineStr">
        <is>
          <t xml:space="preserve">Период временной нетрудоспособности. Состояние работника, при котором он временно не способен выполнять трудовые обязанности вследствие заболевания, травмы или иных предусмотренных законодательством случаев и имеет право на пособие по временной нетрудоспособности при наличии установленных законом условий.</t>
        </is>
      </c>
    </row>
    <row r="63">
      <c r="A62" t="inlineStr">
        <is>
          <t xml:space="preserve">62</t>
        </is>
      </c>
      <c r="B63" t="inlineStr">
        <is>
          <t xml:space="preserve">Больничный / рабочих дней</t>
        </is>
      </c>
      <c r="D63" t="inlineStr">
        <is>
          <t xml:space="preserve">user</t>
        </is>
      </c>
      <c r="F63" t="inlineStr">
        <is>
          <t xml:space="preserve">Рабочие дни временной нетрудоспособности — количество рабочих дней, приходящихся на период временной нетрудоспособности, используемое Счётикс исключительно для расчёта доступного рабочего времени.</t>
        </is>
      </c>
    </row>
    <row r="64">
      <c r="A63" t="inlineStr">
        <is>
          <t xml:space="preserve">63</t>
        </is>
      </c>
      <c r="B64" t="inlineStr">
        <is>
          <t xml:space="preserve">Съёмочное время</t>
        </is>
      </c>
      <c r="D64" t="inlineStr">
        <is>
          <t xml:space="preserve">user</t>
        </is>
      </c>
      <c r="F64" t="inlineStr">
        <is>
          <t xml:space="preserve">Общее время, которое специалист непосредственно затрачивает на выполнение съёмочных работ на съёмочной площадке в рамках проекта.</t>
        </is>
      </c>
    </row>
    <row r="65">
      <c r="A64" t="inlineStr">
        <is>
          <t xml:space="preserve">64</t>
        </is>
      </c>
      <c r="B65" t="inlineStr">
        <is>
          <t xml:space="preserve">Съёмочный час</t>
        </is>
      </c>
      <c r="D65" t="inlineStr">
        <is>
          <t xml:space="preserve">user</t>
        </is>
      </c>
      <c r="F65" t="inlineStr">
        <is>
          <t xml:space="preserve">Единица измерения съёмочного времени, равная одному часу работы специалиста на съёмочной площадке.</t>
        </is>
      </c>
    </row>
    <row r="66">
      <c r="A65" t="inlineStr">
        <is>
          <t xml:space="preserve">65</t>
        </is>
      </c>
      <c r="B66" t="inlineStr">
        <is>
          <t xml:space="preserve">Проектное время</t>
        </is>
      </c>
      <c r="D66" t="inlineStr">
        <is>
          <t xml:space="preserve">user</t>
        </is>
      </c>
      <c r="F66" t="inlineStr">
        <is>
          <t xml:space="preserve">Общее количество времени, которое специалист затрачивает на выполнение одного проекта, включая время на коммуникацию с клиентом, подготовку, съёмку, пост-продакшн и другие связанные с проектом задачи.</t>
        </is>
      </c>
    </row>
    <row r="67">
      <c r="A66" t="inlineStr">
        <is>
          <t xml:space="preserve">66</t>
        </is>
      </c>
      <c r="B67" t="inlineStr">
        <is>
          <t xml:space="preserve">Съёмочный проект</t>
        </is>
      </c>
      <c r="D67" t="inlineStr">
        <is>
          <t xml:space="preserve">user</t>
        </is>
      </c>
      <c r="F67" t="inlineStr">
        <is>
          <t xml:space="preserve">Отдельный проект, предусматривающий выполнение съёмочных работ для клиента и включающий все связанные с ним процессы — подготовку, коммуникацию, съёмку, пост-продакшн и завершение проекта. Сокращённо может называться съёмкой.</t>
        </is>
      </c>
    </row>
    <row r="68">
      <c r="A67" t="inlineStr">
        <is>
          <t xml:space="preserve">67</t>
        </is>
      </c>
      <c r="B68" t="inlineStr">
        <is>
          <t xml:space="preserve">Операционное время</t>
        </is>
      </c>
      <c r="D68" t="inlineStr">
        <is>
          <t xml:space="preserve">user</t>
        </is>
      </c>
      <c r="F68" t="inlineStr">
        <is>
          <t xml:space="preserve">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69">
      <c r="A68" t="inlineStr">
        <is>
          <t xml:space="preserve">68</t>
        </is>
      </c>
      <c r="B69" t="inlineStr">
        <is>
          <t xml:space="preserve">Время на постпродакшн</t>
        </is>
      </c>
      <c r="D69" t="inlineStr">
        <is>
          <t xml:space="preserve">user</t>
        </is>
      </c>
      <c r="F69" t="inlineStr">
        <is>
          <t xml:space="preserve">Совокупность времени, затрачиваемого специалистом после завершения съёмки на обработку и подготовку отснятого материала, включая его перенос, загрузку, сортировку, отбор, обработку, ретушь, экспорт, передачу заказчику и другие действия, необходимые для завершения проекта.</t>
        </is>
      </c>
    </row>
    <row r="70">
      <c r="A69" t="inlineStr">
        <is>
          <t xml:space="preserve">69</t>
        </is>
      </c>
      <c r="B70" t="inlineStr">
        <is>
          <t xml:space="preserve">Клиентское время</t>
        </is>
      </c>
      <c r="D70" t="inlineStr">
        <is>
          <t xml:space="preserve">user</t>
        </is>
      </c>
      <c r="F70" t="inlineStr">
        <is>
          <t xml:space="preserve">Время, которое специалист затрачивает на коммуникацию с потенциальными и действующими клиентами, включая ответы на вопросы, переписку, консультации, обсуждение условий сотрудничества и другие действия, связанные с привлечением и обслуживанием клиентов.</t>
        </is>
      </c>
    </row>
    <row r="71">
      <c r="A70" t="inlineStr">
        <is>
          <t xml:space="preserve">70</t>
        </is>
      </c>
      <c r="B71" t="inlineStr">
        <is>
          <t xml:space="preserve">Проектное клиентское время</t>
        </is>
      </c>
      <c r="D71" t="inlineStr">
        <is>
          <t xml:space="preserve">user</t>
        </is>
      </c>
      <c r="F71" t="inlineStr">
        <is>
          <t xml:space="preserve">Часть клиентского времени, относящаяся к конкретному проекту и учитываемая в его стоимости. Включает коммуникацию с заказчиком после начала работы над проектом: согласование деталей, подготовку, обсуждение результатов и другие действия, непосредственно связанные с выполнением проекта.</t>
        </is>
      </c>
    </row>
    <row r="72">
      <c r="A71" t="inlineStr">
        <is>
          <t xml:space="preserve">71</t>
        </is>
      </c>
      <c r="B72" t="inlineStr">
        <is>
          <t xml:space="preserve">Операционное клиентское время</t>
        </is>
      </c>
      <c r="D72" t="inlineStr">
        <is>
          <t xml:space="preserve">user</t>
        </is>
      </c>
      <c r="F72" t="inlineStr">
        <is>
          <t xml:space="preserve">Время, которое специалист затрачивает на коммуникацию с потенциальными и действующими клиентами вне рамок конкретного проекта, включая обработку обращений, ответы на вопросы, консультации, переписку, переговоры и другие действия, связанные с привлечением и обслуживанием клиентов.</t>
        </is>
      </c>
    </row>
    <row r="73">
      <c r="A72" t="inlineStr">
        <is>
          <t xml:space="preserve">72</t>
        </is>
      </c>
      <c r="B73" t="inlineStr">
        <is>
          <t xml:space="preserve">Инвестиционное время</t>
        </is>
      </c>
      <c r="D73" t="inlineStr">
        <is>
          <t xml:space="preserve">user</t>
        </is>
      </c>
      <c r="F73" t="inlineStr">
        <is>
          <t xml:space="preserve">Время, которое специалист дополнительно вкладывает в развитие, создание или улучшение ресурсов своего бизнеса и которое рассматривается как инвестиция, способная в дальнейшем приносить экономическую отдачу. Затраты такого времени могут учитываться в стоимости деятельности специалиста и компенсироваться за счёт будущих доходов.
Примеры: обучение и повышение квалификации, освоение нового оборудования или технологий, ремонт и переоборудование студии, разработка новых услуг, создание рабочих инструментов и другие вложения времени, направленные на развитие бизнеса.</t>
        </is>
      </c>
    </row>
    <row r="74">
      <c r="A73" t="inlineStr">
        <is>
          <t xml:space="preserve">73</t>
        </is>
      </c>
      <c r="B74" t="inlineStr">
        <is>
          <t xml:space="preserve">Логистика</t>
        </is>
      </c>
      <c r="D74" t="inlineStr">
        <is>
          <t xml:space="preserve">user</t>
        </is>
      </c>
      <c r="F74" t="inlineStr">
        <is>
          <t xml:space="preserve">Совокупность временных и денежных затрат специалиста, связанных с перемещением к месту выполнения работы и обратно, а также с перевозкой необходимых для работы оборудования и материалов.
В Счётикс логистика вынесена за пределы расчёта базовой стоимости рабочего часа. Затраты на дорогу, проезд, топливо, парковку и другое перемещение специалист учитывает самостоятельно при формировании стоимости конкретного проекта с учётом фактических условий работы.</t>
        </is>
      </c>
    </row>
    <row r="75">
      <c r="A74" t="inlineStr">
        <is>
          <t xml:space="preserve">74</t>
        </is>
      </c>
      <c r="B75" t="inlineStr">
        <is>
          <t xml:space="preserve">Амортизация</t>
        </is>
      </c>
      <c r="D75" t="inlineStr">
        <is>
          <t xml:space="preserve">user</t>
        </is>
      </c>
      <c r="F75" t="inlineStr">
        <is>
          <t xml:space="preserve">Постепенное включение стоимости имущества в расходы бизнеса по мере его использования и износа.</t>
        </is>
      </c>
    </row>
    <row r="76">
      <c r="A75" t="inlineStr">
        <is>
          <t xml:space="preserve">75</t>
        </is>
      </c>
      <c r="B76" t="inlineStr">
        <is>
          <t xml:space="preserve">Банковское обслуживание</t>
        </is>
      </c>
      <c r="D76" t="inlineStr">
        <is>
          <t xml:space="preserve">user</t>
        </is>
      </c>
      <c r="F76" t="inlineStr">
        <is>
          <t xml:space="preserve">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77">
      <c r="A76" t="inlineStr">
        <is>
          <t xml:space="preserve">76</t>
        </is>
      </c>
      <c r="B77" t="inlineStr">
        <is>
          <t xml:space="preserve">Бухгалтерия</t>
        </is>
      </c>
      <c r="D77" t="inlineStr">
        <is>
          <t xml:space="preserve">user</t>
        </is>
      </c>
      <c r="F77" t="inlineStr">
        <is>
          <t xml:space="preserve">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78">
      <c r="A77" t="inlineStr">
        <is>
          <t xml:space="preserve">77</t>
        </is>
      </c>
      <c r="B78" t="inlineStr">
        <is>
          <t xml:space="preserve">Выработка ресурса</t>
        </is>
      </c>
      <c r="D78" t="inlineStr">
        <is>
          <t xml:space="preserve">user</t>
        </is>
      </c>
      <c r="F78" t="inlineStr">
        <is>
          <t xml:space="preserve">Использование установленного ресурса оборудования, выраженное в количестве предусмотренных производителем операций или циклов работы.</t>
        </is>
      </c>
    </row>
    <row r="79">
      <c r="A78" t="inlineStr">
        <is>
          <t xml:space="preserve">78</t>
        </is>
      </c>
      <c r="B79" t="inlineStr">
        <is>
          <t xml:space="preserve">Готовые кадры</t>
        </is>
      </c>
      <c r="D79" t="inlineStr">
        <is>
          <t xml:space="preserve">user</t>
        </is>
      </c>
      <c r="F79" t="inlineStr">
        <is>
          <t xml:space="preserve">Снимки, полученные в результате проведения съёмочных работ и прошедшие первичную обработку.</t>
        </is>
      </c>
    </row>
    <row r="80">
      <c r="A79" t="inlineStr">
        <is>
          <t xml:space="preserve">79</t>
        </is>
      </c>
      <c r="B80" t="inlineStr">
        <is>
          <t xml:space="preserve">Доля безналичных платежей</t>
        </is>
      </c>
      <c r="D80" t="inlineStr">
        <is>
          <t xml:space="preserve">user</t>
        </is>
      </c>
      <c r="F80" t="inlineStr">
        <is>
          <t xml:space="preserve">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81">
      <c r="A80" t="inlineStr">
        <is>
          <t xml:space="preserve">80</t>
        </is>
      </c>
      <c r="B81" t="inlineStr">
        <is>
          <t xml:space="preserve">Загрузка специалиста</t>
        </is>
      </c>
      <c r="D81" t="inlineStr">
        <is>
          <t xml:space="preserve">user</t>
        </is>
      </c>
      <c r="F81" t="inlineStr">
        <is>
          <t xml:space="preserve">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82">
      <c r="A81" t="inlineStr">
        <is>
          <t xml:space="preserve">81</t>
        </is>
      </c>
      <c r="B82" t="inlineStr">
        <is>
          <t xml:space="preserve">Запас на скидку</t>
        </is>
      </c>
      <c r="D82" t="inlineStr">
        <is>
          <t xml:space="preserve">user</t>
        </is>
      </c>
      <c r="F82" t="inlineStr">
        <is>
          <t xml:space="preserve">Часть стоимости услуги, заранее заложенная в цену для возможности предоставить клиенту скидку без снижения планируемого дохода специалиста.</t>
        </is>
      </c>
    </row>
    <row r="83">
      <c r="A82" t="inlineStr">
        <is>
          <t xml:space="preserve">82</t>
        </is>
      </c>
      <c r="B83" t="inlineStr">
        <is>
          <t xml:space="preserve">Износ камеры</t>
        </is>
      </c>
      <c r="D83" t="inlineStr">
        <is>
          <t xml:space="preserve">user</t>
        </is>
      </c>
      <c r="F83" t="inlineStr">
        <is>
          <t xml:space="preserve">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84">
      <c r="A83" t="inlineStr">
        <is>
          <t xml:space="preserve">83</t>
        </is>
      </c>
      <c r="B84" t="inlineStr">
        <is>
          <t xml:space="preserve">Минимальный заказ</t>
        </is>
      </c>
      <c r="D84" t="inlineStr">
        <is>
          <t xml:space="preserve">user</t>
        </is>
      </c>
      <c r="F84" t="inlineStr">
        <is>
          <t xml:space="preserve">Минимальное количество часов съёмки, которое специалист принимает в рамках одного заказа и ниже которого не выполняет заказ на установленных условиях.</t>
        </is>
      </c>
    </row>
    <row r="85">
      <c r="A84" t="inlineStr">
        <is>
          <t xml:space="preserve">84</t>
        </is>
      </c>
      <c r="B85" t="inlineStr">
        <is>
          <t xml:space="preserve">Налоги</t>
        </is>
      </c>
      <c r="D85" t="inlineStr">
        <is>
          <t xml:space="preserve">user</t>
        </is>
      </c>
      <c r="F85" t="inlineStr">
        <is>
          <t xml:space="preserve">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86">
      <c r="A85" t="inlineStr">
        <is>
          <t xml:space="preserve">85</t>
        </is>
      </c>
      <c r="B86" t="inlineStr">
        <is>
          <t xml:space="preserve">Налоговый режим</t>
        </is>
      </c>
      <c r="D86" t="inlineStr">
        <is>
          <t xml:space="preserve">user</t>
        </is>
      </c>
      <c r="F86" t="inlineStr">
        <is>
          <t xml:space="preserve">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87">
      <c r="A86" t="inlineStr">
        <is>
          <t xml:space="preserve">86</t>
        </is>
      </c>
      <c r="B87" t="inlineStr">
        <is>
          <t xml:space="preserve">Наценка к себестоимости</t>
        </is>
      </c>
      <c r="D87" t="inlineStr">
        <is>
          <t xml:space="preserve">user</t>
        </is>
      </c>
      <c r="F87" t="inlineStr">
        <is>
          <t xml:space="preserve">Процентное или денежное увеличение себестоимости услуги, формирующее дополнительную сумму сверх затрат и обеспечивающее получение прибыли.</t>
        </is>
      </c>
    </row>
    <row r="88">
      <c r="A87" t="inlineStr">
        <is>
          <t xml:space="preserve">87</t>
        </is>
      </c>
      <c r="B88" t="inlineStr">
        <is>
          <t xml:space="preserve">Обустройство рабочего места</t>
        </is>
      </c>
      <c r="D88" t="inlineStr">
        <is>
          <t xml:space="preserve">user</t>
        </is>
      </c>
      <c r="F88" t="inlineStr">
        <is>
          <t xml:space="preserve">Затраты на создание и оснащение пространства, необходимого специалисту для выполнения профессиональной деятельности.</t>
        </is>
      </c>
    </row>
    <row r="89">
      <c r="A88" t="inlineStr">
        <is>
          <t xml:space="preserve">88</t>
        </is>
      </c>
      <c r="B89" t="inlineStr">
        <is>
          <t xml:space="preserve">Обучение</t>
        </is>
      </c>
      <c r="D89" t="inlineStr">
        <is>
          <t xml:space="preserve">user</t>
        </is>
      </c>
      <c r="F89" t="inlineStr">
        <is>
          <t xml:space="preserve">Затраты на получение и поддержание знаний, навыков и профессиональных компетенций, необходимых для выполнения работы и развития специалиста.</t>
        </is>
      </c>
    </row>
    <row r="90">
      <c r="A89" t="inlineStr">
        <is>
          <t xml:space="preserve">89</t>
        </is>
      </c>
      <c r="B90" t="inlineStr">
        <is>
          <t xml:space="preserve">Остаток ресурса</t>
        </is>
      </c>
      <c r="D90" t="inlineStr">
        <is>
          <t xml:space="preserve">user</t>
        </is>
      </c>
      <c r="F90" t="inlineStr">
        <is>
          <t xml:space="preserve">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91">
      <c r="A90" t="inlineStr">
        <is>
          <t xml:space="preserve">90</t>
        </is>
      </c>
      <c r="B91" t="inlineStr">
        <is>
          <t xml:space="preserve">Отчётность</t>
        </is>
      </c>
      <c r="D91" t="inlineStr">
        <is>
          <t xml:space="preserve">user</t>
        </is>
      </c>
      <c r="F91" t="inlineStr">
        <is>
          <t xml:space="preserve">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92">
      <c r="A91" t="inlineStr">
        <is>
          <t xml:space="preserve">91</t>
        </is>
      </c>
      <c r="B92" t="inlineStr">
        <is>
          <t xml:space="preserve">Офисное оборудование</t>
        </is>
      </c>
      <c r="D92" t="inlineStr">
        <is>
          <t xml:space="preserve">user</t>
        </is>
      </c>
      <c r="F92" t="inlineStr">
        <is>
          <t xml:space="preserve">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93">
      <c r="A92" t="inlineStr">
        <is>
          <t xml:space="preserve">92</t>
        </is>
      </c>
      <c r="B93" t="inlineStr">
        <is>
          <t xml:space="preserve">Первичная обработка</t>
        </is>
      </c>
      <c r="D93" t="inlineStr">
        <is>
          <t xml:space="preserve">user</t>
        </is>
      </c>
      <c r="F93" t="inlineStr">
        <is>
          <t xml:space="preserve">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94">
      <c r="A93" t="inlineStr">
        <is>
          <t xml:space="preserve">93</t>
        </is>
      </c>
      <c r="B94" t="inlineStr">
        <is>
          <t xml:space="preserve">ПО</t>
        </is>
      </c>
      <c r="D94" t="inlineStr">
        <is>
          <t xml:space="preserve">user</t>
        </is>
      </c>
      <c r="F94" t="inlineStr">
        <is>
          <t xml:space="preserve">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95">
      <c r="A94" t="inlineStr">
        <is>
          <t xml:space="preserve">94</t>
        </is>
      </c>
      <c r="B95" t="inlineStr">
        <is>
          <t xml:space="preserve">Подарочный сертификат</t>
        </is>
      </c>
      <c r="D95" t="inlineStr">
        <is>
          <t xml:space="preserve">user</t>
        </is>
      </c>
      <c r="F95" t="inlineStr">
        <is>
          <t xml:space="preserve">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96">
      <c r="A95" t="inlineStr">
        <is>
          <t xml:space="preserve">95</t>
        </is>
      </c>
      <c r="B96" t="inlineStr">
        <is>
          <t xml:space="preserve">Подписки</t>
        </is>
      </c>
      <c r="D96" t="inlineStr">
        <is>
          <t xml:space="preserve">user</t>
        </is>
      </c>
      <c r="F96" t="inlineStr">
        <is>
          <t xml:space="preserve">Регулярные платежи за доступ к программам, сервисам, платформам и другим цифровым инструментам, необходимым специалисту для работы.</t>
        </is>
      </c>
    </row>
    <row r="97">
      <c r="A96" t="inlineStr">
        <is>
          <t xml:space="preserve">96</t>
        </is>
      </c>
      <c r="B97" t="inlineStr">
        <is>
          <t xml:space="preserve">Поиск заказов</t>
        </is>
      </c>
      <c r="D97" t="inlineStr">
        <is>
          <t xml:space="preserve">user</t>
        </is>
      </c>
      <c r="F97" t="inlineStr">
        <is>
          <t xml:space="preserve">Действия специалиста по выявлению потенциальных клиентов и получению новых заказов на оказание услуг.</t>
        </is>
      </c>
    </row>
    <row r="98">
      <c r="A97" t="inlineStr">
        <is>
          <t xml:space="preserve">97</t>
        </is>
      </c>
      <c r="B98" t="inlineStr">
        <is>
          <t xml:space="preserve">Постпродакшн</t>
        </is>
      </c>
      <c r="D98" t="inlineStr">
        <is>
          <t xml:space="preserve">user</t>
        </is>
      </c>
      <c r="F98" t="inlineStr">
        <is>
          <t xml:space="preserve">Комплекс работ с отснятым материалом после завершения съёмки, направленных на его обработку, доработку и подготовку к передаче или публикации.</t>
        </is>
      </c>
    </row>
    <row r="99">
      <c r="A98" t="inlineStr">
        <is>
          <t xml:space="preserve">98</t>
        </is>
      </c>
      <c r="B99" t="inlineStr">
        <is>
          <t xml:space="preserve">Прайс</t>
        </is>
      </c>
      <c r="D99" t="inlineStr">
        <is>
          <t xml:space="preserve">user</t>
        </is>
      </c>
      <c r="F99" t="inlineStr">
        <is>
          <t xml:space="preserve">Перечень услуг с указанием их стоимости и, при необходимости, основных условий их предоставления.</t>
        </is>
      </c>
    </row>
    <row r="100">
      <c r="A99" t="inlineStr">
        <is>
          <t xml:space="preserve">99</t>
        </is>
      </c>
      <c r="B100" t="inlineStr">
        <is>
          <t xml:space="preserve">Программа лояльности</t>
        </is>
      </c>
      <c r="D100" t="inlineStr">
        <is>
          <t xml:space="preserve">user</t>
        </is>
      </c>
      <c r="F100" t="inlineStr">
        <is>
          <t xml:space="preserve">Система условий и поощрений, направленная на привлечение и удержание клиентов и стимулирование их повторных покупок или заказов.</t>
        </is>
      </c>
    </row>
    <row r="101">
      <c r="A100" t="inlineStr">
        <is>
          <t xml:space="preserve">100</t>
        </is>
      </c>
      <c r="B101" t="inlineStr">
        <is>
          <t xml:space="preserve">Продвижение</t>
        </is>
      </c>
      <c r="D101" t="inlineStr">
        <is>
          <t xml:space="preserve">user</t>
        </is>
      </c>
      <c r="F101" t="inlineStr">
        <is>
          <t xml:space="preserve">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102">
      <c r="A101" t="inlineStr">
        <is>
          <t xml:space="preserve">101</t>
        </is>
      </c>
      <c r="B102" t="inlineStr">
        <is>
          <t xml:space="preserve">Продолжительность съёмки</t>
        </is>
      </c>
      <c r="D102" t="inlineStr">
        <is>
          <t xml:space="preserve">user</t>
        </is>
      </c>
      <c r="F102" t="inlineStr">
        <is>
          <t xml:space="preserve">Время, затрачиваемое специалистом непосредственно на проведение съёмочных работ, от начала до завершения съёмки.</t>
        </is>
      </c>
    </row>
    <row r="103">
      <c r="A102" t="inlineStr">
        <is>
          <t xml:space="preserve">102</t>
        </is>
      </c>
      <c r="B103" t="inlineStr">
        <is>
          <t xml:space="preserve">Проектная работа с клиентами</t>
        </is>
      </c>
      <c r="D103" t="inlineStr">
        <is>
          <t xml:space="preserve">user</t>
        </is>
      </c>
      <c r="F103" t="inlineStr">
        <is>
          <t xml:space="preserve">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104">
      <c r="A103" t="inlineStr">
        <is>
          <t xml:space="preserve">103</t>
        </is>
      </c>
      <c r="B104" t="inlineStr">
        <is>
          <t xml:space="preserve">Прямые расходы</t>
        </is>
      </c>
      <c r="D104" t="inlineStr">
        <is>
          <t xml:space="preserve">user</t>
        </is>
      </c>
      <c r="F104" t="inlineStr">
        <is>
          <t xml:space="preserve">Расходы, непосредственно связанные с выполнением конкретного заказа или проекта и возникающие в процессе оказания услуги.</t>
        </is>
      </c>
    </row>
    <row r="105">
      <c r="A104" t="inlineStr">
        <is>
          <t xml:space="preserve">104</t>
        </is>
      </c>
      <c r="B105" t="inlineStr">
        <is>
          <t xml:space="preserve">Работа с клиентами</t>
        </is>
      </c>
      <c r="D105" t="inlineStr">
        <is>
          <t xml:space="preserve">user</t>
        </is>
      </c>
      <c r="F105" t="inlineStr">
        <is>
          <t xml:space="preserve">Совокупность рабочих действий специалиста, связанных с привлечением, коммуникацией и сопровождением клиентов на разных этапах взаимодействия.</t>
        </is>
      </c>
    </row>
    <row r="106">
      <c r="A105" t="inlineStr">
        <is>
          <t xml:space="preserve">105</t>
        </is>
      </c>
      <c r="B106" t="inlineStr">
        <is>
          <t xml:space="preserve">Рабочее место</t>
        </is>
      </c>
      <c r="D106" t="inlineStr">
        <is>
          <t xml:space="preserve">user</t>
        </is>
      </c>
      <c r="F106" t="inlineStr">
        <is>
          <t xml:space="preserve">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107">
      <c r="A106" t="inlineStr">
        <is>
          <t xml:space="preserve">106</t>
        </is>
      </c>
      <c r="B107" t="inlineStr">
        <is>
          <t xml:space="preserve">Резерв на программу лояльности</t>
        </is>
      </c>
      <c r="D107" t="inlineStr">
        <is>
          <t xml:space="preserve">user</t>
        </is>
      </c>
      <c r="F107" t="inlineStr">
        <is>
          <t xml:space="preserve">Часть денежных средств, закладываемая в стоимость услуг для финансирования скидок, бонусов и других мероприятий программы лояльности. Дополнительный резерв, может быть отключён.</t>
        </is>
      </c>
    </row>
    <row r="108">
      <c r="A107" t="inlineStr">
        <is>
          <t xml:space="preserve">107</t>
        </is>
      </c>
      <c r="B108" t="inlineStr">
        <is>
          <t xml:space="preserve">Резерв на развитие</t>
        </is>
      </c>
      <c r="D108" t="inlineStr">
        <is>
          <t xml:space="preserve">user</t>
        </is>
      </c>
      <c r="F108" t="inlineStr">
        <is>
          <t xml:space="preserve">Часть денежных средств, закладываемая в стоимость услуг для последующего финансирования развития профессиональной деятельности. Дополнительный резерв, может быть отключён.</t>
        </is>
      </c>
    </row>
    <row r="109">
      <c r="A108" t="inlineStr">
        <is>
          <t xml:space="preserve">108</t>
        </is>
      </c>
      <c r="B109" t="inlineStr">
        <is>
          <t xml:space="preserve">Резерв времени на простой и форс-мажоры</t>
        </is>
      </c>
      <c r="D109" t="inlineStr">
        <is>
          <t xml:space="preserve">user</t>
        </is>
      </c>
      <c r="F109" t="inlineStr">
        <is>
          <t xml:space="preserve">Дополнительный запас рабочего времени, предусмотренный в расчёте для компенсации периодов отсутствия заказов, отмены или переноса съёмок, а также непредвиденных обстоятельств, временно влияющих на возможность специалиста работать. Дополнительный резерв, может быть отключён.</t>
        </is>
      </c>
    </row>
    <row r="110">
      <c r="A109" t="inlineStr">
        <is>
          <t xml:space="preserve">109</t>
        </is>
      </c>
      <c r="B110" t="inlineStr">
        <is>
          <t xml:space="preserve">Резерв на отпуск</t>
        </is>
      </c>
      <c r="D110" t="inlineStr">
        <is>
          <t xml:space="preserve">user</t>
        </is>
      </c>
      <c r="F110" t="inlineStr">
        <is>
          <t xml:space="preserve">Часть денежных средств, включаемая в стоимость каждого часа работы и предназначенная для сохранения дохода специалиста в период оплачиваемого отпуска. Обязательный резерв.</t>
        </is>
      </c>
    </row>
    <row r="111">
      <c r="A110" t="inlineStr">
        <is>
          <t xml:space="preserve">110</t>
        </is>
      </c>
      <c r="B111" t="inlineStr">
        <is>
          <t xml:space="preserve">Резервный фонд</t>
        </is>
      </c>
      <c r="D111" t="inlineStr">
        <is>
          <t xml:space="preserve">user</t>
        </is>
      </c>
      <c r="F111" t="inlineStr">
        <is>
          <t xml:space="preserve">Денежные средства, которые специалист заранее закладывает в стоимость своих услуг и накапливает для последующего использования в соответствии с предусмотренными целями.</t>
        </is>
      </c>
    </row>
    <row r="112">
      <c r="A111" t="inlineStr">
        <is>
          <t xml:space="preserve">111</t>
        </is>
      </c>
      <c r="B112" t="inlineStr">
        <is>
          <t xml:space="preserve">Реклама</t>
        </is>
      </c>
      <c r="D112" t="inlineStr">
        <is>
          <t xml:space="preserve">user</t>
        </is>
      </c>
      <c r="F112" t="inlineStr">
        <is>
          <t xml:space="preserve">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113">
      <c r="A112" t="inlineStr">
        <is>
          <t xml:space="preserve">112</t>
        </is>
      </c>
      <c r="B113" t="inlineStr">
        <is>
          <t xml:space="preserve">Ресурс затвора</t>
        </is>
      </c>
      <c r="D113" t="inlineStr">
        <is>
          <t xml:space="preserve">user</t>
        </is>
      </c>
      <c r="F113" t="inlineStr">
        <is>
          <t xml:space="preserve">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114">
      <c r="A113" t="inlineStr">
        <is>
          <t xml:space="preserve">113</t>
        </is>
      </c>
      <c r="B114" t="inlineStr">
        <is>
          <t xml:space="preserve">Сайт</t>
        </is>
      </c>
      <c r="D114" t="inlineStr">
        <is>
          <t xml:space="preserve">user</t>
        </is>
      </c>
      <c r="F114" t="inlineStr">
        <is>
          <t xml:space="preserve">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115">
      <c r="A114" t="inlineStr">
        <is>
          <t xml:space="preserve">114</t>
        </is>
      </c>
      <c r="B115" t="inlineStr">
        <is>
          <t xml:space="preserve">Себестоимость часа съёмки</t>
        </is>
      </c>
      <c r="D115" t="inlineStr">
        <is>
          <t xml:space="preserve">user</t>
        </is>
      </c>
      <c r="F115" t="inlineStr">
        <is>
          <t xml:space="preserve">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116">
      <c r="A115" t="inlineStr">
        <is>
          <t xml:space="preserve">115</t>
        </is>
      </c>
      <c r="B116" t="inlineStr">
        <is>
          <t xml:space="preserve">Скидка за объём</t>
        </is>
      </c>
      <c r="D116" t="inlineStr">
        <is>
          <t xml:space="preserve">user</t>
        </is>
      </c>
      <c r="F116" t="inlineStr">
        <is>
          <t xml:space="preserve">Снижение стоимости единицы услуги при увеличении объёма заказа или количества приобретаемых услуг.</t>
        </is>
      </c>
    </row>
    <row r="117">
      <c r="A116" t="inlineStr">
        <is>
          <t xml:space="preserve">116</t>
        </is>
      </c>
      <c r="B117" t="inlineStr">
        <is>
          <t xml:space="preserve">Содержание рабочего места</t>
        </is>
      </c>
      <c r="D117" t="inlineStr">
        <is>
          <t xml:space="preserve">user</t>
        </is>
      </c>
      <c r="F117" t="inlineStr">
        <is>
          <t xml:space="preserve">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118">
      <c r="A117" t="inlineStr">
        <is>
          <t xml:space="preserve">117</t>
        </is>
      </c>
      <c r="B118" t="inlineStr">
        <is>
          <t xml:space="preserve">Срабатывание затвора</t>
        </is>
      </c>
      <c r="D118" t="inlineStr">
        <is>
          <t xml:space="preserve">user</t>
        </is>
      </c>
      <c r="F118" t="inlineStr">
        <is>
          <t xml:space="preserve">Однократный цикл работы затвора камеры, происходящий при создании снимка и учитываемый при определении выработки ресурса затвора.</t>
        </is>
      </c>
    </row>
    <row r="119">
      <c r="A118" t="inlineStr">
        <is>
          <t xml:space="preserve">118</t>
        </is>
      </c>
      <c r="B119" t="inlineStr">
        <is>
          <t xml:space="preserve">Средний чек съёмки</t>
        </is>
      </c>
      <c r="D119" t="inlineStr">
        <is>
          <t xml:space="preserve">user</t>
        </is>
      </c>
      <c r="F119" t="inlineStr">
        <is>
          <t xml:space="preserve">Средняя стоимость одной съёмки, рассчитанная на основе общей выручки от съёмок и их количества за определённый период.</t>
        </is>
      </c>
    </row>
    <row r="120">
      <c r="A119" t="inlineStr">
        <is>
          <t xml:space="preserve">119</t>
        </is>
      </c>
      <c r="B120" t="inlineStr">
        <is>
          <t xml:space="preserve">Срок службы</t>
        </is>
      </c>
      <c r="D120" t="inlineStr">
        <is>
          <t xml:space="preserve">user</t>
        </is>
      </c>
      <c r="F120" t="inlineStr">
        <is>
          <t xml:space="preserve">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121">
      <c r="A120" t="inlineStr">
        <is>
          <t xml:space="preserve">120</t>
        </is>
      </c>
      <c r="B121" t="inlineStr">
        <is>
          <t xml:space="preserve">Страховые взносы</t>
        </is>
      </c>
      <c r="D121" t="inlineStr">
        <is>
          <t xml:space="preserve">user</t>
        </is>
      </c>
      <c r="F121" t="inlineStr">
        <is>
          <t xml:space="preserve">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122">
      <c r="A121" t="inlineStr">
        <is>
          <t xml:space="preserve">121</t>
        </is>
      </c>
      <c r="B122" t="inlineStr">
        <is>
          <t xml:space="preserve">Съёмка</t>
        </is>
      </c>
      <c r="D122" t="inlineStr">
        <is>
          <t xml:space="preserve">user</t>
        </is>
      </c>
      <c r="F122" t="inlineStr">
        <is>
          <t xml:space="preserve">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123">
      <c r="A122" t="inlineStr">
        <is>
          <t xml:space="preserve">122</t>
        </is>
      </c>
      <c r="B123" t="inlineStr">
        <is>
          <t xml:space="preserve">Съёмочное оборудование</t>
        </is>
      </c>
      <c r="D123" t="inlineStr">
        <is>
          <t xml:space="preserve">user</t>
        </is>
      </c>
      <c r="F123" t="inlineStr">
        <is>
          <t xml:space="preserve">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124">
      <c r="A123" t="inlineStr">
        <is>
          <t xml:space="preserve">123</t>
        </is>
      </c>
      <c r="B124" t="inlineStr">
        <is>
          <t xml:space="preserve">Регулярные расходы специалиста</t>
        </is>
      </c>
      <c r="D124" t="inlineStr">
        <is>
          <t xml:space="preserve">user</t>
        </is>
      </c>
      <c r="F124" t="inlineStr">
        <is>
          <t xml:space="preserve">Расходы, возникающие регулярно и необходимые для поддержания профессиональной деятельности и выполнения работы в течение определённого периода.</t>
        </is>
      </c>
    </row>
    <row r="125">
      <c r="A124" t="inlineStr">
        <is>
          <t xml:space="preserve">124</t>
        </is>
      </c>
      <c r="B125" t="inlineStr">
        <is>
          <t xml:space="preserve">Учёт</t>
        </is>
      </c>
      <c r="D125" t="inlineStr">
        <is>
          <t xml:space="preserve">user</t>
        </is>
      </c>
      <c r="F125" t="inlineStr">
        <is>
          <t xml:space="preserve">Систематический сбор, фиксация и анализ информации о доходах, расходах, работе и других показателях профессиональной деятельности.</t>
        </is>
      </c>
    </row>
    <row r="126">
      <c r="A125" t="inlineStr">
        <is>
          <t xml:space="preserve">125</t>
        </is>
      </c>
      <c r="B126" t="inlineStr">
        <is>
          <t xml:space="preserve">Фонд программы лояльности</t>
        </is>
      </c>
      <c r="D126" t="inlineStr">
        <is>
          <t xml:space="preserve">user</t>
        </is>
      </c>
      <c r="F126" t="inlineStr">
        <is>
          <t xml:space="preserve">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27">
      <c r="A126" t="inlineStr">
        <is>
          <t xml:space="preserve">126</t>
        </is>
      </c>
      <c r="B127" t="inlineStr">
        <is>
          <t xml:space="preserve">Фонд развития</t>
        </is>
      </c>
      <c r="D127" t="inlineStr">
        <is>
          <t xml:space="preserve">user</t>
        </is>
      </c>
      <c r="F127" t="inlineStr">
        <is>
          <t xml:space="preserve">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28">
      <c r="A127" t="inlineStr">
        <is>
          <t xml:space="preserve">127</t>
        </is>
      </c>
      <c r="B128" t="inlineStr">
        <is>
          <t xml:space="preserve">Эквайринг</t>
        </is>
      </c>
      <c r="D128" t="inlineStr">
        <is>
          <t xml:space="preserve">user</t>
        </is>
      </c>
      <c r="F128" t="inlineStr">
        <is>
          <t xml:space="preserve">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29">
      <c r="A128" t="inlineStr">
        <is>
          <t xml:space="preserve">128</t>
        </is>
      </c>
      <c r="B129" t="inlineStr">
        <is>
          <t xml:space="preserve">Юнит-экономика</t>
        </is>
      </c>
      <c r="D129" t="inlineStr">
        <is>
          <t xml:space="preserve">user</t>
        </is>
      </c>
      <c r="F129" t="inlineStr">
        <is>
          <t xml:space="preserve">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30">
      <c r="A130" t="inlineStr">
        <is>
          <t xml:space="preserve">129</t>
        </is>
      </c>
      <c r="B130" t="inlineStr">
        <is>
          <t xml:space="preserve">Расходы</t>
        </is>
      </c>
      <c r="D130" t="inlineStr">
        <is>
          <t xml:space="preserve">user</t>
        </is>
      </c>
      <c r="F130" t="inlineStr">
        <is>
          <t xml:space="preserve">Всё, что специалист затрачивает для выполнения работы и ведения профессиональной деятельности, включая время и денежные средства.</t>
        </is>
      </c>
    </row>
    <row r="131">
      <c r="A131" t="inlineStr">
        <is>
          <t xml:space="preserve">130</t>
        </is>
      </c>
      <c r="B131" t="inlineStr">
        <is>
          <t xml:space="preserve">Временные расходы</t>
        </is>
      </c>
      <c r="D131" t="inlineStr">
        <is>
          <t xml:space="preserve">user</t>
        </is>
      </c>
      <c r="F131" t="inlineStr">
        <is>
          <t xml:space="preserve">Время, которое специалист затрачивает на выполнение работы, взаимодействие с клиентами, организационные задачи и другие действия, связанные с профессиональной деятельностью.</t>
        </is>
      </c>
    </row>
    <row r="132">
      <c r="A132" t="inlineStr">
        <is>
          <t xml:space="preserve">131</t>
        </is>
      </c>
      <c r="B132" t="inlineStr">
        <is>
          <t xml:space="preserve">Финансовые расходы</t>
        </is>
      </c>
      <c r="D132" t="inlineStr">
        <is>
          <t xml:space="preserve">user</t>
        </is>
      </c>
      <c r="F132" t="inlineStr">
        <is>
          <t xml:space="preserve">Денежные средства, которые специалист затрачивает на выполнение работы и обеспечение профессиональной деятельности.</t>
        </is>
      </c>
    </row>
    <row r="133">
      <c r="A133" t="inlineStr">
        <is>
          <t xml:space="preserve">132</t>
        </is>
      </c>
      <c r="B133" t="inlineStr">
        <is>
          <t xml:space="preserve">Финансовые вложения (инвестиции)</t>
        </is>
      </c>
      <c r="D133" t="inlineStr">
        <is>
          <t xml:space="preserve">user</t>
        </is>
      </c>
      <c r="F133" t="inlineStr">
        <is>
          <t xml:space="preserve">Денежные средства, которые специалист вкладывает в развитие и обеспечение своей профессиональной деятельности и рассчитывает использовать с целью получения будущей отдачи.</t>
        </is>
      </c>
    </row>
    <row r="134">
      <c r="A134" t="inlineStr">
        <is>
          <t xml:space="preserve">133</t>
        </is>
      </c>
      <c r="B134" t="inlineStr">
        <is>
          <t xml:space="preserve">Трудовой кодекс Российской Федерации (ТК РФ)</t>
        </is>
      </c>
      <c r="D134" t="inlineStr">
        <is>
          <t xml:space="preserve">user</t>
        </is>
      </c>
      <c r="F134" t="inlineStr">
        <is>
          <t xml:space="preserve">Основной нормативный правовой акт, регулирующий трудовые отношения в Российской Федерации и устанавливающий государственные гарантии в сфере труда, включая нормы рабочего времени, отдыха, отпусков и других условий труда. В расчёте используется как общепринятая нормативная точка отсчёта для определения объёма рабочего времени и базовых условий труда специалиста.</t>
        </is>
      </c>
    </row>
    <row r="135">
      <c r="A135" t="inlineStr">
        <is>
          <t xml:space="preserve">134</t>
        </is>
      </c>
      <c r="B135" t="inlineStr">
        <is>
          <t xml:space="preserve">Бюджет</t>
        </is>
      </c>
      <c r="D135" t="inlineStr">
        <is>
          <t xml:space="preserve">user</t>
        </is>
      </c>
      <c r="F135" t="inlineStr">
        <is>
          <t xml:space="preserve">План распределения денежных средств за определённый период по направлениям их использования и формирования дохода.</t>
        </is>
      </c>
    </row>
    <row r="136">
      <c r="A136" t="inlineStr">
        <is>
          <t xml:space="preserve">135</t>
        </is>
      </c>
      <c r="B136" t="inlineStr">
        <is>
          <t xml:space="preserve">Статья расходов</t>
        </is>
      </c>
      <c r="D136" t="inlineStr">
        <is>
          <t xml:space="preserve">user</t>
        </is>
      </c>
      <c r="F136" t="inlineStr">
        <is>
          <t xml:space="preserve">Отдельное направление денежных затрат, предусмотренное бюджетом специалиста.</t>
        </is>
      </c>
    </row>
    <row r="137">
      <c r="A137" t="inlineStr">
        <is>
          <t xml:space="preserve">136</t>
        </is>
      </c>
      <c r="B137" t="inlineStr">
        <is>
          <t xml:space="preserve">Статья доходов</t>
        </is>
      </c>
      <c r="D137" t="inlineStr">
        <is>
          <t xml:space="preserve">user</t>
        </is>
      </c>
      <c r="F137" t="inlineStr">
        <is>
          <t xml:space="preserve">Отдельное направление денежных поступлений, предусмотренное бюджетом специалиста.</t>
        </is>
      </c>
    </row>
  </sheetData>
</worksheet>
</file>

<file path=xl/worksheets/sheet3.xml><?xml version="1.0" encoding="utf-8"?>
<worksheet xmlns="http://schemas.openxmlformats.org/spreadsheetml/2006/main">
  <sheetPr>
    <outlinePr summaryBelow="1" summaryRight="1"/>
    <pageSetUpPr/>
  </sheetPr>
  <dimension ref="A1:I141"/>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времени на простой и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времени на простой и форс-мажоры» СНЯТА по умолчанию (06.08.2026). Поле % неактивно, пока не включена</t>
        </is>
      </c>
    </row>
    <row r="33">
      <c r="A33" s="27" t="inlineStr">
        <is>
          <t>fm_pct</t>
        </is>
      </c>
      <c r="B33" s="28" t="inlineStr">
        <is>
          <t>Резерв времени на простой и форс-мажоры, %</t>
        </is>
      </c>
      <c r="C33" s="35" t="n">
        <v>0.05</v>
      </c>
      <c r="D33" s="28" t="inlineStr">
        <is>
          <t>%</t>
        </is>
      </c>
      <c r="E33" s="30" t="inlineStr"/>
      <c r="F33" s="7" t="inlineStr">
        <is>
          <t>default</t>
        </is>
      </c>
      <c r="G33" s="6" t="inlineStr"/>
      <c r="H33" s="30" t="inlineStr">
        <is>
          <t>Периоды без заказов, перенос и отмена съёмок, срывы по вине клиента, повторные выезды. Редактируется</t>
        </is>
      </c>
      <c r="I33" s="286" t="inlineStr">
        <is>
          <t>Галочка «Учитывать резерв времени на простой и форс-мажоры» СНЯТА по умолчанию (06.08.2026). Поле % неактивно, пока не включена</t>
        </is>
      </c>
    </row>
    <row r="34">
      <c r="A34" s="27" t="inlineStr">
        <is>
          <t>fm_time</t>
        </is>
      </c>
      <c r="B34" s="28" t="inlineStr">
        <is>
          <t>Резерв времени на простой и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projects_year</t>
        </is>
      </c>
      <c r="B46" s="28" t="inlineStr">
        <is>
          <t>Проектов в год</t>
        </is>
      </c>
      <c r="C46" s="31">
        <f>IF(project_time=0,0,project_pool/project_time)</f>
        <v>216.6</v>
      </c>
      <c r="D46" s="28" t="inlineStr">
        <is>
          <t>шт/год</t>
        </is>
      </c>
      <c r="E46" s="30" t="inlineStr">
        <is>
          <t>IF(project_time=0,0,project_pool/project_time)</t>
        </is>
      </c>
      <c r="F46" s="7" t="inlineStr">
        <is>
          <t>calc</t>
        </is>
      </c>
      <c r="G46" s="6" t="inlineStr">
        <is>
          <t>project_pool, project_time</t>
        </is>
      </c>
      <c r="H46" s="30" t="inlineStr"/>
    </row>
    <row r="47">
      <c r="A47" s="27" t="inlineStr">
        <is>
          <t>projects_month</t>
        </is>
      </c>
      <c r="B47" s="28" t="inlineStr">
        <is>
          <t>Проектов в месяц</t>
        </is>
      </c>
      <c r="C47" s="31">
        <f>projects_year/months</f>
        <v>18.05</v>
      </c>
      <c r="D47" s="28" t="inlineStr">
        <is>
          <t>шт/мес</t>
        </is>
      </c>
      <c r="E47" s="30" t="inlineStr">
        <is>
          <t>projects_year/months</t>
        </is>
      </c>
      <c r="F47" s="7" t="inlineStr">
        <is>
          <t>calc</t>
        </is>
      </c>
      <c r="G47" s="6" t="inlineStr">
        <is>
          <t>projects_year, months</t>
        </is>
      </c>
      <c r="H47" s="30" t="inlineStr"/>
    </row>
    <row r="48">
      <c r="A48" s="27" t="inlineStr">
        <is>
          <t>projects_week</t>
        </is>
      </c>
      <c r="B48" s="28" t="inlineStr">
        <is>
          <t>Проектов в неделю</t>
        </is>
      </c>
      <c r="C48" s="31">
        <f>projects_year/net_weeks</f>
        <v>4.945205479452055</v>
      </c>
      <c r="D48" s="28" t="inlineStr">
        <is>
          <t>шт/нед</t>
        </is>
      </c>
      <c r="E48" s="30" t="inlineStr">
        <is>
          <t>projects_year/net_weeks</t>
        </is>
      </c>
      <c r="F48" s="7" t="inlineStr">
        <is>
          <t>calc</t>
        </is>
      </c>
      <c r="G48" s="6" t="inlineStr">
        <is>
          <t>projects_year, net_weeks</t>
        </is>
      </c>
      <c r="H48" s="30" t="inlineStr">
        <is>
          <t>При авторежиме равно week_target</t>
        </is>
      </c>
    </row>
    <row r="49">
      <c r="A49" s="27" t="inlineStr">
        <is>
          <t>shooting_time</t>
        </is>
      </c>
      <c r="B49" s="28" t="inlineStr">
        <is>
          <t>СЪЁМОЧНОЕ время</t>
        </is>
      </c>
      <c r="C49" s="31">
        <f>projects_year*shoot_duration</f>
        <v>216.6</v>
      </c>
      <c r="D49" s="28" t="inlineStr">
        <is>
          <t>ч/год</t>
        </is>
      </c>
      <c r="E49" s="30" t="inlineStr">
        <is>
          <t>projects_year*shoot_duration</t>
        </is>
      </c>
      <c r="F49" s="7" t="inlineStr">
        <is>
          <t>calc</t>
        </is>
      </c>
      <c r="G49" s="6" t="inlineStr">
        <is>
          <t>projects_year, shoot_duration</t>
        </is>
      </c>
      <c r="H49" s="30" t="inlineStr">
        <is>
          <t>ЦЕЛЬ РАСЧЁТА — знаменатель ставки</t>
        </is>
      </c>
    </row>
    <row r="50">
      <c r="A50" s="27" t="inlineStr">
        <is>
          <t>shooting_month</t>
        </is>
      </c>
      <c r="B50" s="28" t="inlineStr">
        <is>
          <t>Съёмочное время в месяц</t>
        </is>
      </c>
      <c r="C50" s="31">
        <f>shooting_time/months</f>
        <v>18.05</v>
      </c>
      <c r="D50" s="28" t="inlineStr">
        <is>
          <t>ч/мес</t>
        </is>
      </c>
      <c r="E50" s="30" t="inlineStr">
        <is>
          <t>shooting_time/months</t>
        </is>
      </c>
      <c r="F50" s="7" t="inlineStr">
        <is>
          <t>calc</t>
        </is>
      </c>
      <c r="G50" s="6" t="inlineStr">
        <is>
          <t>shooting_time, months</t>
        </is>
      </c>
      <c r="H50" s="30" t="inlineStr"/>
    </row>
    <row r="51">
      <c r="A51" s="27" t="inlineStr">
        <is>
          <t>shooting_week</t>
        </is>
      </c>
      <c r="B51" s="28" t="inlineStr">
        <is>
          <t>Съёмочное время в неделю</t>
        </is>
      </c>
      <c r="C51" s="31">
        <f>shooting_time/net_weeks</f>
        <v>4.945205479452055</v>
      </c>
      <c r="D51" s="28" t="inlineStr">
        <is>
          <t>ч/нед</t>
        </is>
      </c>
      <c r="E51" s="30" t="inlineStr">
        <is>
          <t>shooting_time/net_weeks</t>
        </is>
      </c>
      <c r="F51" s="7" t="inlineStr">
        <is>
          <t>calc</t>
        </is>
      </c>
      <c r="G51" s="6" t="inlineStr">
        <is>
          <t>shooting_time, net_weeks</t>
        </is>
      </c>
      <c r="H51" s="30" t="inlineStr"/>
    </row>
    <row r="52">
      <c r="A52" s="27" t="inlineStr">
        <is>
          <t>post_time</t>
        </is>
      </c>
      <c r="B52" s="28" t="inlineStr">
        <is>
          <t>Постпродакшн за год</t>
        </is>
      </c>
      <c r="C52" s="31">
        <f>shooting_time*post_ratio</f>
        <v>649.8</v>
      </c>
      <c r="D52" s="28" t="inlineStr">
        <is>
          <t>ч/год</t>
        </is>
      </c>
      <c r="E52" s="30" t="inlineStr">
        <is>
          <t>shooting_time*post_ratio</t>
        </is>
      </c>
      <c r="F52" s="7" t="inlineStr">
        <is>
          <t>calc</t>
        </is>
      </c>
      <c r="G52" s="6" t="inlineStr">
        <is>
          <t>shooting_time, post_ratio</t>
        </is>
      </c>
      <c r="H52" s="30" t="inlineStr">
        <is>
          <t>S × коэффициент на каждый проект</t>
        </is>
      </c>
    </row>
    <row r="53">
      <c r="A53" s="27" t="inlineStr">
        <is>
          <t>core_time</t>
        </is>
      </c>
      <c r="B53" s="28" t="inlineStr">
        <is>
          <t>ПРОФИЛЬНОЕ время</t>
        </is>
      </c>
      <c r="C53" s="31">
        <f>shooting_time*profile_multiplier</f>
        <v>866.4</v>
      </c>
      <c r="D53" s="28" t="inlineStr">
        <is>
          <t>ч/год</t>
        </is>
      </c>
      <c r="E53" s="30" t="inlineStr">
        <is>
          <t>shooting_time*profile_multiplier</t>
        </is>
      </c>
      <c r="F53" s="7" t="inlineStr">
        <is>
          <t>calc</t>
        </is>
      </c>
      <c r="G53" s="6" t="inlineStr">
        <is>
          <t>shooting_time, profile_multiplier</t>
        </is>
      </c>
      <c r="H53" s="30" t="inlineStr">
        <is>
          <t>Съёмка + обработка = S × (1 + коэффициент). БЕЗ работы с клиентом</t>
        </is>
      </c>
    </row>
    <row r="54">
      <c r="A54" s="27" t="inlineStr">
        <is>
          <t>client_total</t>
        </is>
      </c>
      <c r="B54" s="28" t="inlineStr">
        <is>
          <t>Работа с клиентом за год</t>
        </is>
      </c>
      <c r="C54" s="31">
        <f>projects_year*client_time</f>
        <v>216.6</v>
      </c>
      <c r="D54" s="28" t="inlineStr">
        <is>
          <t>ч/год</t>
        </is>
      </c>
      <c r="E54" s="30" t="inlineStr">
        <is>
          <t>projects_year*client_time</t>
        </is>
      </c>
      <c r="F54" s="7" t="inlineStr">
        <is>
          <t>calc</t>
        </is>
      </c>
      <c r="G54" s="6" t="inlineStr">
        <is>
          <t>projects_year, client_time</t>
        </is>
      </c>
      <c r="H54" s="30" t="inlineStr"/>
    </row>
    <row r="55">
      <c r="A55" s="27" t="inlineStr">
        <is>
          <t>ops_per_shoot</t>
        </is>
      </c>
      <c r="B55" s="28" t="inlineStr">
        <is>
          <t>Операционных часов на час съёмки</t>
        </is>
      </c>
      <c r="C55" s="31">
        <f>IF(shooting_time=0,0,side_time/shooting_time)</f>
        <v>2.0775623268698062</v>
      </c>
      <c r="D55" s="28" t="inlineStr">
        <is>
          <t>ч</t>
        </is>
      </c>
      <c r="E55" s="30" t="inlineStr">
        <is>
          <t>IF(shooting_time=0,0,side_time/shooting_time)</t>
        </is>
      </c>
      <c r="F55" s="7" t="inlineStr">
        <is>
          <t>calc</t>
        </is>
      </c>
      <c r="G55" s="6" t="inlineStr">
        <is>
          <t>side_time, shooting_time</t>
        </is>
      </c>
      <c r="H55" s="30" t="inlineStr"/>
    </row>
    <row r="56">
      <c r="A56" s="3" t="inlineStr">
        <is>
          <t>4 · ДОХОД</t>
        </is>
      </c>
    </row>
    <row r="57" ht="26" customHeight="1">
      <c r="A57" s="26" t="inlineStr">
        <is>
          <t>ID</t>
        </is>
      </c>
      <c r="B57" s="26" t="inlineStr">
        <is>
          <t>Название</t>
        </is>
      </c>
      <c r="C57" s="26" t="inlineStr">
        <is>
          <t>Значение</t>
        </is>
      </c>
      <c r="D57" s="26" t="inlineStr">
        <is>
          <t>Ед.</t>
        </is>
      </c>
      <c r="E57" s="26" t="inlineStr">
        <is>
          <t>Формула / как получено</t>
        </is>
      </c>
      <c r="F57" s="26" t="inlineStr">
        <is>
          <t>Тип</t>
        </is>
      </c>
      <c r="G57" s="26" t="inlineStr">
        <is>
          <t>Зависит от</t>
        </is>
      </c>
      <c r="H57" s="26" t="inlineStr">
        <is>
          <t>Источник / форма</t>
        </is>
      </c>
    </row>
    <row r="58">
      <c r="A58" s="27" t="inlineStr">
        <is>
          <t>income_month</t>
        </is>
      </c>
      <c r="B58" s="28" t="inlineStr">
        <is>
          <t>Желаемый доход на руки</t>
        </is>
      </c>
      <c r="C58" s="37" t="n">
        <v>110216</v>
      </c>
      <c r="D58" s="28" t="inlineStr">
        <is>
          <t>₽/мес</t>
        </is>
      </c>
      <c r="E58" s="30" t="inlineStr"/>
      <c r="F58" s="7" t="inlineStr">
        <is>
          <t>default</t>
        </is>
      </c>
      <c r="G58" s="6" t="inlineStr"/>
      <c r="H58" s="30" t="inlineStr">
        <is>
          <t>Block1 · Росстат 2026</t>
        </is>
      </c>
    </row>
    <row r="59">
      <c r="A59" s="27" t="inlineStr">
        <is>
          <t>target_income</t>
        </is>
      </c>
      <c r="B59" s="28" t="inlineStr">
        <is>
          <t>Желаемый доход за год</t>
        </is>
      </c>
      <c r="C59" s="38">
        <f>income_month*months</f>
        <v>1322592.0</v>
      </c>
      <c r="D59" s="28" t="inlineStr">
        <is>
          <t>₽/год</t>
        </is>
      </c>
      <c r="E59" s="30" t="inlineStr">
        <is>
          <t>income_month*months</t>
        </is>
      </c>
      <c r="F59" s="7" t="inlineStr">
        <is>
          <t>calc</t>
        </is>
      </c>
      <c r="G59" s="6" t="inlineStr">
        <is>
          <t>income_month, months</t>
        </is>
      </c>
      <c r="H59" s="30" t="inlineStr">
        <is>
          <t>N — на руки после всех платежей</t>
        </is>
      </c>
    </row>
    <row r="60">
      <c r="A60" s="27" t="inlineStr">
        <is>
          <t>current_rate</t>
        </is>
      </c>
      <c r="B60" s="28" t="inlineStr">
        <is>
          <t>Текущая ставка часа</t>
        </is>
      </c>
      <c r="C60" s="37" t="n">
        <v>6000</v>
      </c>
      <c r="D60" s="28" t="inlineStr">
        <is>
          <t>₽/ч</t>
        </is>
      </c>
      <c r="E60" s="30" t="inlineStr"/>
      <c r="F60" s="7" t="inlineStr">
        <is>
          <t>default</t>
        </is>
      </c>
      <c r="G60" s="6" t="inlineStr"/>
      <c r="H60" s="30" t="inlineStr">
        <is>
          <t>Block2 · для сравнения</t>
        </is>
      </c>
    </row>
    <row r="61">
      <c r="A61" s="3" t="inlineStr">
        <is>
          <t>5 · РАБОЧЕЕ МЕСТО · ПЕРЕКЛЮЧАТЕЛЬ (Form005/013 · Block9)</t>
        </is>
      </c>
    </row>
    <row r="62" ht="26" customHeight="1">
      <c r="A62" s="26" t="inlineStr">
        <is>
          <t>ID</t>
        </is>
      </c>
      <c r="B62" s="26" t="inlineStr">
        <is>
          <t>Название</t>
        </is>
      </c>
      <c r="C62" s="26" t="inlineStr">
        <is>
          <t>Значение</t>
        </is>
      </c>
      <c r="D62" s="26" t="inlineStr">
        <is>
          <t>Ед.</t>
        </is>
      </c>
      <c r="E62" s="26" t="inlineStr">
        <is>
          <t>Формула / как получено</t>
        </is>
      </c>
      <c r="F62" s="26" t="inlineStr">
        <is>
          <t>Тип</t>
        </is>
      </c>
      <c r="G62" s="26" t="inlineStr">
        <is>
          <t>Зависит от</t>
        </is>
      </c>
      <c r="H62" s="26" t="inlineStr">
        <is>
          <t>Источник / форма</t>
        </is>
      </c>
    </row>
    <row r="63">
      <c r="A63" s="27" t="inlineStr">
        <is>
          <t>ws_mode</t>
        </is>
      </c>
      <c r="B63" s="28" t="inlineStr">
        <is>
          <t>ПЕРЕКЛЮЧАТЕЛЬ · рабочее место</t>
        </is>
      </c>
      <c r="C63" s="34" t="inlineStr">
        <is>
          <t>Работаю из дома</t>
        </is>
      </c>
      <c r="D63" s="28" t="inlineStr"/>
      <c r="E63" s="30" t="inlineStr"/>
      <c r="F63" s="7" t="inlineStr">
        <is>
          <t>default</t>
        </is>
      </c>
      <c r="G63" s="6" t="inlineStr"/>
      <c r="H63" s="30" t="inlineStr">
        <is>
          <t>Form005 · A111</t>
        </is>
      </c>
    </row>
    <row r="64">
      <c r="A64" s="27" t="inlineStr">
        <is>
          <t>own_home</t>
        </is>
      </c>
      <c r="B64" s="28" t="inlineStr">
        <is>
          <t>ДОМА · живу в своём, ипотеки нет</t>
        </is>
      </c>
      <c r="C64" s="34" t="inlineStr">
        <is>
          <t>нет</t>
        </is>
      </c>
      <c r="D64" s="28" t="inlineStr"/>
      <c r="E64" s="30" t="inlineStr"/>
      <c r="F64" s="7" t="inlineStr">
        <is>
          <t>default</t>
        </is>
      </c>
      <c r="G64" s="6" t="inlineStr"/>
      <c r="H64" s="30" t="inlineStr">
        <is>
          <t>Контекстная галочка: показывает рекомендацию, но не обнуляет стоимость жилья</t>
        </is>
      </c>
    </row>
    <row r="65">
      <c r="A65" s="27" t="inlineStr">
        <is>
          <t>home_rent</t>
        </is>
      </c>
      <c r="B65" s="28" t="inlineStr">
        <is>
          <t>ДОМА · аренда или ипотека</t>
        </is>
      </c>
      <c r="C65" s="37" t="n">
        <v>40000</v>
      </c>
      <c r="D65" s="28" t="inlineStr">
        <is>
          <t>₽/мес</t>
        </is>
      </c>
      <c r="E65" s="30" t="inlineStr"/>
      <c r="F65" s="7" t="inlineStr">
        <is>
          <t>default</t>
        </is>
      </c>
      <c r="G65" s="6" t="inlineStr"/>
      <c r="H65" s="30" t="inlineStr">
        <is>
          <t>По доле метров; поле остаётся активным при own_home = да</t>
        </is>
      </c>
    </row>
    <row r="66">
      <c r="A66" s="27" t="inlineStr">
        <is>
          <t>home_util</t>
        </is>
      </c>
      <c r="B66" s="28" t="inlineStr">
        <is>
          <t>ДОМА · коммунальные и связь</t>
        </is>
      </c>
      <c r="C66" s="37" t="n">
        <v>7000</v>
      </c>
      <c r="D66" s="28" t="inlineStr">
        <is>
          <t>₽/мес</t>
        </is>
      </c>
      <c r="E66" s="30" t="inlineStr"/>
      <c r="F66" s="7" t="inlineStr">
        <is>
          <t>default</t>
        </is>
      </c>
      <c r="G66" s="6" t="inlineStr"/>
      <c r="H66" s="30" t="inlineStr">
        <is>
          <t>По доле метров рабочего места</t>
        </is>
      </c>
    </row>
    <row r="67">
      <c r="A67" s="27" t="inlineStr">
        <is>
          <t>home_area</t>
        </is>
      </c>
      <c r="B67" s="28" t="inlineStr">
        <is>
          <t>ДОМА · общая площадь жилья</t>
        </is>
      </c>
      <c r="C67" s="33" t="n">
        <v>50</v>
      </c>
      <c r="D67" s="28" t="inlineStr">
        <is>
          <t>м²</t>
        </is>
      </c>
      <c r="E67" s="30" t="inlineStr"/>
      <c r="F67" s="7" t="inlineStr">
        <is>
          <t>default</t>
        </is>
      </c>
      <c r="G67" s="6" t="inlineStr"/>
      <c r="H67" s="30" t="inlineStr"/>
    </row>
    <row r="68">
      <c r="A68" s="27" t="inlineStr">
        <is>
          <t>cab_area</t>
        </is>
      </c>
      <c r="B68" s="28" t="inlineStr">
        <is>
          <t>ДОМА · площадь под кабинет</t>
        </is>
      </c>
      <c r="C68" s="33" t="n">
        <v>6</v>
      </c>
      <c r="D68" s="28" t="inlineStr">
        <is>
          <t>м²</t>
        </is>
      </c>
      <c r="E68" s="30" t="inlineStr"/>
      <c r="F68" s="7" t="inlineStr">
        <is>
          <t>default</t>
        </is>
      </c>
      <c r="G68" s="6" t="inlineStr"/>
      <c r="H68" s="30" t="inlineStr"/>
    </row>
    <row r="69">
      <c r="A69" s="27" t="inlineStr">
        <is>
          <t>cab_share</t>
        </is>
      </c>
      <c r="B69" s="28" t="inlineStr">
        <is>
          <t>ДОМА · доля кабинета</t>
        </is>
      </c>
      <c r="C69" s="39">
        <f>IF(home_area=0,0,cab_area/home_area)</f>
        <v>0.12</v>
      </c>
      <c r="D69" s="28" t="inlineStr">
        <is>
          <t>%</t>
        </is>
      </c>
      <c r="E69" s="30" t="inlineStr">
        <is>
          <t>IF(home_area=0,0,cab_area/home_area)</t>
        </is>
      </c>
      <c r="F69" s="7" t="inlineStr">
        <is>
          <t>calc</t>
        </is>
      </c>
      <c r="G69" s="6" t="inlineStr">
        <is>
          <t>cab_area, home_area</t>
        </is>
      </c>
      <c r="H69" s="30" t="inlineStr"/>
    </row>
    <row r="70">
      <c r="A70" s="27" t="inlineStr">
        <is>
          <t>office_rent</t>
        </is>
      </c>
      <c r="B70" s="28" t="inlineStr">
        <is>
          <t>АРЕНДА · стоимость помещения</t>
        </is>
      </c>
      <c r="C70" s="37" t="n">
        <v>15000</v>
      </c>
      <c r="D70" s="28" t="inlineStr">
        <is>
          <t>₽/мес</t>
        </is>
      </c>
      <c r="E70" s="30" t="inlineStr"/>
      <c r="F70" s="7" t="inlineStr">
        <is>
          <t>default</t>
        </is>
      </c>
      <c r="G70" s="6" t="inlineStr"/>
      <c r="H70" s="30" t="inlineStr">
        <is>
          <t>ЦЕЛИКОМ</t>
        </is>
      </c>
    </row>
    <row r="71">
      <c r="A71" s="27" t="inlineStr">
        <is>
          <t>office_util</t>
        </is>
      </c>
      <c r="B71" s="28" t="inlineStr">
        <is>
          <t>АРЕНДА · коммунальные и связь</t>
        </is>
      </c>
      <c r="C71" s="37" t="n">
        <v>7000</v>
      </c>
      <c r="D71" s="28" t="inlineStr">
        <is>
          <t>₽/мес</t>
        </is>
      </c>
      <c r="E71" s="30" t="inlineStr"/>
      <c r="F71" s="7" t="inlineStr">
        <is>
          <t>default</t>
        </is>
      </c>
      <c r="G71" s="6" t="inlineStr"/>
      <c r="H71" s="30" t="inlineStr">
        <is>
          <t>ЦЕЛИКОМ</t>
        </is>
      </c>
    </row>
    <row r="72">
      <c r="A72" s="27" t="inlineStr">
        <is>
          <t>var_workspace</t>
        </is>
      </c>
      <c r="B72" s="28" t="inlineStr">
        <is>
          <t>Содержание рабочего места</t>
        </is>
      </c>
      <c r="C72" s="36">
        <f>IF(ws_mode="Работаю из дома",(home_rent+home_util)*cab_share*months,(office_rent+office_util)*months)</f>
        <v>67680.0</v>
      </c>
      <c r="D72" s="28" t="inlineStr">
        <is>
          <t>₽/год</t>
        </is>
      </c>
      <c r="E72" s="30" t="inlineStr">
        <is>
          <t>IF(ws_mode="Работаю из дома",(home_rent+home_util)*cab_share*months,(office_rent+office_util)*months)</t>
        </is>
      </c>
      <c r="F72" s="7" t="inlineStr">
        <is>
          <t>calc</t>
        </is>
      </c>
      <c r="G72" s="6" t="inlineStr">
        <is>
          <t>ws_mode, home_rent, cab_share, home_util, office_rent, office_util</t>
        </is>
      </c>
      <c r="H72" s="30" t="inlineStr"/>
    </row>
    <row r="73">
      <c r="A73" s="3" t="inlineStr">
        <is>
          <t>6 · ОБУЧЕНИЕ И САЙТ · ПЕРЕКЛЮЧАТЕЛИ</t>
        </is>
      </c>
    </row>
    <row r="74" ht="26" customHeight="1">
      <c r="A74" s="26" t="inlineStr">
        <is>
          <t>ID</t>
        </is>
      </c>
      <c r="B74" s="26" t="inlineStr">
        <is>
          <t>Название</t>
        </is>
      </c>
      <c r="C74" s="26" t="inlineStr">
        <is>
          <t>Значение</t>
        </is>
      </c>
      <c r="D74" s="26" t="inlineStr">
        <is>
          <t>Ед.</t>
        </is>
      </c>
      <c r="E74" s="26" t="inlineStr">
        <is>
          <t>Формула / как получено</t>
        </is>
      </c>
      <c r="F74" s="26" t="inlineStr">
        <is>
          <t>Тип</t>
        </is>
      </c>
      <c r="G74" s="26" t="inlineStr">
        <is>
          <t>Зависит от</t>
        </is>
      </c>
      <c r="H74" s="26" t="inlineStr">
        <is>
          <t>Источник / форма</t>
        </is>
      </c>
    </row>
    <row r="75">
      <c r="A75" s="27" t="inlineStr">
        <is>
          <t>edu_cost</t>
        </is>
      </c>
      <c r="B75" s="28" t="inlineStr">
        <is>
          <t>Обучение · стоимость курса</t>
        </is>
      </c>
      <c r="C75" s="37" t="n">
        <v>80000</v>
      </c>
      <c r="D75" s="28" t="inlineStr">
        <is>
          <t>₽</t>
        </is>
      </c>
      <c r="E75" s="30" t="inlineStr"/>
      <c r="F75" s="7" t="inlineStr">
        <is>
          <t>default</t>
        </is>
      </c>
      <c r="G75" s="6" t="inlineStr"/>
      <c r="H75" s="30" t="inlineStr">
        <is>
          <t>Form006 · Block10</t>
        </is>
      </c>
    </row>
    <row r="76">
      <c r="A76" s="27" t="inlineStr">
        <is>
          <t>edu_months</t>
        </is>
      </c>
      <c r="B76" s="28" t="inlineStr">
        <is>
          <t>Обучение · месяцев без дохода</t>
        </is>
      </c>
      <c r="C76" s="40" t="n">
        <v>4</v>
      </c>
      <c r="D76" s="28" t="inlineStr">
        <is>
          <t>мес</t>
        </is>
      </c>
      <c r="E76" s="30" t="inlineStr"/>
      <c r="F76" s="7" t="inlineStr">
        <is>
          <t>default</t>
        </is>
      </c>
      <c r="G76" s="6" t="inlineStr"/>
      <c r="H76" s="30" t="inlineStr"/>
    </row>
    <row r="77">
      <c r="A77" s="27" t="inlineStr">
        <is>
          <t>edu_life</t>
        </is>
      </c>
      <c r="B77" s="28" t="inlineStr">
        <is>
          <t>Обучение · срок амортизации</t>
        </is>
      </c>
      <c r="C77" s="40" t="n">
        <v>7</v>
      </c>
      <c r="D77" s="28" t="inlineStr">
        <is>
          <t>лет</t>
        </is>
      </c>
      <c r="E77" s="30" t="inlineStr"/>
      <c r="F77" s="7" t="inlineStr">
        <is>
          <t>default</t>
        </is>
      </c>
      <c r="G77" s="6" t="inlineStr"/>
      <c r="H77" s="30" t="inlineStr"/>
    </row>
    <row r="78">
      <c r="A78" s="27" t="n"/>
      <c r="B78" s="28" t="n"/>
      <c r="C78" s="34" t="n"/>
      <c r="D78" s="28" t="n"/>
      <c r="E78" s="30" t="n"/>
      <c r="F78" s="7" t="n"/>
      <c r="G78" s="6" t="n"/>
      <c r="H78" s="30" t="n"/>
    </row>
    <row r="79">
      <c r="A79" s="27" t="inlineStr">
        <is>
          <t>edu_opportunity</t>
        </is>
      </c>
      <c r="B79" s="28" t="inlineStr">
        <is>
          <t>Обучение · упущенная выгода</t>
        </is>
      </c>
      <c r="C79" s="38">
        <f>edu_months*income_month</f>
        <v>440864.0</v>
      </c>
      <c r="D79" s="28" t="inlineStr">
        <is>
          <t>₽</t>
        </is>
      </c>
      <c r="E79" s="30" t="inlineStr">
        <is>
          <t>edu_months*income_month</t>
        </is>
      </c>
      <c r="F79" s="7" t="inlineStr">
        <is>
          <t>calc</t>
        </is>
      </c>
      <c r="G79" s="6" t="inlineStr">
        <is>
          <t>edu_months, income_month</t>
        </is>
      </c>
      <c r="H79" s="30" t="inlineStr"/>
    </row>
    <row r="80">
      <c r="A80" s="27" t="inlineStr">
        <is>
          <t>dep_education</t>
        </is>
      </c>
      <c r="B80" s="28" t="inlineStr">
        <is>
          <t>Амортизация · обучение</t>
        </is>
      </c>
      <c r="C80" s="36">
        <f>IF(edu_life=0,0,(edu_cost+edu_opportunity)/edu_life)</f>
        <v>74409.14285714286</v>
      </c>
      <c r="D80" s="28" t="inlineStr">
        <is>
          <t>₽/год</t>
        </is>
      </c>
      <c r="E80" s="30" t="inlineStr">
        <is>
          <t>IF(edu_life=0,0,(edu_cost+edu_opportunity)/edu_life)</t>
        </is>
      </c>
      <c r="F80" s="7" t="inlineStr">
        <is>
          <t>calc</t>
        </is>
      </c>
      <c r="G80" s="6" t="inlineStr">
        <is>
          <t>edu_cost, edu_opportunity, edu_life</t>
        </is>
      </c>
      <c r="H80" s="30" t="inlineStr"/>
    </row>
    <row r="81">
      <c r="A81" s="27" t="inlineStr">
        <is>
          <t>site_mode</t>
        </is>
      </c>
      <c r="B81" s="28" t="inlineStr">
        <is>
          <t>ПЕРЕКЛЮЧАТЕЛЬ · создание сайта</t>
        </is>
      </c>
      <c r="C81" s="34" t="inlineStr">
        <is>
          <t>Нанимал (а) специалиста</t>
        </is>
      </c>
      <c r="D81" s="28" t="inlineStr"/>
      <c r="E81" s="30" t="inlineStr"/>
      <c r="F81" s="7" t="inlineStr">
        <is>
          <t>default</t>
        </is>
      </c>
      <c r="G81" s="6" t="inlineStr"/>
      <c r="H81" s="30" t="inlineStr">
        <is>
          <t>Form014 · A123 · Block12</t>
        </is>
      </c>
    </row>
    <row r="82">
      <c r="A82" s="27" t="inlineStr">
        <is>
          <t>site_cost</t>
        </is>
      </c>
      <c r="B82" s="28" t="inlineStr">
        <is>
          <t>Сайт · стоимость подрядчика</t>
        </is>
      </c>
      <c r="C82" s="37" t="n">
        <v>70000</v>
      </c>
      <c r="D82" s="28" t="inlineStr">
        <is>
          <t>₽</t>
        </is>
      </c>
      <c r="E82" s="30" t="inlineStr"/>
      <c r="F82" s="7" t="inlineStr">
        <is>
          <t>default</t>
        </is>
      </c>
      <c r="G82" s="6" t="inlineStr"/>
      <c r="H82" s="30" t="inlineStr"/>
    </row>
    <row r="83">
      <c r="A83" s="27" t="inlineStr">
        <is>
          <t>site_hours</t>
        </is>
      </c>
      <c r="B83" s="28" t="inlineStr">
        <is>
          <t>Сайт · часов своими руками</t>
        </is>
      </c>
      <c r="C83" s="33" t="n">
        <v>80</v>
      </c>
      <c r="D83" s="28" t="inlineStr">
        <is>
          <t>ч</t>
        </is>
      </c>
      <c r="E83" s="30" t="inlineStr"/>
      <c r="F83" s="7" t="inlineStr">
        <is>
          <t>default</t>
        </is>
      </c>
      <c r="G83" s="6" t="inlineStr"/>
      <c r="H83" s="30" t="inlineStr">
        <is>
          <t>при варианте «делал сам»</t>
        </is>
      </c>
    </row>
    <row r="84">
      <c r="A84" s="27" t="inlineStr">
        <is>
          <t>site_life</t>
        </is>
      </c>
      <c r="B84" s="28" t="inlineStr">
        <is>
          <t>Сайт · срок амортизации</t>
        </is>
      </c>
      <c r="C84" s="40" t="n">
        <v>7</v>
      </c>
      <c r="D84" s="28" t="inlineStr">
        <is>
          <t>лет</t>
        </is>
      </c>
      <c r="E84" s="30" t="inlineStr"/>
      <c r="F84" s="7" t="inlineStr">
        <is>
          <t>default</t>
        </is>
      </c>
      <c r="G84" s="6" t="inlineStr"/>
      <c r="H84" s="30" t="inlineStr"/>
    </row>
    <row r="85">
      <c r="A85" s="27" t="inlineStr">
        <is>
          <t>dep_website</t>
        </is>
      </c>
      <c r="B85" s="28" t="inlineStr">
        <is>
          <t>Амортизация · сайт</t>
        </is>
      </c>
      <c r="C85" s="36">
        <f>IF(site_mode="Нанимал (а) специалиста",IF(site_life=0,0,site_cost/site_life),0)</f>
        <v>10000.0</v>
      </c>
      <c r="D85" s="28" t="inlineStr">
        <is>
          <t>₽/год</t>
        </is>
      </c>
      <c r="E85" s="30" t="inlineStr">
        <is>
          <t>IF(site_mode="Нанимал (а) специалиста",IF(site_life=0,0,site_cost/site_life),0)</t>
        </is>
      </c>
      <c r="F85" s="7" t="inlineStr">
        <is>
          <t>calc</t>
        </is>
      </c>
      <c r="G85" s="6" t="inlineStr">
        <is>
          <t>site_mode, site_cost, site_life</t>
        </is>
      </c>
      <c r="H85" s="30" t="inlineStr">
        <is>
          <t>при «делал сам» уходит в site_divisor</t>
        </is>
      </c>
    </row>
    <row r="86">
      <c r="A86" s="27" t="inlineStr">
        <is>
          <t>site_divisor</t>
        </is>
      </c>
      <c r="B86" s="28" t="inlineStr">
        <is>
          <t>Сайт · поправка знаменателя</t>
        </is>
      </c>
      <c r="C86" s="41">
        <f>IF(site_mode="Нанимал (а) специалиста",0,IF(site_life*net_time=0,0,site_hours/(site_life*net_time)))</f>
        <v>0.0</v>
      </c>
      <c r="D86" s="28" t="inlineStr"/>
      <c r="E86" s="30" t="inlineStr">
        <is>
          <t>IF(site_mode="Нанимал (а) специалиста",0,IF(site_life*net_time=0,0,site_hours/(site_life*net_time)))</t>
        </is>
      </c>
      <c r="F86" s="7" t="inlineStr">
        <is>
          <t>calc</t>
        </is>
      </c>
      <c r="G86" s="6" t="inlineStr">
        <is>
          <t>site_mode, site_hours, site_life, net_time</t>
        </is>
      </c>
      <c r="H86" s="30" t="inlineStr">
        <is>
          <t>Свой труд по ПОЛНОЙ ставке рабочего часа (выручка / чистое время), а не по съёмочной</t>
        </is>
      </c>
    </row>
    <row r="87">
      <c r="A87" s="3" t="inlineStr">
        <is>
          <t>7 · РАСХОДЫ · итоги из 03_Каталоги по КОДУ ФОРМЫ</t>
        </is>
      </c>
    </row>
    <row r="88" ht="26" customHeight="1">
      <c r="A88" s="26" t="inlineStr">
        <is>
          <t>ID</t>
        </is>
      </c>
      <c r="B88" s="26" t="inlineStr">
        <is>
          <t>Название</t>
        </is>
      </c>
      <c r="C88" s="26" t="inlineStr">
        <is>
          <t>Значение</t>
        </is>
      </c>
      <c r="D88" s="26" t="inlineStr">
        <is>
          <t>Ед.</t>
        </is>
      </c>
      <c r="E88" s="26" t="inlineStr">
        <is>
          <t>Формула / как получено</t>
        </is>
      </c>
      <c r="F88" s="26" t="inlineStr">
        <is>
          <t>Тип</t>
        </is>
      </c>
      <c r="G88" s="26" t="inlineStr">
        <is>
          <t>Зависит от</t>
        </is>
      </c>
      <c r="H88" s="26" t="inlineStr">
        <is>
          <t>Источник / форма</t>
        </is>
      </c>
    </row>
    <row r="89">
      <c r="A89" s="27" t="inlineStr">
        <is>
          <t>dep_shoot</t>
        </is>
      </c>
      <c r="B89" s="28" t="inlineStr">
        <is>
          <t>Амортизация · съёмочное оборудование</t>
        </is>
      </c>
      <c r="C89" s="36">
        <f>SUMIF(cat_form,"Form001",cat_year)</f>
        <v>107759.99047619046</v>
      </c>
      <c r="D89" s="28" t="inlineStr">
        <is>
          <t>₽/год</t>
        </is>
      </c>
      <c r="E89" s="30" t="inlineStr">
        <is>
          <t>SUMIF(cat_form,"Form001",cat_year)</t>
        </is>
      </c>
      <c r="F89" s="7" t="inlineStr">
        <is>
          <t>calc</t>
        </is>
      </c>
      <c r="G89" s="6" t="inlineStr">
        <is>
          <t>Form001</t>
        </is>
      </c>
      <c r="H89" s="30" t="inlineStr">
        <is>
          <t>Block6</t>
        </is>
      </c>
    </row>
    <row r="90">
      <c r="A90" s="27" t="inlineStr">
        <is>
          <t>dep_office</t>
        </is>
      </c>
      <c r="B90" s="28" t="inlineStr">
        <is>
          <t>Амортизация · офисное оборудование</t>
        </is>
      </c>
      <c r="C90" s="36">
        <f>SUMIF(cat_form,"Form002",cat_year)</f>
        <v>65732.93333333333</v>
      </c>
      <c r="D90" s="28" t="inlineStr">
        <is>
          <t>₽/год</t>
        </is>
      </c>
      <c r="E90" s="30" t="inlineStr">
        <is>
          <t>SUMIF(cat_form,"Form002",cat_year)</t>
        </is>
      </c>
      <c r="F90" s="7" t="inlineStr">
        <is>
          <t>calc</t>
        </is>
      </c>
      <c r="G90" s="6" t="inlineStr">
        <is>
          <t>Form002</t>
        </is>
      </c>
      <c r="H90" s="30" t="inlineStr">
        <is>
          <t>Block7</t>
        </is>
      </c>
    </row>
    <row r="91">
      <c r="A91" s="27" t="inlineStr">
        <is>
          <t>dep_software</t>
        </is>
      </c>
      <c r="B91" s="28" t="inlineStr">
        <is>
          <t>Амортизация · ПО разовые покупки</t>
        </is>
      </c>
      <c r="C91" s="36">
        <f>SUMIF(cat_form,"Form004",cat_year)</f>
        <v>11500.0</v>
      </c>
      <c r="D91" s="28" t="inlineStr">
        <is>
          <t>₽/год</t>
        </is>
      </c>
      <c r="E91" s="30" t="inlineStr">
        <is>
          <t>SUMIF(cat_form,"Form004",cat_year)</t>
        </is>
      </c>
      <c r="F91" s="7" t="inlineStr">
        <is>
          <t>calc</t>
        </is>
      </c>
      <c r="G91" s="6" t="inlineStr">
        <is>
          <t>Form004</t>
        </is>
      </c>
      <c r="H91" s="30" t="inlineStr">
        <is>
          <t>Block8</t>
        </is>
      </c>
    </row>
    <row r="92">
      <c r="A92" s="27" t="inlineStr">
        <is>
          <t>dep_workspace</t>
        </is>
      </c>
      <c r="B92" s="28" t="inlineStr">
        <is>
          <t>Амортизация · обустройство места</t>
        </is>
      </c>
      <c r="C92" s="36">
        <f>SUMIF(cat_form,"Form013",cat_year)</f>
        <v>9285.714285714286</v>
      </c>
      <c r="D92" s="28" t="inlineStr">
        <is>
          <t>₽/год</t>
        </is>
      </c>
      <c r="E92" s="30" t="inlineStr">
        <is>
          <t>SUMIF(cat_form,"Form013",cat_year)</t>
        </is>
      </c>
      <c r="F92" s="7" t="inlineStr">
        <is>
          <t>calc</t>
        </is>
      </c>
      <c r="G92" s="6" t="inlineStr">
        <is>
          <t>Form013</t>
        </is>
      </c>
      <c r="H92" s="30" t="inlineStr">
        <is>
          <t>Block9</t>
        </is>
      </c>
    </row>
    <row r="93">
      <c r="A93" s="27" t="inlineStr">
        <is>
          <t>investment</t>
        </is>
      </c>
      <c r="B93" s="28" t="inlineStr">
        <is>
          <t>ИТОГО амортизация</t>
        </is>
      </c>
      <c r="C93" s="36">
        <f>dep_shoot+dep_office+dep_software+dep_workspace+dep_education+dep_website</f>
        <v>278687.78095238097</v>
      </c>
      <c r="D93" s="28" t="inlineStr">
        <is>
          <t>₽/год</t>
        </is>
      </c>
      <c r="E93" s="30" t="inlineStr">
        <is>
          <t>dep_shoot+dep_office+dep_software+dep_workspace+dep_education+dep_website</t>
        </is>
      </c>
      <c r="F93" s="7" t="inlineStr">
        <is>
          <t>calc</t>
        </is>
      </c>
      <c r="G93" s="6" t="inlineStr">
        <is>
          <t>dep_*</t>
        </is>
      </c>
      <c r="H93" s="30" t="inlineStr"/>
    </row>
    <row r="94">
      <c r="A94" s="27" t="inlineStr">
        <is>
          <t>var_software</t>
        </is>
      </c>
      <c r="B94" s="28" t="inlineStr">
        <is>
          <t>Переменные · подписки ПО</t>
        </is>
      </c>
      <c r="C94" s="36">
        <f>SUMIF(cat_form,"Form003",cat_year)</f>
        <v>27000.0</v>
      </c>
      <c r="D94" s="28" t="inlineStr">
        <is>
          <t>₽/год</t>
        </is>
      </c>
      <c r="E94" s="30" t="inlineStr">
        <is>
          <t>SUMIF(cat_form,"Form003",cat_year)</t>
        </is>
      </c>
      <c r="F94" s="7" t="inlineStr">
        <is>
          <t>calc</t>
        </is>
      </c>
      <c r="G94" s="6" t="inlineStr">
        <is>
          <t>Form003</t>
        </is>
      </c>
      <c r="H94" s="30" t="inlineStr">
        <is>
          <t>Block8</t>
        </is>
      </c>
    </row>
    <row r="95">
      <c r="A95" s="27" t="inlineStr">
        <is>
          <t>var_ads</t>
        </is>
      </c>
      <c r="B95" s="28" t="inlineStr">
        <is>
          <t>Переменные · реклама и продвижение</t>
        </is>
      </c>
      <c r="C95" s="36">
        <f>SUMIF(cat_form,"Form010",cat_year)</f>
        <v>187500.0</v>
      </c>
      <c r="D95" s="28" t="inlineStr">
        <is>
          <t>₽/год</t>
        </is>
      </c>
      <c r="E95" s="30" t="inlineStr">
        <is>
          <t>SUMIF(cat_form,"Form010",cat_year)</t>
        </is>
      </c>
      <c r="F95" s="7" t="inlineStr">
        <is>
          <t>calc</t>
        </is>
      </c>
      <c r="G95" s="6" t="inlineStr">
        <is>
          <t>Form010</t>
        </is>
      </c>
      <c r="H95" s="30" t="inlineStr">
        <is>
          <t>Block11</t>
        </is>
      </c>
    </row>
    <row r="96">
      <c r="A96" s="27" t="inlineStr">
        <is>
          <t>var_bank</t>
        </is>
      </c>
      <c r="B96" s="28" t="inlineStr">
        <is>
          <t>Переменные · банк РКО и СМС</t>
        </is>
      </c>
      <c r="C96" s="36">
        <f>SUMIF(cat_form,"Form007",cat_year)</f>
        <v>1800.0</v>
      </c>
      <c r="D96" s="28" t="inlineStr">
        <is>
          <t>₽/год</t>
        </is>
      </c>
      <c r="E96" s="30" t="inlineStr">
        <is>
          <t>SUMIF(cat_form,"Form007",cat_year)</t>
        </is>
      </c>
      <c r="F96" s="7" t="inlineStr">
        <is>
          <t>calc</t>
        </is>
      </c>
      <c r="G96" s="6" t="inlineStr">
        <is>
          <t>Form007</t>
        </is>
      </c>
      <c r="H96" s="30" t="inlineStr">
        <is>
          <t>Block15</t>
        </is>
      </c>
    </row>
    <row r="97">
      <c r="A97" s="27" t="inlineStr">
        <is>
          <t>acc_cost_month</t>
        </is>
      </c>
      <c r="B97" s="28" t="inlineStr">
        <is>
          <t>Специалист по учёту · стоимость в месяц</t>
        </is>
      </c>
      <c r="C97" s="37" t="n">
        <v>10000</v>
      </c>
      <c r="D97" s="28" t="inlineStr">
        <is>
          <t>₽/мес</t>
        </is>
      </c>
      <c r="E97" s="30" t="inlineStr"/>
      <c r="F97" s="7" t="inlineStr">
        <is>
          <t>default</t>
        </is>
      </c>
      <c r="G97" s="6" t="inlineStr"/>
      <c r="H97" s="30" t="inlineStr">
        <is>
          <t>Form011</t>
        </is>
      </c>
    </row>
    <row r="98">
      <c r="A98" s="27" t="inlineStr">
        <is>
          <t>var_accounting</t>
        </is>
      </c>
      <c r="B98" s="28" t="inlineStr">
        <is>
          <t>Переменные · специалист по учёту</t>
        </is>
      </c>
      <c r="C98" s="36">
        <f>IF(acc_mode="Нанимаю специалиста",acc_cost_month*months,0)</f>
        <v>0.0</v>
      </c>
      <c r="D98" s="28" t="inlineStr">
        <is>
          <t>₽/год</t>
        </is>
      </c>
      <c r="E98" s="30" t="inlineStr">
        <is>
          <t>IF(acc_mode="Нанимаю специалиста",acc_cost_month*months,0)</t>
        </is>
      </c>
      <c r="F98" s="7" t="inlineStr">
        <is>
          <t>calc</t>
        </is>
      </c>
      <c r="G98" s="6" t="inlineStr">
        <is>
          <t>acc_mode, acc_cost_month, months</t>
        </is>
      </c>
      <c r="H98" s="30" t="inlineStr">
        <is>
          <t>Если веду сам — 0, но растёт время</t>
        </is>
      </c>
    </row>
    <row r="99">
      <c r="A99" s="27" t="inlineStr">
        <is>
          <t>variable_costs</t>
        </is>
      </c>
      <c r="B99" s="28" t="inlineStr">
        <is>
          <t>ИТОГО переменные</t>
        </is>
      </c>
      <c r="C99" s="36">
        <f>var_software+var_ads+var_bank+var_accounting+var_workspace</f>
        <v>283980.0</v>
      </c>
      <c r="D99" s="28" t="inlineStr">
        <is>
          <t>₽/год</t>
        </is>
      </c>
      <c r="E99" s="30" t="inlineStr">
        <is>
          <t>var_software+var_ads+var_bank+var_accounting+var_workspace</t>
        </is>
      </c>
      <c r="F99" s="7" t="inlineStr">
        <is>
          <t>calc</t>
        </is>
      </c>
      <c r="G99" s="6" t="inlineStr">
        <is>
          <t>var_*</t>
        </is>
      </c>
      <c r="H99" s="30" t="inlineStr"/>
    </row>
    <row r="100">
      <c r="A100" s="27" t="inlineStr">
        <is>
          <t>total_costs</t>
        </is>
      </c>
      <c r="B100" s="28" t="inlineStr">
        <is>
          <t>ВСЕГО РАСХОДОВ (C)</t>
        </is>
      </c>
      <c r="C100" s="36">
        <f>investment+variable_costs</f>
        <v>562667.780952381</v>
      </c>
      <c r="D100" s="28" t="inlineStr">
        <is>
          <t>₽/год</t>
        </is>
      </c>
      <c r="E100" s="30" t="inlineStr">
        <is>
          <t>investment+variable_costs</t>
        </is>
      </c>
      <c r="F100" s="7" t="inlineStr">
        <is>
          <t>calc</t>
        </is>
      </c>
      <c r="G100" s="6" t="inlineStr">
        <is>
          <t>investment, variable_costs</t>
        </is>
      </c>
      <c r="H100" s="30" t="inlineStr">
        <is>
          <t>Без эквайринга</t>
        </is>
      </c>
    </row>
    <row r="101">
      <c r="A101" s="27" t="inlineStr">
        <is>
          <t>revenue_base</t>
        </is>
      </c>
      <c r="B101" s="28" t="inlineStr">
        <is>
          <t>База для выручки</t>
        </is>
      </c>
      <c r="C101" s="38">
        <f>target_income+total_costs</f>
        <v>1885259.780952381</v>
      </c>
      <c r="D101" s="28" t="inlineStr">
        <is>
          <t>₽/год</t>
        </is>
      </c>
      <c r="E101" s="30" t="inlineStr">
        <is>
          <t>target_income+total_costs</t>
        </is>
      </c>
      <c r="F101" s="7" t="inlineStr">
        <is>
          <t>calc</t>
        </is>
      </c>
      <c r="G101" s="6" t="inlineStr">
        <is>
          <t>target_income, total_costs</t>
        </is>
      </c>
      <c r="H101" s="30" t="inlineStr">
        <is>
          <t>N + C</t>
        </is>
      </c>
    </row>
    <row r="102">
      <c r="A102" s="3" t="inlineStr">
        <is>
          <t>8 · НАЛОГИ И ВЗНОСЫ 2026</t>
        </is>
      </c>
    </row>
    <row r="103" ht="26" customHeight="1">
      <c r="A103" s="26" t="inlineStr">
        <is>
          <t>ID</t>
        </is>
      </c>
      <c r="B103" s="26" t="inlineStr">
        <is>
          <t>Название</t>
        </is>
      </c>
      <c r="C103" s="26" t="inlineStr">
        <is>
          <t>Значение</t>
        </is>
      </c>
      <c r="D103" s="26" t="inlineStr">
        <is>
          <t>Ед.</t>
        </is>
      </c>
      <c r="E103" s="26" t="inlineStr">
        <is>
          <t>Формула / как получено</t>
        </is>
      </c>
      <c r="F103" s="26" t="inlineStr">
        <is>
          <t>Тип</t>
        </is>
      </c>
      <c r="G103" s="26" t="inlineStr">
        <is>
          <t>Зависит от</t>
        </is>
      </c>
      <c r="H103" s="26" t="inlineStr">
        <is>
          <t>Источник / форма</t>
        </is>
      </c>
    </row>
    <row r="104">
      <c r="A104" s="27" t="inlineStr">
        <is>
          <t>regime</t>
        </is>
      </c>
      <c r="B104" s="28" t="inlineStr">
        <is>
          <t>ПЕРЕКЛЮЧАТЕЛЬ · режим налогообложения</t>
        </is>
      </c>
      <c r="C104" s="34" t="inlineStr">
        <is>
          <t>Самозанятый (НПД), средняя ставка</t>
        </is>
      </c>
      <c r="D104" s="28" t="inlineStr"/>
      <c r="E104" s="30" t="inlineStr"/>
      <c r="F104" s="7" t="inlineStr">
        <is>
          <t>default</t>
        </is>
      </c>
      <c r="G104" s="6" t="inlineStr"/>
      <c r="H104" s="30" t="inlineStr">
        <is>
          <t>Form015 · A137 · Block4</t>
        </is>
      </c>
    </row>
    <row r="105">
      <c r="A105" s="27" t="inlineStr">
        <is>
          <t>rate_npd_avg</t>
        </is>
      </c>
      <c r="B105" s="28" t="inlineStr">
        <is>
          <t>НПД · средняя ставка</t>
        </is>
      </c>
      <c r="C105" s="35" t="n">
        <v>0.05</v>
      </c>
      <c r="D105" s="28" t="inlineStr">
        <is>
          <t>%</t>
        </is>
      </c>
      <c r="E105" s="30" t="inlineStr"/>
      <c r="F105" s="7" t="inlineStr">
        <is>
          <t>default</t>
        </is>
      </c>
      <c r="G105" s="6" t="inlineStr"/>
      <c r="H105" s="30" t="inlineStr">
        <is>
          <t>и физлица, и юрлица</t>
        </is>
      </c>
    </row>
    <row r="106">
      <c r="A106" s="27" t="inlineStr">
        <is>
          <t>rate_npd_fiz</t>
        </is>
      </c>
      <c r="B106" s="28" t="inlineStr">
        <is>
          <t>НПД · физлица</t>
        </is>
      </c>
      <c r="C106" s="42" t="n">
        <v>0.04</v>
      </c>
      <c r="D106" s="28" t="inlineStr">
        <is>
          <t>%</t>
        </is>
      </c>
      <c r="E106" s="30" t="inlineStr"/>
      <c r="F106" s="7" t="inlineStr">
        <is>
          <t>const</t>
        </is>
      </c>
      <c r="G106" s="6" t="inlineStr"/>
      <c r="H106" s="30" t="inlineStr">
        <is>
          <t>ФЗ-422</t>
        </is>
      </c>
    </row>
    <row r="107">
      <c r="A107" s="27" t="inlineStr">
        <is>
          <t>rate_npd_ur</t>
        </is>
      </c>
      <c r="B107" s="28" t="inlineStr">
        <is>
          <t>НПД · юрлица</t>
        </is>
      </c>
      <c r="C107" s="42" t="n">
        <v>0.06</v>
      </c>
      <c r="D107" s="28" t="inlineStr">
        <is>
          <t>%</t>
        </is>
      </c>
      <c r="E107" s="30" t="inlineStr"/>
      <c r="F107" s="7" t="inlineStr">
        <is>
          <t>const</t>
        </is>
      </c>
      <c r="G107" s="6" t="inlineStr"/>
      <c r="H107" s="30" t="inlineStr">
        <is>
          <t>ФЗ-422</t>
        </is>
      </c>
    </row>
    <row r="108">
      <c r="A108" s="27" t="inlineStr">
        <is>
          <t>rate_usn_inc</t>
        </is>
      </c>
      <c r="B108" s="28" t="inlineStr">
        <is>
          <t>УСН доходы</t>
        </is>
      </c>
      <c r="C108" s="35" t="n">
        <v>0.06</v>
      </c>
      <c r="D108" s="28" t="inlineStr">
        <is>
          <t>%</t>
        </is>
      </c>
      <c r="E108" s="30" t="inlineStr"/>
      <c r="F108" s="7" t="inlineStr">
        <is>
          <t>default</t>
        </is>
      </c>
      <c r="G108" s="6" t="inlineStr"/>
      <c r="H108" s="30" t="inlineStr">
        <is>
          <t>регион до 1%</t>
        </is>
      </c>
    </row>
    <row r="109">
      <c r="A109" s="27" t="inlineStr">
        <is>
          <t>rate_usn_prof</t>
        </is>
      </c>
      <c r="B109" s="28" t="inlineStr">
        <is>
          <t>УСН доходы минус расходы</t>
        </is>
      </c>
      <c r="C109" s="35" t="n">
        <v>0.15</v>
      </c>
      <c r="D109" s="28" t="inlineStr">
        <is>
          <t>%</t>
        </is>
      </c>
      <c r="E109" s="30" t="inlineStr"/>
      <c r="F109" s="7" t="inlineStr">
        <is>
          <t>default</t>
        </is>
      </c>
      <c r="G109" s="6" t="inlineStr"/>
      <c r="H109" s="30" t="inlineStr">
        <is>
          <t>регион до 5%</t>
        </is>
      </c>
    </row>
    <row r="110">
      <c r="A110" s="27" t="inlineStr">
        <is>
          <t>rate_ausn_inc</t>
        </is>
      </c>
      <c r="B110" s="28" t="inlineStr">
        <is>
          <t>АУСН доходы</t>
        </is>
      </c>
      <c r="C110" s="42" t="n">
        <v>0.08</v>
      </c>
      <c r="D110" s="28" t="inlineStr">
        <is>
          <t>%</t>
        </is>
      </c>
      <c r="E110" s="30" t="inlineStr"/>
      <c r="F110" s="7" t="inlineStr">
        <is>
          <t>const</t>
        </is>
      </c>
      <c r="G110" s="6" t="inlineStr"/>
      <c r="H110" s="30" t="inlineStr">
        <is>
          <t>ФЗ-17</t>
        </is>
      </c>
    </row>
    <row r="111">
      <c r="A111" s="27" t="inlineStr">
        <is>
          <t>rate_ausn_prof</t>
        </is>
      </c>
      <c r="B111" s="28" t="inlineStr">
        <is>
          <t>АУСН доходы минус расходы</t>
        </is>
      </c>
      <c r="C111" s="42" t="n">
        <v>0.2</v>
      </c>
      <c r="D111" s="28" t="inlineStr">
        <is>
          <t>%</t>
        </is>
      </c>
      <c r="E111" s="30" t="inlineStr"/>
      <c r="F111" s="7" t="inlineStr">
        <is>
          <t>const</t>
        </is>
      </c>
      <c r="G111" s="6" t="inlineStr"/>
      <c r="H111" s="30" t="inlineStr">
        <is>
          <t>ФЗ-17</t>
        </is>
      </c>
    </row>
    <row r="112">
      <c r="A112" s="27" t="inlineStr">
        <is>
          <t>regime_no</t>
        </is>
      </c>
      <c r="B112" s="28" t="inlineStr">
        <is>
          <t>Номер режима (1–7)</t>
        </is>
      </c>
      <c r="C112"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2" s="28" t="inlineStr">
        <is>
          <t>№</t>
        </is>
      </c>
      <c r="E112"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2" s="7" t="inlineStr">
        <is>
          <t>calc</t>
        </is>
      </c>
      <c r="G112" s="6" t="inlineStr">
        <is>
          <t>regime</t>
        </is>
      </c>
      <c r="H112" s="30" t="inlineStr"/>
    </row>
    <row r="113">
      <c r="A113" s="27" t="inlineStr">
        <is>
          <t>rate_current</t>
        </is>
      </c>
      <c r="B113" s="28" t="inlineStr">
        <is>
          <t>Ставка выбранного режима</t>
        </is>
      </c>
      <c r="C113" s="39">
        <f>CHOOSE(regime_no,rate_npd_avg,rate_npd_fiz,rate_npd_ur,rate_usn_inc,rate_usn_prof,rate_ausn_inc,rate_ausn_prof)</f>
        <v>0.05</v>
      </c>
      <c r="D113" s="28" t="inlineStr">
        <is>
          <t>%</t>
        </is>
      </c>
      <c r="E113" s="30" t="inlineStr">
        <is>
          <t>CHOOSE(regime_no,rate_npd_avg,rate_npd_fiz,rate_npd_ur,rate_usn_inc,rate_usn_prof,rate_ausn_inc,rate_ausn_prof)</t>
        </is>
      </c>
      <c r="F113" s="7" t="inlineStr">
        <is>
          <t>calc</t>
        </is>
      </c>
      <c r="G113" s="6" t="inlineStr">
        <is>
          <t>regime_no</t>
        </is>
      </c>
      <c r="H113" s="30" t="inlineStr"/>
    </row>
    <row r="114">
      <c r="A114" s="27" t="inlineStr">
        <is>
          <t>fixed_contrib</t>
        </is>
      </c>
      <c r="B114" s="28" t="inlineStr">
        <is>
          <t>Фиксированные взносы ИП</t>
        </is>
      </c>
      <c r="C114" s="43" t="n">
        <v>57390</v>
      </c>
      <c r="D114" s="28" t="inlineStr">
        <is>
          <t>₽/год</t>
        </is>
      </c>
      <c r="E114" s="30" t="inlineStr"/>
      <c r="F114" s="7" t="inlineStr">
        <is>
          <t>const</t>
        </is>
      </c>
      <c r="G114" s="6" t="inlineStr"/>
      <c r="H114" s="30" t="inlineStr">
        <is>
          <t>п. 1.2 ст. 430 НК</t>
        </is>
      </c>
    </row>
    <row r="115">
      <c r="A115" s="27" t="inlineStr">
        <is>
          <t>extra_contrib</t>
        </is>
      </c>
      <c r="B115" s="28" t="inlineStr">
        <is>
          <t>Дополнительный взнос</t>
        </is>
      </c>
      <c r="C115" s="42" t="n">
        <v>0.01</v>
      </c>
      <c r="D115" s="28" t="inlineStr">
        <is>
          <t>%</t>
        </is>
      </c>
      <c r="E115" s="30" t="inlineStr"/>
      <c r="F115" s="7" t="inlineStr">
        <is>
          <t>const</t>
        </is>
      </c>
      <c r="G115" s="6" t="inlineStr"/>
      <c r="H115" s="30" t="inlineStr">
        <is>
          <t>п. 1.2 ст. 430 НК</t>
        </is>
      </c>
    </row>
    <row r="116">
      <c r="A116" s="27" t="inlineStr">
        <is>
          <t>contrib_threshold</t>
        </is>
      </c>
      <c r="B116" s="28" t="inlineStr">
        <is>
          <t>Предельная величина дохода</t>
        </is>
      </c>
      <c r="C116" s="43" t="n">
        <v>300000</v>
      </c>
      <c r="D116" s="28" t="inlineStr">
        <is>
          <t>₽/год</t>
        </is>
      </c>
      <c r="E116" s="30" t="inlineStr"/>
      <c r="F116" s="7" t="inlineStr">
        <is>
          <t>const</t>
        </is>
      </c>
      <c r="G116" s="6" t="inlineStr"/>
      <c r="H116" s="30" t="inlineStr">
        <is>
          <t>ЗА ГОД</t>
        </is>
      </c>
    </row>
    <row r="117">
      <c r="A117" s="27" t="inlineStr">
        <is>
          <t>contrib_cap</t>
        </is>
      </c>
      <c r="B117" s="28" t="inlineStr">
        <is>
          <t>Максимум допвзноса</t>
        </is>
      </c>
      <c r="C117" s="43" t="n">
        <v>321818</v>
      </c>
      <c r="D117" s="28" t="inlineStr">
        <is>
          <t>₽/год</t>
        </is>
      </c>
      <c r="E117" s="30" t="inlineStr"/>
      <c r="F117" s="7" t="inlineStr">
        <is>
          <t>const</t>
        </is>
      </c>
      <c r="G117" s="6" t="inlineStr"/>
      <c r="H117" s="30" t="inlineStr">
        <is>
          <t>п. 1.2 ст. 430 НК</t>
        </is>
      </c>
    </row>
    <row r="118">
      <c r="A118" s="27" t="inlineStr">
        <is>
          <t>threshold_credit</t>
        </is>
      </c>
      <c r="B118" s="28" t="inlineStr">
        <is>
          <t>Поправка на порог</t>
        </is>
      </c>
      <c r="C118" s="38">
        <f>contrib_threshold*extra_contrib</f>
        <v>3000.0</v>
      </c>
      <c r="D118" s="28" t="inlineStr">
        <is>
          <t>₽</t>
        </is>
      </c>
      <c r="E118" s="30" t="inlineStr">
        <is>
          <t>contrib_threshold*extra_contrib</t>
        </is>
      </c>
      <c r="F118" s="7" t="inlineStr">
        <is>
          <t>calc</t>
        </is>
      </c>
      <c r="G118" s="6" t="inlineStr">
        <is>
          <t>contrib_threshold, extra_contrib</t>
        </is>
      </c>
      <c r="H118" s="30" t="inlineStr">
        <is>
          <t>300 000 × 1% = 3 000</t>
        </is>
      </c>
    </row>
    <row r="119">
      <c r="A119" s="27" t="inlineStr">
        <is>
          <t>min_tax_usn</t>
        </is>
      </c>
      <c r="B119" s="28" t="inlineStr">
        <is>
          <t>Минимальный налог УСН Д−Р</t>
        </is>
      </c>
      <c r="C119" s="42" t="n">
        <v>0.01</v>
      </c>
      <c r="D119" s="28" t="inlineStr">
        <is>
          <t>%</t>
        </is>
      </c>
      <c r="E119" s="30" t="inlineStr"/>
      <c r="F119" s="7" t="inlineStr">
        <is>
          <t>const</t>
        </is>
      </c>
      <c r="G119" s="6" t="inlineStr"/>
      <c r="H119" s="30" t="inlineStr">
        <is>
          <t>ст. 346.18 НК</t>
        </is>
      </c>
    </row>
    <row r="120">
      <c r="A120" s="27" t="inlineStr">
        <is>
          <t>min_tax_ausn</t>
        </is>
      </c>
      <c r="B120" s="28" t="inlineStr">
        <is>
          <t>Минимальный налог АУСН Д−Р</t>
        </is>
      </c>
      <c r="C120" s="42" t="n">
        <v>0.03</v>
      </c>
      <c r="D120" s="28" t="inlineStr">
        <is>
          <t>%</t>
        </is>
      </c>
      <c r="E120" s="30" t="inlineStr"/>
      <c r="F120" s="7" t="inlineStr">
        <is>
          <t>const</t>
        </is>
      </c>
      <c r="G120" s="6" t="inlineStr"/>
      <c r="H120" s="30" t="inlineStr">
        <is>
          <t>ФЗ-17</t>
        </is>
      </c>
    </row>
    <row r="121">
      <c r="A121" s="27" t="inlineStr">
        <is>
          <t>injury_contrib</t>
        </is>
      </c>
      <c r="B121" s="28" t="inlineStr">
        <is>
          <t>Взнос на травматизм (АУСН)</t>
        </is>
      </c>
      <c r="C121" s="37" t="n">
        <v>0</v>
      </c>
      <c r="D121" s="28" t="inlineStr">
        <is>
          <t>₽/год</t>
        </is>
      </c>
      <c r="E121" s="30" t="inlineStr"/>
      <c r="F121" s="7" t="inlineStr">
        <is>
          <t>default</t>
        </is>
      </c>
      <c r="G121" s="6" t="inlineStr"/>
      <c r="H121" s="30" t="inlineStr">
        <is>
          <t>соло — 0</t>
        </is>
      </c>
    </row>
    <row r="122">
      <c r="A122" s="27" t="inlineStr">
        <is>
          <t>acq_rate</t>
        </is>
      </c>
      <c r="B122" s="28" t="inlineStr">
        <is>
          <t>Эквайринг · ставка</t>
        </is>
      </c>
      <c r="C122" s="35" t="n">
        <v>0.027</v>
      </c>
      <c r="D122" s="28" t="inlineStr">
        <is>
          <t>%</t>
        </is>
      </c>
      <c r="E122" s="30" t="inlineStr"/>
      <c r="F122" s="7" t="inlineStr">
        <is>
          <t>default</t>
        </is>
      </c>
      <c r="G122" s="6" t="inlineStr"/>
      <c r="H122" s="30" t="inlineStr">
        <is>
          <t>Базовая 2,7%; добавленные банковские проценты учитываются отдельно</t>
        </is>
      </c>
    </row>
    <row r="123">
      <c r="A123" s="27" t="inlineStr">
        <is>
          <t>acq_share</t>
        </is>
      </c>
      <c r="B123" s="28" t="inlineStr">
        <is>
          <t>Эквайринг · доля безналичных оплат</t>
        </is>
      </c>
      <c r="C123" s="35" t="n">
        <v>1</v>
      </c>
      <c r="D123" s="28" t="inlineStr">
        <is>
          <t>%</t>
        </is>
      </c>
      <c r="E123" s="30" t="inlineStr"/>
      <c r="F123" s="7" t="inlineStr">
        <is>
          <t>default</t>
        </is>
      </c>
      <c r="G123" s="6" t="inlineStr"/>
      <c r="H123" s="30" t="inlineStr"/>
    </row>
    <row r="124">
      <c r="A124" s="27" t="inlineStr">
        <is>
          <t>acquiring</t>
        </is>
      </c>
      <c r="B124" s="28" t="inlineStr">
        <is>
          <t>Эквайринг · эффективно</t>
        </is>
      </c>
      <c r="C124" s="39">
        <f>acq_rate*acq_share</f>
        <v>0.027</v>
      </c>
      <c r="D124" s="28" t="inlineStr">
        <is>
          <t>%</t>
        </is>
      </c>
      <c r="E124" s="30" t="inlineStr">
        <is>
          <t>acq_rate*acq_share</t>
        </is>
      </c>
      <c r="F124" s="7" t="inlineStr">
        <is>
          <t>calc</t>
        </is>
      </c>
      <c r="G124" s="6" t="inlineStr">
        <is>
          <t>acq_rate, acq_share</t>
        </is>
      </c>
      <c r="H124" s="30" t="inlineStr">
        <is>
          <t>В ЗНАМЕНАТЕЛЬ, не в расходы</t>
        </is>
      </c>
    </row>
    <row r="125">
      <c r="A125" s="27" t="inlineStr">
        <is>
          <t>vat_threshold</t>
        </is>
      </c>
      <c r="B125" s="28" t="inlineStr">
        <is>
          <t>Порог освобождения от НДС</t>
        </is>
      </c>
      <c r="C125" s="43" t="n">
        <v>20000000</v>
      </c>
      <c r="D125" s="28" t="inlineStr">
        <is>
          <t>₽/год</t>
        </is>
      </c>
      <c r="E125" s="30" t="inlineStr"/>
      <c r="F125" s="7" t="inlineStr">
        <is>
          <t>const</t>
        </is>
      </c>
      <c r="G125" s="6" t="inlineStr"/>
      <c r="H125" s="30" t="inlineStr">
        <is>
          <t>ФЗ-228</t>
        </is>
      </c>
    </row>
    <row r="126">
      <c r="A126" s="27" t="inlineStr">
        <is>
          <t>limit_npd</t>
        </is>
      </c>
      <c r="B126" s="28" t="inlineStr">
        <is>
          <t>Лимит НПД</t>
        </is>
      </c>
      <c r="C126" s="43" t="n">
        <v>2400000</v>
      </c>
      <c r="D126" s="28" t="inlineStr">
        <is>
          <t>₽/год</t>
        </is>
      </c>
      <c r="E126" s="30" t="inlineStr"/>
      <c r="F126" s="7" t="inlineStr">
        <is>
          <t>const</t>
        </is>
      </c>
      <c r="G126" s="6" t="inlineStr"/>
      <c r="H126" s="30" t="inlineStr">
        <is>
          <t>ФЗ-422</t>
        </is>
      </c>
    </row>
    <row r="127">
      <c r="A127" s="27" t="inlineStr">
        <is>
          <t>limit_ausn</t>
        </is>
      </c>
      <c r="B127" s="28" t="inlineStr">
        <is>
          <t>Лимит АУСН</t>
        </is>
      </c>
      <c r="C127" s="43" t="n">
        <v>60000000</v>
      </c>
      <c r="D127" s="28" t="inlineStr">
        <is>
          <t>₽/год</t>
        </is>
      </c>
      <c r="E127" s="30" t="inlineStr"/>
      <c r="F127" s="7" t="inlineStr">
        <is>
          <t>const</t>
        </is>
      </c>
      <c r="G127" s="6" t="inlineStr"/>
      <c r="H127" s="30" t="inlineStr">
        <is>
          <t>ФЗ-17</t>
        </is>
      </c>
    </row>
    <row r="128">
      <c r="A128" s="3" t="inlineStr">
        <is>
          <t>9 · СПРАВОЧНЫЕ СТАВКИ</t>
        </is>
      </c>
    </row>
    <row r="129" ht="26" customHeight="1">
      <c r="A129" s="26" t="inlineStr">
        <is>
          <t>ID</t>
        </is>
      </c>
      <c r="B129" s="26" t="inlineStr">
        <is>
          <t>Название</t>
        </is>
      </c>
      <c r="C129" s="26" t="inlineStr">
        <is>
          <t>Значение</t>
        </is>
      </c>
      <c r="D129" s="26" t="inlineStr">
        <is>
          <t>Ед.</t>
        </is>
      </c>
      <c r="E129" s="26" t="inlineStr">
        <is>
          <t>Формула / как получено</t>
        </is>
      </c>
      <c r="F129" s="26" t="inlineStr">
        <is>
          <t>Тип</t>
        </is>
      </c>
      <c r="G129" s="26" t="inlineStr">
        <is>
          <t>Зависит от</t>
        </is>
      </c>
      <c r="H129" s="26" t="inlineStr">
        <is>
          <t>Источник / форма</t>
        </is>
      </c>
    </row>
    <row r="131">
      <c r="A131" s="27" t="inlineStr">
        <is>
          <t>ops_rate</t>
        </is>
      </c>
      <c r="B131" s="28" t="inlineStr">
        <is>
          <t>Операционная ставка часа</t>
        </is>
      </c>
      <c r="C131" s="38">
        <f>IF(shooting_time=0,0,revenue_base/shooting_time)</f>
        <v>8703.87710504331</v>
      </c>
      <c r="D131" s="28" t="inlineStr">
        <is>
          <t>₽/ч</t>
        </is>
      </c>
      <c r="E131" s="30" t="inlineStr">
        <is>
          <t>IF(shooting_time=0,0,revenue_base/shooting_time)</t>
        </is>
      </c>
      <c r="F131" s="7" t="inlineStr">
        <is>
          <t>calc</t>
        </is>
      </c>
      <c r="G131" s="6" t="inlineStr">
        <is>
          <t>revenue_base, shooting_time</t>
        </is>
      </c>
      <c r="H131" s="30" t="inlineStr">
        <is>
          <t>Без налога и эквайринга</t>
        </is>
      </c>
    </row>
    <row r="132">
      <c r="A132" s="27" t="inlineStr">
        <is>
          <t>base_rate</t>
        </is>
      </c>
      <c r="B132" s="28" t="inlineStr">
        <is>
          <t>Базовая ставка</t>
        </is>
      </c>
      <c r="C132" s="36">
        <f>IF(net_time=0,0,CHOOSE(regime_no,'05_Расчёт'!B4,'05_Расчёт'!C4,'05_Расчёт'!D4,'05_Расчёт'!E4,'05_Расчёт'!F4,'05_Расчёт'!G4,'05_Расчёт'!H4)/net_time)</f>
        <v>1332.3776738070721</v>
      </c>
      <c r="D132" s="28" t="inlineStr">
        <is>
          <t>₽/ч</t>
        </is>
      </c>
      <c r="E132" t="inlineStr">
        <is>
          <t>Выручка за год ÷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F132" s="7" t="inlineStr">
        <is>
          <t>calc</t>
        </is>
      </c>
      <c r="G132" s="6" t="inlineStr">
        <is>
          <t>выручка, net_time</t>
        </is>
      </c>
      <c r="H132" s="30" t="inlineStr">
        <is>
          <t>Выручка / чистое время. Реальная цена ЛЮБОГО рабочего часа, с налогами и расходами</t>
        </is>
      </c>
    </row>
    <row r="133">
      <c r="A133" s="27" t="inlineStr">
        <is>
          <t>site_value</t>
        </is>
      </c>
      <c r="B133" s="28" t="inlineStr">
        <is>
          <t>Сайт · оценка своего труда</t>
        </is>
      </c>
      <c r="C133" s="38">
        <f>IF(site_mode="Нанимал (а) специалиста",site_cost,site_hours*base_rate)</f>
        <v>70000.0</v>
      </c>
      <c r="D133" s="28" t="inlineStr">
        <is>
          <t>₽</t>
        </is>
      </c>
      <c r="E133" s="30" t="inlineStr">
        <is>
          <t>IF(site_mode="Нанимал (а) специалиста",site_cost,site_hours*base_rate)</t>
        </is>
      </c>
      <c r="F133" s="7" t="inlineStr">
        <is>
          <t>calc</t>
        </is>
      </c>
      <c r="G133" s="6" t="inlineStr">
        <is>
          <t>site_mode, site_cost, site_hours, base_rate</t>
        </is>
      </c>
      <c r="H133" s="30" t="inlineStr">
        <is>
          <t>Цена подрядчика или ваши часы по полной ставке</t>
        </is>
      </c>
    </row>
    <row r="134">
      <c r="A134" s="3" t="inlineStr">
        <is>
          <t>10 · ДОБАВЛЕНО ПОД HTML-ОТЧЁТ</t>
        </is>
      </c>
    </row>
    <row r="135">
      <c r="A135" s="26" t="inlineStr">
        <is>
          <t>ID</t>
        </is>
      </c>
      <c r="B135" s="26" t="inlineStr">
        <is>
          <t>Название</t>
        </is>
      </c>
      <c r="C135" s="26" t="inlineStr">
        <is>
          <t>Значение</t>
        </is>
      </c>
      <c r="D135" s="26" t="inlineStr">
        <is>
          <t>Ед.</t>
        </is>
      </c>
      <c r="E135" s="26" t="inlineStr">
        <is>
          <t>Формула / как получено</t>
        </is>
      </c>
      <c r="F135" s="26" t="inlineStr">
        <is>
          <t>Тип</t>
        </is>
      </c>
      <c r="G135" s="26" t="inlineStr">
        <is>
          <t>Зависит от</t>
        </is>
      </c>
    </row>
    <row r="136">
      <c r="A136" s="27" t="inlineStr">
        <is>
          <t>idle_time</t>
        </is>
      </c>
      <c r="B136" s="28" t="inlineStr">
        <is>
          <t>РАБОЧИЕ ПАУЗЫ за год</t>
        </is>
      </c>
      <c r="C136" s="36">
        <f>net_days*(nominal_hours-eff_hours)</f>
        <v>219.0</v>
      </c>
      <c r="D136" s="28" t="inlineStr">
        <is>
          <t>ч/год</t>
        </is>
      </c>
      <c r="E136" s="30" t="inlineStr">
        <is>
          <t>1 час в день: подготовка и уборка места, зарядка техники, размяться, отойти</t>
        </is>
      </c>
      <c r="F136" s="7" t="inlineStr">
        <is>
          <t>calc</t>
        </is>
      </c>
      <c r="G136" s="6" t="inlineStr">
        <is>
          <t>net_days, nominal_hours, eff_hours</t>
        </is>
      </c>
    </row>
    <row r="137">
      <c r="A137" s="27" t="inlineStr">
        <is>
          <t>idle_week</t>
        </is>
      </c>
      <c r="B137" s="28" t="inlineStr">
        <is>
          <t>Неэффективное рабочее время в неделю</t>
        </is>
      </c>
      <c r="C137" s="36">
        <f>IF(net_weeks=0,0,idle_time/net_weeks)</f>
        <v>5.0</v>
      </c>
      <c r="D137" s="28" t="inlineStr">
        <is>
          <t>ч/нед</t>
        </is>
      </c>
      <c r="E137" s="30" t="inlineStr"/>
      <c r="F137" s="7" t="inlineStr">
        <is>
          <t>calc</t>
        </is>
      </c>
      <c r="G137" s="6" t="inlineStr">
        <is>
          <t>idle_time, net_weeks</t>
        </is>
      </c>
    </row>
    <row r="138">
      <c r="A138" s="27" t="inlineStr">
        <is>
          <t>hour_all</t>
        </is>
      </c>
      <c r="B138" s="28" t="inlineStr">
        <is>
          <t>Доход в час на руки</t>
        </is>
      </c>
      <c r="C138" s="36">
        <f>(target_income*11/12)/(net_days*8)</f>
        <v>691.9954337899543</v>
      </c>
      <c r="D138" s="28" t="inlineStr">
        <is>
          <t>₽/ч</t>
        </is>
      </c>
      <c r="E138" t="inlineStr">
        <is>
          <t>Доход за 11 месяцев ÷ рабочее время (рабочие дни × 8). 12-й месяц — отпускные: дополнительная оплата, не плата за рабочий месяц</t>
        </is>
      </c>
      <c r="F138" s="7" t="inlineStr">
        <is>
          <t>calc</t>
        </is>
      </c>
      <c r="G138" s="6" t="inlineStr">
        <is>
          <t>target_income, net_time, idle_time</t>
        </is>
      </c>
    </row>
    <row r="139">
      <c r="A139" s="27" t="inlineStr">
        <is>
          <t>frames_out</t>
        </is>
      </c>
      <c r="B139" s="28" t="inlineStr">
        <is>
          <t>Обработанных кадров с часа съёмки</t>
        </is>
      </c>
      <c r="C139" s="33" t="n">
        <v>80</v>
      </c>
      <c r="D139" s="28" t="inlineStr">
        <is>
          <t>шт/ч</t>
        </is>
      </c>
      <c r="E139" s="30" t="inlineStr">
        <is>
          <t>Задаёт пользователь в форме</t>
        </is>
      </c>
      <c r="F139" s="7" t="inlineStr">
        <is>
          <t>default</t>
        </is>
      </c>
      <c r="G139" s="6" t="inlineStr"/>
    </row>
    <row r="140">
      <c r="A140" s="27" t="inlineStr">
        <is>
          <t>frames_total</t>
        </is>
      </c>
      <c r="B140" s="28" t="inlineStr">
        <is>
          <t>Кадров за одну съёмку</t>
        </is>
      </c>
      <c r="C140" s="36">
        <f>frames_out*shoot_duration</f>
        <v>80.0</v>
      </c>
      <c r="D140" s="28" t="inlineStr">
        <is>
          <t>шт</t>
        </is>
      </c>
      <c r="E140" s="30" t="inlineStr"/>
      <c r="F140" s="7" t="inlineStr">
        <is>
          <t>calc</t>
        </is>
      </c>
      <c r="G140" s="6" t="inlineStr">
        <is>
          <t>frames_out, shoot_duration</t>
        </is>
      </c>
    </row>
    <row r="141">
      <c r="A141" s="27" t="inlineStr">
        <is>
          <t>equip_only</t>
        </is>
      </c>
      <c r="B141" s="28" t="inlineStr">
        <is>
          <t>Оборудование и ПО без обучения</t>
        </is>
      </c>
      <c r="C141" s="36">
        <f>dep_shoot+dep_office+dep_software</f>
        <v>184992.9238095238</v>
      </c>
      <c r="D141" s="28" t="inlineStr">
        <is>
          <t>₽/год</t>
        </is>
      </c>
      <c r="E141" s="30" t="inlineStr">
        <is>
          <t>Только железо и ПО, для блока 09</t>
        </is>
      </c>
      <c r="F141" s="7" t="inlineStr">
        <is>
          <t>calc</t>
        </is>
      </c>
      <c r="G141" s="6" t="inlineStr">
        <is>
          <t>dep_shoot, dep_office, dep_software</t>
        </is>
      </c>
    </row>
  </sheetData>
  <mergeCells count="11">
    <mergeCell ref="A4:H4"/>
    <mergeCell ref="A61:H61"/>
    <mergeCell ref="A56:H56"/>
    <mergeCell ref="A2:H2"/>
    <mergeCell ref="A128:H128"/>
    <mergeCell ref="A102:H102"/>
    <mergeCell ref="A19:H19"/>
    <mergeCell ref="A1:H1"/>
    <mergeCell ref="A37:H37"/>
    <mergeCell ref="A73:H73"/>
    <mergeCell ref="A87:H87"/>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3" showDropDown="0" showInputMessage="0" showErrorMessage="0" allowBlank="1" type="list">
      <formula1>"Работаю из дома,Арендую помещение"</formula1>
    </dataValidation>
    <dataValidation sqref="C64" showDropDown="0" showInputMessage="0" showErrorMessage="0" allowBlank="1" type="list">
      <formula1>"нет,да"</formula1>
    </dataValidation>
    <dataValidation sqref="C78" showDropDown="0" showInputMessage="0" showErrorMessage="0" allowBlank="1" type="list">
      <formula1>"Учитывать упущенную выгоду,Учитывать только стоимость обучения"</formula1>
    </dataValidation>
    <dataValidation sqref="C81" showDropDown="0" showInputMessage="0" showErrorMessage="0" allowBlank="1" type="list">
      <formula1>"Нанимал (а) специалиста,Делал (а) самостоятельно"</formula1>
    </dataValidation>
    <dataValidation sqref="C104"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calc → regime</t>
        </is>
      </c>
    </row>
    <row r="5">
      <c r="A5" s="2" t="inlineStr">
        <is>
          <t>Ставка часа съёмки,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Базовая ставка, ₽/час</t>
        </is>
      </c>
      <c r="B7" s="49">
        <f>base_rate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ВРЕМЕНИ на простой и форс-мажоры</t>
        </is>
      </c>
      <c r="B16" s="31">
        <f>fm_time</f>
        <v>0.0</v>
      </c>
      <c r="C16" s="25" t="inlineStr">
        <is>
          <t>периоды без заказов, 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8">
      <c r="A38" t="inlineStr">
        <is>
          <t>Ваша текущая ставка, ₽/час</t>
        </is>
      </c>
      <c r="B38" s="54">
        <f>current_rate</f>
        <v>6000.0</v>
      </c>
    </row>
    <row r="39">
      <c r="A39" s="3" t="inlineStr">
        <is>
          <t>СКОЛЬКО ВЫ ТЕРЯЕТЕ</t>
        </is>
      </c>
    </row>
    <row r="41">
      <c r="A41" t="inlineStr">
        <is>
          <t>Остаётся на руки за год при текущей ставке, ₽</t>
        </is>
      </c>
      <c r="B41" s="54">
        <f>(current_rate*shooting_time)*(1-rate_current-acquiring)-total_costs</f>
        <v>636863.0190476188</v>
      </c>
    </row>
    <row r="42">
      <c r="A42" t="inlineStr">
        <is>
          <t>Ваша расчётная ставка, ₽/час</t>
        </is>
      </c>
      <c r="B42" s="55">
        <f>B5</f>
        <v>9429.986029299362</v>
      </c>
    </row>
    <row r="43">
      <c r="A43" t="inlineStr">
        <is>
          <t>Разница с текущей, ₽/час</t>
        </is>
      </c>
      <c r="B43" s="54">
        <f>B5-current_rate</f>
        <v>3429.9860292993617</v>
      </c>
    </row>
    <row r="44">
      <c r="A44" t="inlineStr">
        <is>
          <t>Недополучено за год, ₽</t>
        </is>
      </c>
      <c r="B44" s="54">
        <f>target_income-B41</f>
        <v>685728.9809523812</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Резерв времени на простой и форс-мажоры не больше 30%</t>
        </is>
      </c>
      <c r="B55" s="53" t="str">
        <f>IF(fm_pct&lt;=0.3,"OK","СЛИШКОМ БОЛЬШОЙ")</f>
        <v>OK</v>
      </c>
    </row>
    <row r="56">
      <c r="A56" t="inlineStr">
        <is>
          <t>Сайт: либо сумма, либо часы</t>
        </is>
      </c>
      <c r="B56"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простоя и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calc</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заказ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времени на простой и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заказ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времени на простой и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Учитывать резерв времени на простой и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calc</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неэффективное рабочее время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Время, необходимое для выполнения самого заказа, а также для работы, без которой заказы просто не появятся: поиск клиентов, закрытие сделок, ведение учёта и другие рабочие задачи.</t>
        </is>
      </c>
    </row>
    <row r="584">
      <c r="A584" s="27" t="inlineStr">
        <is>
          <t>rbd_h2d</t>
        </is>
      </c>
      <c r="B584" s="112" t="inlineStr">
        <is>
          <t>Полный отчёт</t>
        </is>
      </c>
      <c r="C584" s="113" t="inlineStr">
        <is>
          <t>Денежные средства, которые уже были вложены в вашу профессиональную деятельность — оборудование, обучение и другие инвестиции, — а также регулярные расходы, необходимые для обеспечения рабочего процесса.</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В соответствии с базовыми условиями труда ТК РФ время и расходы на дорогу до места работы относятся к личным расходам работника и не включаются в расчёт. Совет от Счётикс: определите зону, в пределах которой вы работаете по базовой стоимости, а за её пределами добавляйте к смете стоимость логистики в обе стороны и время в пути. Час в пути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calc.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Доход в час на руки</t>
        </is>
      </c>
      <c r="C6" s="150" t="inlineStr">
        <is>
          <t>692 ₽/ч</t>
        </is>
      </c>
      <c r="D6" s="151" t="inlineStr">
        <is>
          <t>'=target_income*11/12/(net_days*8)</t>
        </is>
      </c>
      <c r="E6" s="152" t="inlineStr">
        <is>
          <t>Желаемый доход за 11 месяцев (отпускной уже внутри года как месяц без работы) делится на рабочее время 219 × 8 = 1 752 ч: 1 212 376 / 1 752 = 692 ₽/ч. Это сравнение с наймом: как зарплата за 11 месяцев при восьмичасовом дне.</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берётся неэффективное время</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неэффективное рабочее время — потому что оно оплачивается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простой и форс-мажор 1,2 + неэффективное время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 xml:space="preserve">Решается уравнение V − costY − V×0,027 −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 xml:space="preserve">V = 609 608 ₽ = расходы 562 668 + эквайринг 16 459 + налог 30 480. Невязка нетто 1e-10 ₽. Ставка 2 814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неэффективное время, простой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 xml:space="preserve">Полная цепочка расчёта по шагам — ровно так, как считает калькулятор. Все ID в колонке «Формула» ссылаются на лист calc. Цифры в колонке «Результат» — для демо-набора (доход 110 216 ₽/мес, съёмка 1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времени на простой и форс-мажоры</t>
        </is>
      </c>
      <c r="C8" s="152" t="inlineStr">
        <is>
          <t>5% времени уходит на периоды без заказов,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 xml:space="preserve">по умолчанию выключен
1083 − 0 =
1 083 часа</t>
        </is>
      </c>
    </row>
    <row r="9" ht="92" customHeight="1">
      <c r="A9" s="236" t="inlineStr">
        <is>
          <t>5</t>
        </is>
      </c>
      <c r="B9" s="149" t="inlineStr">
        <is>
          <t>Считаем, сколько часов съедает один заказ</t>
        </is>
      </c>
      <c r="C9" s="152" t="inlineStr">
        <is>
          <t xml:space="preserve">Пользователь задаёт три величины: типовая длительность съёмки (1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 xml:space="preserve">1 × (1+3) + 1 =
5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 xml:space="preserve">1083 / 5 =
216,6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неэффективное время в его счёт не попадают. Из 1 752 часов вашей работы в году продаётся только 229 — это 13%.</t>
        </is>
      </c>
      <c r="D11" s="237" t="inlineStr">
        <is>
          <t>shooting_time =
projects_year × shoot_duration</t>
        </is>
      </c>
      <c r="E11" s="238" t="inlineStr">
        <is>
          <t xml:space="preserve">216,6 × 1 =
216,6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 xml:space="preserve">1 322 592 ₽ доход
562 668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 xml:space="preserve">(1 322 592 + 562 668)
/ (1 − 0,027 − 0,05) =
2 042 535 ₽</t>
        </is>
      </c>
    </row>
    <row r="14" ht="66" customHeight="1">
      <c r="A14" s="236" t="inlineStr">
        <is>
          <t>10</t>
        </is>
      </c>
      <c r="B14" s="149" t="inlineStr">
        <is>
          <t>Делим выручку на оплачиваемые часы</t>
        </is>
      </c>
      <c r="C14" s="152" t="inlineStr">
        <is>
          <t xml:space="preserve">Вся годовая выручка должна собраться с тех самых 216,6 съёмочных часов, потому что больше клиент ничего не покупает. Это и есть ставка часа.</t>
        </is>
      </c>
      <c r="D14" s="237" t="inlineStr">
        <is>
          <t>СТАВКА = R / shooting_time</t>
        </is>
      </c>
      <c r="E14" s="238" t="inlineStr">
        <is>
          <t xml:space="preserve">2 042 535 / 216,6 =
9 430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 xml:space="preserve">2 042 535 − 562 668 расходов − 55 148 эквайринга − 102 127 налога</t>
        </is>
      </c>
      <c r="D17" s="240" t="inlineStr">
        <is>
          <t xml:space="preserve">'= 1 322 592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9 430 ₽</t>
        </is>
      </c>
      <c r="E18" s="152" t="inlineStr">
        <is>
          <t>совпало со ставкой часа</t>
        </is>
      </c>
    </row>
    <row r="19" ht="30" customHeight="1">
      <c r="B19" s="149" t="inlineStr">
        <is>
          <t>Шапка отчёта</t>
        </is>
      </c>
      <c r="C19" s="152" t="inlineStr">
        <is>
          <t xml:space="preserve">110 216 доход + 46 889 расходы</t>
        </is>
      </c>
      <c r="D19" s="240" t="inlineStr">
        <is>
          <t xml:space="preserve">'= 170 211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9 430 ₽</t>
        </is>
      </c>
    </row>
    <row r="23" ht="42" customHeight="1">
      <c r="B23" s="149" t="inlineStr">
        <is>
          <t>Доход в час на руки</t>
        </is>
      </c>
      <c r="C23" t="inlineStr">
        <is>
          <t>Сколько вы реально получаете за час ЛЮБОЙ работы — с камерой или за компьютером. Из годового дохода выключен отпускной месяц: отпускные — дополнительная оплата, не плата за рабочий месяц</t>
        </is>
      </c>
      <c r="D23" s="237" t="inlineStr">
        <is>
          <t>'=(target_income*11/12)/(net_days*8)</t>
        </is>
      </c>
      <c r="E23" s="238" t="inlineStr">
        <is>
          <t>692 ₽</t>
        </is>
      </c>
    </row>
    <row r="24" ht="30" customHeight="1">
      <c r="B24" s="241" t="inlineStr">
        <is>
          <t>Разница в 13,6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Резервы времени</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 xml:space="preserve">2 042 535</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заказ»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резервы времени</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неэффективное время</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Неэффективное рабочее время · Резерв времени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calc</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FormatPr defaultRowHeight="15"/>
  <cols>
    <col min="1" max="1" width="6" customWidth="1"/>
    <col min="2" max="2" width="22" customWidth="1"/>
    <col min="3" max="3" width="34" customWidth="1"/>
    <col min="4" max="5" width="16" customWidth="1"/>
    <col min="6" max="6" width="80" customWidth="1"/>
    <col min="7" max="8" width="16" customWidth="1"/>
  </cols>
  <sheetData>
    <row r="1">
      <c r="A1" t="inlineStr">
        <is>
          <t xml:space="preserve">06b · ПОЛНЫЙ ОТЧЁТ В КНИГЕ — то же, что видит человек в отчёте</t>
        </is>
      </c>
    </row>
    <row r="2">
      <c r="A2" t="inlineStr">
        <is>
          <t xml:space="preserve">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3"/>
    <row r="4">
      <c r="A4" t="inlineStr">
        <is>
          <t xml:space="preserve">№</t>
        </is>
      </c>
      <c r="B4" t="inlineStr">
        <is>
          <t xml:space="preserve">Блок</t>
        </is>
      </c>
      <c r="C4" t="inlineStr">
        <is>
          <t xml:space="preserve">Показатель</t>
        </is>
      </c>
      <c r="D4" t="inlineStr">
        <is>
          <t xml:space="preserve">Значение</t>
        </is>
      </c>
      <c r="E4" t="inlineStr">
        <is>
          <t xml:space="preserve">Ед.</t>
        </is>
      </c>
      <c r="F4" t="inlineStr">
        <is>
          <t xml:space="preserve">Описание алгоритма</t>
        </is>
      </c>
      <c r="G4" t="inlineStr">
        <is>
          <t xml:space="preserve">Калькулятор</t>
        </is>
      </c>
      <c r="H4" t="inlineStr">
        <is>
          <t xml:space="preserve">Сходится</t>
        </is>
      </c>
    </row>
    <row r="5"/>
    <row r="6">
      <c r="A6" t="inlineStr">
        <is>
          <t xml:space="preserve">ШАПКА И ПЕРВЫЙ ЭКРАН</t>
        </is>
      </c>
    </row>
    <row r="7">
      <c r="A7" t="inlineStr">
        <is>
          <t xml:space="preserve">1</t>
        </is>
      </c>
      <c r="B7" t="inlineStr">
        <is>
          <t xml:space="preserve">Первый экран</t>
        </is>
      </c>
      <c r="C7" t="inlineStr">
        <is>
          <t xml:space="preserve">Ставка часа съёмки</t>
        </is>
      </c>
      <c r="D7">
        <f>'04_Итог'!B5</f>
        <v>9429.986029299362</v>
      </c>
      <c r="E7" t="inlineStr">
        <is>
          <t xml:space="preserve">₽/ч</t>
        </is>
      </c>
      <c r="F7" t="inlineStr">
        <is>
          <t xml:space="preserve">Выручка за год делится на съёмочные часы. Это цена часа на площадке для клиента: в ней уже лежат доход на руки, расходы дела, налоги и эквайринг.</t>
        </is>
      </c>
      <c r="G7">
        <v>9429.99</v>
      </c>
      <c r="H7" t="str">
        <f>IF(D7="","—",IF(ABS(D7-G7)&lt;1,"да","НЕТ"))</f>
        <v>да</v>
      </c>
    </row>
    <row r="8">
      <c r="A8" t="inlineStr">
        <is>
          <t xml:space="preserve">2</t>
        </is>
      </c>
      <c r="B8" t="inlineStr">
        <is>
          <t xml:space="preserve">Первый экран</t>
        </is>
      </c>
      <c r="C8" t="inlineStr">
        <is>
          <t xml:space="preserve">Доход в час на руки</t>
        </is>
      </c>
      <c r="D8">
        <f>(target_income*11/12)/(net_days*8)</f>
        <v>691.9954337899543</v>
      </c>
      <c r="E8" t="inlineStr">
        <is>
          <t xml:space="preserve">₽/ч</t>
        </is>
      </c>
      <c r="F8" t="inlineStr">
        <is>
          <t xml:space="preserve">Желаемый доход за 11 месяцев делится на рабочее время (рабочие дни × 8). Отпускной месяц — дополнительная оплата, не плата за рабочий месяц.</t>
        </is>
      </c>
      <c r="G8">
        <v>692.0</v>
      </c>
      <c r="H8" t="str">
        <f>IF(D8="","—",IF(ABS(D8-G8)&lt;1,"да","НЕТ"))</f>
        <v>да</v>
      </c>
    </row>
    <row r="9">
      <c r="A9" t="inlineStr">
        <is>
          <t xml:space="preserve">3</t>
        </is>
      </c>
      <c r="B9" t="inlineStr">
        <is>
          <t xml:space="preserve">Первый экран</t>
        </is>
      </c>
      <c r="C9" t="inlineStr">
        <is>
          <t xml:space="preserve">Базовая ставка</t>
        </is>
      </c>
      <c r="D9">
        <f>base_rate</f>
        <v>1332.3776738070721</v>
      </c>
      <c r="E9" t="inlineStr">
        <is>
          <t xml:space="preserve">₽/ч</t>
        </is>
      </c>
      <c r="F9" t="inlineStr">
        <is>
          <t xml:space="preserve">Вся выручка за год делится на эффективное рабочее время. Ставка выгодности для услуг вне съёмочной площадки: покрывает доход (включая отпускной месяц), расходы и налоги, без повышающего коэффициента съёмочного часа.</t>
        </is>
      </c>
      <c r="G9">
        <v>1332.38</v>
      </c>
      <c r="H9" t="str">
        <f>IF(D9="","—",IF(ABS(D9-G9)&lt;1,"да","НЕТ"))</f>
        <v>да</v>
      </c>
    </row>
    <row r="10">
      <c r="A10" t="inlineStr">
        <is>
          <t xml:space="preserve">4</t>
        </is>
      </c>
      <c r="B10" t="inlineStr">
        <is>
          <t xml:space="preserve">Первый экран</t>
        </is>
      </c>
      <c r="C10" t="inlineStr">
        <is>
          <t xml:space="preserve">Доход на руки</t>
        </is>
      </c>
      <c r="D10">
        <f>target_income</f>
        <v>1322592.0</v>
      </c>
      <c r="E10" t="inlineStr">
        <is>
          <t xml:space="preserve">₽/год</t>
        </is>
      </c>
      <c r="F10" t="inlineStr">
        <is>
          <t xml:space="preserve">Желаемый доход в месяц × 12. Точка отсчёта всего расчёта.</t>
        </is>
      </c>
      <c r="G10">
        <v>1322592</v>
      </c>
      <c r="H10" t="str">
        <f>IF(D10="","—",IF(ABS(D10-G10)&lt;1,"да","НЕТ"))</f>
        <v>да</v>
      </c>
    </row>
    <row r="11">
      <c r="A11" t="inlineStr">
        <is>
          <t xml:space="preserve">5</t>
        </is>
      </c>
      <c r="B11" t="inlineStr">
        <is>
          <t xml:space="preserve">Первый экран</t>
        </is>
      </c>
      <c r="C11" t="inlineStr">
        <is>
          <t xml:space="preserve">Доход на руки</t>
        </is>
      </c>
      <c r="D11">
        <f>target_income/months</f>
        <v>110216.0</v>
      </c>
      <c r="E11" t="inlineStr">
        <is>
          <t xml:space="preserve">₽/мес</t>
        </is>
      </c>
      <c r="F11" t="inlineStr">
        <is>
          <t xml:space="preserve">Сумма, которую человек указал в анкете.</t>
        </is>
      </c>
      <c r="G11">
        <v>110216.0</v>
      </c>
      <c r="H11" t="str">
        <f>IF(D11="","—",IF(ABS(D11-G11)&lt;1,"да","НЕТ"))</f>
        <v>да</v>
      </c>
    </row>
    <row r="12">
      <c r="A12" t="inlineStr">
        <is>
          <t xml:space="preserve">6</t>
        </is>
      </c>
      <c r="B12" t="inlineStr">
        <is>
          <t xml:space="preserve">Первый экран</t>
        </is>
      </c>
      <c r="C12" t="inlineStr">
        <is>
          <t xml:space="preserve">Выручка</t>
        </is>
      </c>
      <c r="D12">
        <f>'04_Итог'!B8</f>
        <v>2042534.9739462417</v>
      </c>
      <c r="E12" t="inlineStr">
        <is>
          <t xml:space="preserve">₽/год</t>
        </is>
      </c>
      <c r="F12" t="inlineStr">
        <is>
          <t xml:space="preserve">Сколько нужно выставить клиентам, чтобы после расходов, налогов и эквайринга остался желаемый доход.</t>
        </is>
      </c>
      <c r="G12">
        <v>2042534.97</v>
      </c>
      <c r="H12" t="str">
        <f>IF(D12="","—",IF(ABS(D12-G12)&lt;1,"да","НЕТ"))</f>
        <v>да</v>
      </c>
    </row>
    <row r="13">
      <c r="A13" t="inlineStr">
        <is>
          <t xml:space="preserve">7</t>
        </is>
      </c>
      <c r="B13" t="inlineStr">
        <is>
          <t xml:space="preserve">Первый экран</t>
        </is>
      </c>
      <c r="C13" t="inlineStr">
        <is>
          <t xml:space="preserve">Выручка</t>
        </is>
      </c>
      <c r="D13">
        <f>'04_Итог'!B9</f>
        <v>170211.24782885346</v>
      </c>
      <c r="E13" t="inlineStr">
        <is>
          <t xml:space="preserve">₽/мес</t>
        </is>
      </c>
      <c r="F13" t="inlineStr">
        <is>
          <t xml:space="preserve">Выручка за год ÷ 12.</t>
        </is>
      </c>
      <c r="G13">
        <v>170211.25</v>
      </c>
      <c r="H13" t="str">
        <f>IF(D13="","—",IF(ABS(D13-G13)&lt;1,"да","НЕТ"))</f>
        <v>да</v>
      </c>
    </row>
    <row r="14">
      <c r="A14" t="inlineStr">
        <is>
          <t xml:space="preserve">8</t>
        </is>
      </c>
      <c r="B14" t="inlineStr">
        <is>
          <t xml:space="preserve">Первый экран</t>
        </is>
      </c>
      <c r="C14" t="inlineStr">
        <is>
          <t xml:space="preserve">Всего расходов</t>
        </is>
      </c>
      <c r="D14">
        <f>total_costs+CHOOSE(regime_no,'05_Расчёт'!B15,'05_Расчёт'!C15,'05_Расчёт'!D15,'05_Расчёт'!E15,'05_Расчёт'!F15,'05_Расчёт'!G15,'05_Расчёт'!H15)+'04_Итог'!B8*acquiring</f>
        <v>719942.9739462415</v>
      </c>
      <c r="E14" t="inlineStr">
        <is>
          <t xml:space="preserve">₽/год</t>
        </is>
      </c>
      <c r="F14" t="inlineStr">
        <is>
          <t xml:space="preserve">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4">
        <v>719942.97</v>
      </c>
      <c r="H14" t="str">
        <f>IF(D14="","—",IF(ABS(D14-G14)&lt;1,"да","НЕТ"))</f>
        <v>да</v>
      </c>
    </row>
    <row r="15"/>
    <row r="16">
      <c r="A16" t="inlineStr">
        <is>
          <t xml:space="preserve">ВРЕМЯ</t>
        </is>
      </c>
    </row>
    <row r="17">
      <c r="A17" t="inlineStr">
        <is>
          <t xml:space="preserve">9</t>
        </is>
      </c>
      <c r="B17" t="inlineStr">
        <is>
          <t xml:space="preserve">Время</t>
        </is>
      </c>
      <c r="C17" t="inlineStr">
        <is>
          <t xml:space="preserve">Рабочее время</t>
        </is>
      </c>
      <c r="D17">
        <f>work_days*nominal_hours</f>
        <v>1976.0</v>
      </c>
      <c r="E17" t="inlineStr">
        <is>
          <t xml:space="preserve">ч/год</t>
        </is>
      </c>
      <c r="F17" t="inlineStr">
        <is>
          <t xml:space="preserve">Рабочие дни производственного календаря × 8 часов. Верхняя граница: всё время, которое человек проводит в работе.</t>
        </is>
      </c>
      <c r="G17">
        <v>1752</v>
      </c>
      <c r="H17" t="str">
        <f>IF(D17="","—",IF(ABS(D17-G17)&lt;1,"да","НЕТ"))</f>
        <v>НЕТ</v>
      </c>
    </row>
    <row r="18">
      <c r="A18" t="inlineStr">
        <is>
          <t xml:space="preserve">10</t>
        </is>
      </c>
      <c r="B18" t="inlineStr">
        <is>
          <t xml:space="preserve">Время</t>
        </is>
      </c>
      <c r="C18" t="inlineStr">
        <is>
          <t xml:space="preserve">Эффективное рабочее время</t>
        </is>
      </c>
      <c r="D18">
        <f>net_time</f>
        <v>1533.0</v>
      </c>
      <c r="E18" t="inlineStr">
        <is>
          <t xml:space="preserve">ч/год</t>
        </is>
      </c>
      <c r="F18" t="inlineStr">
        <is>
          <t xml:space="preserve">Рабочие дни минус отпуск и больничный, умноженные на 7 эффективных часов.</t>
        </is>
      </c>
      <c r="G18">
        <v>1533</v>
      </c>
      <c r="H18" t="str">
        <f>IF(D18="","—",IF(ABS(D18-G18)&lt;1,"да","НЕТ"))</f>
        <v>да</v>
      </c>
    </row>
    <row r="19">
      <c r="A19" t="inlineStr">
        <is>
          <t xml:space="preserve">11</t>
        </is>
      </c>
      <c r="B19" t="inlineStr">
        <is>
          <t xml:space="preserve">Время</t>
        </is>
      </c>
      <c r="C19" t="inlineStr">
        <is>
          <t xml:space="preserve">Съёмка</t>
        </is>
      </c>
      <c r="D19">
        <f>shooting_time</f>
        <v>216.6</v>
      </c>
      <c r="E19" t="inlineStr">
        <is>
          <t xml:space="preserve">ч/год</t>
        </is>
      </c>
      <c r="F19" t="inlineStr">
        <is>
          <t xml:space="preserve">Проектов за год × продолжительность одной съёмки. Единственные часы, которые клиент оплачивает напрямую.</t>
        </is>
      </c>
      <c r="G19">
        <v>216.6</v>
      </c>
      <c r="H19" t="str">
        <f>IF(D19="","—",IF(ABS(D19-G19)&lt;1,"да","НЕТ"))</f>
        <v>да</v>
      </c>
    </row>
    <row r="20">
      <c r="A20" t="inlineStr">
        <is>
          <t xml:space="preserve">12</t>
        </is>
      </c>
      <c r="B20" t="inlineStr">
        <is>
          <t xml:space="preserve">Время</t>
        </is>
      </c>
      <c r="C20" t="inlineStr">
        <is>
          <t xml:space="preserve">Постпродакшн</t>
        </is>
      </c>
      <c r="D20">
        <f>post_time</f>
        <v>649.8</v>
      </c>
      <c r="E20" t="inlineStr">
        <is>
          <t xml:space="preserve">ч/год</t>
        </is>
      </c>
      <c r="F20" t="inlineStr">
        <is>
          <t xml:space="preserve">Съёмочные часы × коэффициент обработки.</t>
        </is>
      </c>
      <c r="G20">
        <v>649.8</v>
      </c>
      <c r="H20" t="str">
        <f>IF(D20="","—",IF(ABS(D20-G20)&lt;1,"да","НЕТ"))</f>
        <v>да</v>
      </c>
    </row>
    <row r="21">
      <c r="A21" t="inlineStr">
        <is>
          <t xml:space="preserve">13</t>
        </is>
      </c>
      <c r="B21" t="inlineStr">
        <is>
          <t xml:space="preserve">Время</t>
        </is>
      </c>
      <c r="C21" t="inlineStr">
        <is>
          <t xml:space="preserve">Проектная работа с клиентами</t>
        </is>
      </c>
      <c r="D21">
        <f>client_total</f>
        <v>216.6</v>
      </c>
      <c r="E21" t="inlineStr">
        <is>
          <t xml:space="preserve">ч/год</t>
        </is>
      </c>
      <c r="F21" t="inlineStr">
        <is>
          <t xml:space="preserve">Проектов за год × время на одного клиента: обсуждение задачи, согласование условий, подготовка, передача результата.</t>
        </is>
      </c>
      <c r="G21">
        <v>216.6</v>
      </c>
      <c r="H21" t="str">
        <f>IF(D21="","—",IF(ABS(D21-G21)&lt;1,"да","НЕТ"))</f>
        <v>да</v>
      </c>
    </row>
    <row r="22">
      <c r="A22" t="inlineStr">
        <is>
          <t xml:space="preserve">14</t>
        </is>
      </c>
      <c r="B22" t="inlineStr">
        <is>
          <t xml:space="preserve">Время</t>
        </is>
      </c>
      <c r="C22" t="inlineStr">
        <is>
          <t xml:space="preserve">Поиск заказов</t>
        </is>
      </c>
      <c r="D22">
        <f>promo_time</f>
        <v>438.0</v>
      </c>
      <c r="E22" t="inlineStr">
        <is>
          <t xml:space="preserve">ч/год</t>
        </is>
      </c>
      <c r="F22" t="inlineStr">
        <is>
          <t xml:space="preserve">Часов в день на поиск заказов × рабочие дни.</t>
        </is>
      </c>
      <c r="G22">
        <v>438</v>
      </c>
      <c r="H22" t="str">
        <f>IF(D22="","—",IF(ABS(D22-G22)&lt;1,"да","НЕТ"))</f>
        <v>да</v>
      </c>
    </row>
    <row r="23">
      <c r="A23" t="inlineStr">
        <is>
          <t xml:space="preserve">15</t>
        </is>
      </c>
      <c r="B23" t="inlineStr">
        <is>
          <t xml:space="preserve">Время</t>
        </is>
      </c>
      <c r="C23" t="inlineStr">
        <is>
          <t xml:space="preserve">Учёт</t>
        </is>
      </c>
      <c r="D23">
        <f>accounting_time</f>
        <v>12.0</v>
      </c>
      <c r="E23" t="inlineStr">
        <is>
          <t xml:space="preserve">ч/год</t>
        </is>
      </c>
      <c r="F23" t="inlineStr">
        <is>
          <t xml:space="preserve">Часов в квартал × 4. Если нанят специалист — ноль, вместо часов появляются деньги.</t>
        </is>
      </c>
      <c r="G23">
        <v>12</v>
      </c>
      <c r="H23" t="str">
        <f>IF(D23="","—",IF(ABS(D23-G23)&lt;1,"да","НЕТ"))</f>
        <v>да</v>
      </c>
    </row>
    <row r="24">
      <c r="A24" t="inlineStr">
        <is>
          <t xml:space="preserve">16</t>
        </is>
      </c>
      <c r="B24" t="inlineStr">
        <is>
          <t xml:space="preserve">Время</t>
        </is>
      </c>
      <c r="C24" t="inlineStr">
        <is>
          <t xml:space="preserve">Неэффективное рабочее время</t>
        </is>
      </c>
      <c r="D24">
        <f>idle_time</f>
        <v>219.0</v>
      </c>
      <c r="E24" t="inlineStr">
        <is>
          <t xml:space="preserve">ч/год</t>
        </is>
      </c>
      <c r="F24" t="inlineStr">
        <is>
          <t xml:space="preserve">Разница между рабочим днём и эффективным: рабочие дни × 1 час.</t>
        </is>
      </c>
      <c r="G24">
        <v>219</v>
      </c>
      <c r="H24" t="str">
        <f>IF(D24="","—",IF(ABS(D24-G24)&lt;1,"да","НЕТ"))</f>
        <v>да</v>
      </c>
    </row>
    <row r="25">
      <c r="A25" t="inlineStr">
        <is>
          <t xml:space="preserve">17</t>
        </is>
      </c>
      <c r="B25" t="inlineStr">
        <is>
          <t xml:space="preserve">Время</t>
        </is>
      </c>
      <c r="C25" t="inlineStr">
        <is>
          <t xml:space="preserve">Резерв времени на простой и форс-мажоры</t>
        </is>
      </c>
      <c r="D25">
        <f>fm_time</f>
        <v>0.0</v>
      </c>
      <c r="E25" t="inlineStr">
        <is>
          <t xml:space="preserve">ч/год</t>
        </is>
      </c>
      <c r="F25" t="inlineStr">
        <is>
          <t xml:space="preserve">Процент от времени на заказы. По умолчанию выключен.</t>
        </is>
      </c>
      <c r="G25">
        <v>0</v>
      </c>
      <c r="H25" t="str">
        <f>IF(D25="","—",IF(ABS(D25-G25)&lt;1,"да","НЕТ"))</f>
        <v>да</v>
      </c>
    </row>
    <row r="26">
      <c r="A26" t="inlineStr">
        <is>
          <t xml:space="preserve">18</t>
        </is>
      </c>
      <c r="B26" t="inlineStr">
        <is>
          <t xml:space="preserve">Время</t>
        </is>
      </c>
      <c r="C26" t="inlineStr">
        <is>
          <t xml:space="preserve">Проектное время</t>
        </is>
      </c>
      <c r="D26">
        <f>project_pool</f>
        <v>1083.0</v>
      </c>
      <c r="E26" t="inlineStr">
        <is>
          <t xml:space="preserve">ч/год</t>
        </is>
      </c>
      <c r="F26" t="inlineStr">
        <is>
          <t xml:space="preserve">Эффективное рабочее время минус операционное время и резерв времени на простой и форс-мажоры.</t>
        </is>
      </c>
      <c r="G26">
        <v>1083</v>
      </c>
      <c r="H26" t="str">
        <f>IF(D26="","—",IF(ABS(D26-G26)&lt;1,"да","НЕТ"))</f>
        <v>да</v>
      </c>
    </row>
    <row r="27">
      <c r="A27" t="inlineStr">
        <is>
          <t xml:space="preserve">19</t>
        </is>
      </c>
      <c r="B27" t="inlineStr">
        <is>
          <t xml:space="preserve">Время</t>
        </is>
      </c>
      <c r="C27" t="inlineStr">
        <is>
          <t xml:space="preserve">Съёмочных проектов</t>
        </is>
      </c>
      <c r="D27">
        <f>projects_year</f>
        <v>216.6</v>
      </c>
      <c r="E27" t="inlineStr">
        <is>
          <t xml:space="preserve">шт/год</t>
        </is>
      </c>
      <c r="F27" t="inlineStr">
        <is>
          <t xml:space="preserve">Проектное время ÷ время на один проект.</t>
        </is>
      </c>
      <c r="G27">
        <v>216.6</v>
      </c>
      <c r="H27" t="str">
        <f>IF(D27="","—",IF(ABS(D27-G27)&lt;1,"да","НЕТ"))</f>
        <v>да</v>
      </c>
    </row>
    <row r="28"/>
    <row r="29">
      <c r="A29" t="inlineStr">
        <is>
          <t xml:space="preserve">ДЕНЬГИ</t>
        </is>
      </c>
    </row>
    <row r="30">
      <c r="A30" t="inlineStr">
        <is>
          <t xml:space="preserve">20</t>
        </is>
      </c>
      <c r="B30" t="inlineStr">
        <is>
          <t xml:space="preserve">Деньги</t>
        </is>
      </c>
      <c r="C30" t="inlineStr">
        <is>
          <t xml:space="preserve">Амортизация</t>
        </is>
      </c>
      <c r="D30">
        <f>investment</f>
        <v>278687.78095238097</v>
      </c>
      <c r="E30" t="inlineStr">
        <is>
          <t xml:space="preserve">₽/год</t>
        </is>
      </c>
      <c r="F30" t="inlineStr">
        <is>
          <t xml:space="preserve">Сумма годовых долей всех разовых покупок: оборудование, ПО, рабочее место, обучение, сайт.</t>
        </is>
      </c>
      <c r="G30">
        <v>278687.78</v>
      </c>
      <c r="H30" t="str">
        <f>IF(D30="","—",IF(ABS(D30-G30)&lt;1,"да","НЕТ"))</f>
        <v>да</v>
      </c>
    </row>
    <row r="31">
      <c r="A31" t="inlineStr">
        <is>
          <t xml:space="preserve">21</t>
        </is>
      </c>
      <c r="B31" t="inlineStr">
        <is>
          <t xml:space="preserve">Деньги</t>
        </is>
      </c>
      <c r="C31" t="inlineStr">
        <is>
          <t xml:space="preserve">Регулярные расходы специалиста</t>
        </is>
      </c>
      <c r="D31">
        <f>variable_costs</f>
        <v>283980.0</v>
      </c>
      <c r="E31" t="inlineStr">
        <is>
          <t xml:space="preserve">₽/год</t>
        </is>
      </c>
      <c r="F31" t="inlineStr">
        <is>
          <t xml:space="preserve">Регулярные платежи за год: подписки, реклама, банк, содержание рабочего места.</t>
        </is>
      </c>
      <c r="G31">
        <v>283980</v>
      </c>
      <c r="H31" t="str">
        <f>IF(D31="","—",IF(ABS(D31-G31)&lt;1,"да","НЕТ"))</f>
        <v>да</v>
      </c>
    </row>
    <row r="32">
      <c r="A32" t="inlineStr">
        <is>
          <t xml:space="preserve">22</t>
        </is>
      </c>
      <c r="B32" t="inlineStr">
        <is>
          <t xml:space="preserve">Деньги</t>
        </is>
      </c>
      <c r="C32" t="inlineStr">
        <is>
          <t xml:space="preserve">Расходы дела</t>
        </is>
      </c>
      <c r="D32">
        <f>total_costs</f>
        <v>562667.780952381</v>
      </c>
      <c r="E32" t="inlineStr">
        <is>
          <t xml:space="preserve">₽/год</t>
        </is>
      </c>
      <c r="F32" t="inlineStr">
        <is>
          <t xml:space="preserve">Амортизация плюс текущие расходы. Без налогов и эквайринга.</t>
        </is>
      </c>
      <c r="G32">
        <v>562667.78</v>
      </c>
      <c r="H32" t="str">
        <f>IF(D32="","—",IF(ABS(D32-G32)&lt;1,"да","НЕТ"))</f>
        <v>да</v>
      </c>
    </row>
    <row r="33">
      <c r="A33" t="inlineStr">
        <is>
          <t xml:space="preserve">23</t>
        </is>
      </c>
      <c r="B33" t="inlineStr">
        <is>
          <t xml:space="preserve">Деньги</t>
        </is>
      </c>
      <c r="C33" t="inlineStr">
        <is>
          <t xml:space="preserve">Налоги и взносы</t>
        </is>
      </c>
      <c r="D33">
        <f>CHOOSE(regime_no,'05_Расчёт'!B15,'05_Расчёт'!C15,'05_Расчёт'!D15,'05_Расчёт'!E15,'05_Расчёт'!F15,'05_Расчёт'!G15,'05_Расчёт'!H15)</f>
        <v>102126.74869731208</v>
      </c>
      <c r="E33" t="inlineStr">
        <is>
          <t xml:space="preserve">₽/год</t>
        </is>
      </c>
      <c r="F33" t="inlineStr">
        <is>
          <t xml:space="preserve">По выбранному режиму: налог плюс страховые взносы.</t>
        </is>
      </c>
      <c r="G33">
        <v>102126.75</v>
      </c>
      <c r="H33" t="str">
        <f>IF(D33="","—",IF(ABS(D33-G33)&lt;1,"да","НЕТ"))</f>
        <v>да</v>
      </c>
    </row>
    <row r="34">
      <c r="A34" t="inlineStr">
        <is>
          <t xml:space="preserve">24</t>
        </is>
      </c>
      <c r="B34" t="inlineStr">
        <is>
          <t xml:space="preserve">Деньги</t>
        </is>
      </c>
      <c r="C34" t="inlineStr">
        <is>
          <t xml:space="preserve">Эквайринг</t>
        </is>
      </c>
      <c r="D34">
        <f>'04_Итог'!B8*acquiring</f>
        <v>55148.44429654852</v>
      </c>
      <c r="E34" t="inlineStr">
        <is>
          <t xml:space="preserve">₽/год</t>
        </is>
      </c>
      <c r="F34" t="inlineStr">
        <is>
          <t xml:space="preserve">Ставка эквайринга × доля безналичных платежей × выручка.</t>
        </is>
      </c>
      <c r="G34">
        <v>55148.44</v>
      </c>
      <c r="H34" t="str">
        <f>IF(D34="","—",IF(ABS(D34-G34)&lt;1,"да","НЕТ"))</f>
        <v>да</v>
      </c>
    </row>
    <row r="35">
      <c r="A35" t="inlineStr">
        <is>
          <t xml:space="preserve">25</t>
        </is>
      </c>
      <c r="B35" t="inlineStr">
        <is>
          <t xml:space="preserve">Деньги</t>
        </is>
      </c>
      <c r="C35" t="inlineStr">
        <is>
          <t xml:space="preserve">Себестоимость часа съёмки</t>
        </is>
      </c>
      <c r="E35" t="inlineStr">
        <is>
          <t xml:space="preserve">₽/ч</t>
        </is>
      </c>
      <c r="F35" t="inlineStr">
        <is>
          <t xml:space="preserve">Все затраты дела, налоги и эквайринг ÷ съёмочные часы. в книге нет параметра — достроить.</t>
        </is>
      </c>
      <c r="G35">
        <v>3323.84</v>
      </c>
    </row>
    <row r="36">
      <c r="A36" t="inlineStr">
        <is>
          <t xml:space="preserve">26</t>
        </is>
      </c>
      <c r="B36" t="inlineStr">
        <is>
          <t xml:space="preserve">Деньги</t>
        </is>
      </c>
      <c r="C36" t="inlineStr">
        <is>
          <t xml:space="preserve">Наценка к себестоимости</t>
        </is>
      </c>
      <c r="E36" t="inlineStr">
        <is>
          <t xml:space="preserve">%</t>
        </is>
      </c>
      <c r="F36" t="inlineStr">
        <is>
          <t xml:space="preserve">На сколько процентов ставка часа выше себестоимости часа. в книге нет параметра — достроить.</t>
        </is>
      </c>
      <c r="G36">
        <v>183.71</v>
      </c>
    </row>
    <row r="37">
      <c r="A37" t="inlineStr">
        <is>
          <t xml:space="preserve">27</t>
        </is>
      </c>
      <c r="B37" t="inlineStr">
        <is>
          <t xml:space="preserve">Деньги</t>
        </is>
      </c>
      <c r="C37" t="inlineStr">
        <is>
          <t xml:space="preserve">Точка безубыточности</t>
        </is>
      </c>
      <c r="D37">
        <f>'04_Итог'!B12</f>
        <v>609607.5633286901</v>
      </c>
      <c r="E37" t="inlineStr">
        <is>
          <t xml:space="preserve">₽/год</t>
        </is>
      </c>
      <c r="F37" t="inlineStr">
        <is>
          <t xml:space="preserve">Выручка, при которой доход на руки равен нулю: покрыты только расходы и налоги.</t>
        </is>
      </c>
      <c r="G37">
        <v>609607.56</v>
      </c>
      <c r="H37" t="str">
        <f>IF(D37="","—",IF(ABS(D37-G37)&lt;1,"да","НЕТ"))</f>
        <v>да</v>
      </c>
    </row>
    <row r="38">
      <c r="A38" t="inlineStr">
        <is>
          <t xml:space="preserve">28</t>
        </is>
      </c>
      <c r="B38" t="inlineStr">
        <is>
          <t xml:space="preserve">Деньги</t>
        </is>
      </c>
      <c r="C38" t="inlineStr">
        <is>
          <t xml:space="preserve">Ставка в ноль</t>
        </is>
      </c>
      <c r="E38" t="inlineStr">
        <is>
          <t xml:space="preserve">₽/ч</t>
        </is>
      </c>
      <c r="F38" t="inlineStr">
        <is>
          <t xml:space="preserve">Точка безубыточности ÷ съёмочные часы. в книге нет параметра — достроить.</t>
        </is>
      </c>
      <c r="G38">
        <v>2814.44</v>
      </c>
    </row>
    <row r="39">
      <c r="A39" t="inlineStr">
        <is>
          <t xml:space="preserve">29</t>
        </is>
      </c>
      <c r="B39" t="inlineStr">
        <is>
          <t xml:space="preserve">Деньги</t>
        </is>
      </c>
      <c r="C39" t="inlineStr">
        <is>
          <t xml:space="preserve">Фонд развития</t>
        </is>
      </c>
      <c r="E39" t="inlineStr">
        <is>
          <t xml:space="preserve">₽/год</t>
        </is>
      </c>
      <c r="F39" t="inlineStr">
        <is>
          <t xml:space="preserve">Процент от выручки, откладываемый на развитие. в книге нет параметра — достроить.</t>
        </is>
      </c>
      <c r="G39">
        <v>0</v>
      </c>
    </row>
    <row r="40">
      <c r="A40" t="inlineStr">
        <is>
          <t xml:space="preserve">30</t>
        </is>
      </c>
      <c r="B40" t="inlineStr">
        <is>
          <t xml:space="preserve">Деньги</t>
        </is>
      </c>
      <c r="C40" t="inlineStr">
        <is>
          <t xml:space="preserve">Фонд программы лояльности</t>
        </is>
      </c>
      <c r="E40" t="inlineStr">
        <is>
          <t xml:space="preserve">₽/год</t>
        </is>
      </c>
      <c r="F40" t="inlineStr">
        <is>
          <t xml:space="preserve">Процент от выручки, заложенный на скидки и подарки клиентам. в книге нет параметра — достроить.</t>
        </is>
      </c>
      <c r="G40">
        <v>0</v>
      </c>
    </row>
    <row r="41"/>
    <row r="42">
      <c r="A42" t="inlineStr">
        <is>
          <t xml:space="preserve">ИЗНОС КАМЕРЫ</t>
        </is>
      </c>
    </row>
    <row r="43">
      <c r="A43" t="inlineStr">
        <is>
          <t xml:space="preserve">31</t>
        </is>
      </c>
      <c r="B43" t="inlineStr">
        <is>
          <t xml:space="preserve">Износ камеры</t>
        </is>
      </c>
      <c r="C43" t="inlineStr">
        <is>
          <t xml:space="preserve">Камера</t>
        </is>
      </c>
      <c r="E43" t="inlineStr">
        <is>
          <t xml:space="preserve">—</t>
        </is>
      </c>
      <c r="F43" t="inlineStr">
        <is>
          <t xml:space="preserve">Название камеры из анкеты. в книге нет параметра — достроить.</t>
        </is>
      </c>
      <c r="G43" t="inlineStr">
        <is>
          <t xml:space="preserve">Canon EOS R6 Mark II Body</t>
        </is>
      </c>
    </row>
    <row r="44">
      <c r="A44" t="inlineStr">
        <is>
          <t xml:space="preserve">32</t>
        </is>
      </c>
      <c r="B44" t="inlineStr">
        <is>
          <t xml:space="preserve">Износ камеры</t>
        </is>
      </c>
      <c r="C44" t="inlineStr">
        <is>
          <t xml:space="preserve">Стоимость камеры</t>
        </is>
      </c>
      <c r="E44" t="inlineStr">
        <is>
          <t xml:space="preserve">₽</t>
        </is>
      </c>
      <c r="F44" t="inlineStr">
        <is>
          <t xml:space="preserve">Цена покупки из анкеты. в книге нет параметра — достроить.</t>
        </is>
      </c>
      <c r="G44">
        <v>166999</v>
      </c>
    </row>
    <row r="45">
      <c r="A45" t="inlineStr">
        <is>
          <t xml:space="preserve">33</t>
        </is>
      </c>
      <c r="B45" t="inlineStr">
        <is>
          <t xml:space="preserve">Износ камеры</t>
        </is>
      </c>
      <c r="C45" t="inlineStr">
        <is>
          <t xml:space="preserve">Срок службы</t>
        </is>
      </c>
      <c r="E45" t="inlineStr">
        <is>
          <t xml:space="preserve">лет</t>
        </is>
      </c>
      <c r="F45" t="inlineStr">
        <is>
          <t xml:space="preserve">Срок из анкеты. в книге нет параметра — достроить.</t>
        </is>
      </c>
      <c r="G45">
        <v>3</v>
      </c>
    </row>
    <row r="46">
      <c r="A46" t="inlineStr">
        <is>
          <t xml:space="preserve">34</t>
        </is>
      </c>
      <c r="B46" t="inlineStr">
        <is>
          <t xml:space="preserve">Износ камеры</t>
        </is>
      </c>
      <c r="C46" t="inlineStr">
        <is>
          <t xml:space="preserve">Амортизация камеры</t>
        </is>
      </c>
      <c r="E46" t="inlineStr">
        <is>
          <t xml:space="preserve">₽/год</t>
        </is>
      </c>
      <c r="F46" t="inlineStr">
        <is>
          <t xml:space="preserve">Стоимость ÷ срок службы. в книге нет параметра — достроить.</t>
        </is>
      </c>
      <c r="G46">
        <v>55666.33</v>
      </c>
    </row>
    <row r="47">
      <c r="A47" t="inlineStr">
        <is>
          <t xml:space="preserve">35</t>
        </is>
      </c>
      <c r="B47" t="inlineStr">
        <is>
          <t xml:space="preserve">Износ камеры</t>
        </is>
      </c>
      <c r="C47" t="inlineStr">
        <is>
          <t xml:space="preserve">Ресурс затвора</t>
        </is>
      </c>
      <c r="E47" t="inlineStr">
        <is>
          <t xml:space="preserve">шт</t>
        </is>
      </c>
      <c r="F47" t="inlineStr">
        <is>
          <t xml:space="preserve">Расчётное число срабатываний по данным производителя. в книге нет параметра — достроить.</t>
        </is>
      </c>
      <c r="G47">
        <v>300000</v>
      </c>
    </row>
    <row r="48">
      <c r="A48" t="inlineStr">
        <is>
          <t xml:space="preserve">36</t>
        </is>
      </c>
      <c r="B48" t="inlineStr">
        <is>
          <t xml:space="preserve">Износ камеры</t>
        </is>
      </c>
      <c r="C48" t="inlineStr">
        <is>
          <t xml:space="preserve">Срабатываний за год</t>
        </is>
      </c>
      <c r="E48" t="inlineStr">
        <is>
          <t xml:space="preserve">шт/год</t>
        </is>
      </c>
      <c r="F48" t="inlineStr">
        <is>
          <t xml:space="preserve">Срабатываний за час съёмки × съёмочные часы. в книге нет параметра — достроить.</t>
        </is>
      </c>
      <c r="G48">
        <v>75810</v>
      </c>
    </row>
    <row r="49">
      <c r="A49" t="inlineStr">
        <is>
          <t xml:space="preserve">37</t>
        </is>
      </c>
      <c r="B49" t="inlineStr">
        <is>
          <t xml:space="preserve">Износ камеры</t>
        </is>
      </c>
      <c r="C49" t="inlineStr">
        <is>
          <t xml:space="preserve">Выработка ресурса</t>
        </is>
      </c>
      <c r="E49" t="inlineStr">
        <is>
          <t xml:space="preserve">%/год</t>
        </is>
      </c>
      <c r="F49" t="inlineStr">
        <is>
          <t xml:space="preserve">Срабатываний за год ÷ ресурс затвора. в книге нет параметра — достроить.</t>
        </is>
      </c>
      <c r="G49">
        <v>73.43</v>
      </c>
    </row>
    <row r="50"/>
    <row r="51">
      <c r="A51" t="inlineStr">
        <is>
          <t xml:space="preserve">ЗАГРУЗКА И СРАВНЕНИЕ СТАВОК</t>
        </is>
      </c>
    </row>
    <row r="52">
      <c r="A52" t="inlineStr">
        <is>
          <t xml:space="preserve">38</t>
        </is>
      </c>
      <c r="B52" t="inlineStr">
        <is>
          <t xml:space="preserve">Сравнение</t>
        </is>
      </c>
      <c r="C52" t="inlineStr">
        <is>
          <t xml:space="preserve">Текущая ставка</t>
        </is>
      </c>
      <c r="D52">
        <f>current_rate</f>
        <v>6000.0</v>
      </c>
      <c r="E52" t="inlineStr">
        <is>
          <t xml:space="preserve">₽/ч</t>
        </is>
      </c>
      <c r="F52" t="inlineStr">
        <is>
          <t xml:space="preserve">Ставка, по которой человек работает сейчас. Для сравнения.</t>
        </is>
      </c>
      <c r="G52">
        <v>6000</v>
      </c>
      <c r="H52" t="str">
        <f>IF(D52="","—",IF(ABS(D52-G52)&lt;1,"да","НЕТ"))</f>
        <v>да</v>
      </c>
    </row>
    <row r="53">
      <c r="A53" t="inlineStr">
        <is>
          <t xml:space="preserve">39</t>
        </is>
      </c>
      <c r="B53" t="inlineStr">
        <is>
          <t xml:space="preserve">Сравнение</t>
        </is>
      </c>
      <c r="C53" t="inlineStr">
        <is>
          <t xml:space="preserve">Съёмок в год при текущей ставке</t>
        </is>
      </c>
      <c r="E53" t="inlineStr">
        <is>
          <t xml:space="preserve">шт/год</t>
        </is>
      </c>
      <c r="F53" t="inlineStr">
        <is>
          <t xml:space="preserve">Сколько съёмок нужно провести при текущей ставке, чтобы получить желаемый доход. в книге нет параметра — достроить.</t>
        </is>
      </c>
      <c r="G53">
        <v>340.42</v>
      </c>
    </row>
    <row r="54">
      <c r="A54" t="inlineStr">
        <is>
          <t xml:space="preserve">40</t>
        </is>
      </c>
      <c r="B54" t="inlineStr">
        <is>
          <t xml:space="preserve">Сравнение</t>
        </is>
      </c>
      <c r="C54" t="inlineStr">
        <is>
          <t xml:space="preserve">Часов в год при текущей ставке</t>
        </is>
      </c>
      <c r="E54" t="inlineStr">
        <is>
          <t xml:space="preserve">ч/год</t>
        </is>
      </c>
      <c r="F54" t="inlineStr">
        <is>
          <t xml:space="preserve">Столько времени займут эти съёмки со всей обработкой и работой с клиентами. в книге нет параметра — достроить.</t>
        </is>
      </c>
      <c r="G54">
        <v>2152.11</v>
      </c>
    </row>
    <row r="55">
      <c r="A55" t="inlineStr">
        <is>
          <t xml:space="preserve">41</t>
        </is>
      </c>
      <c r="B55" t="inlineStr">
        <is>
          <t xml:space="preserve">Сравнение</t>
        </is>
      </c>
      <c r="C55" t="inlineStr">
        <is>
          <t xml:space="preserve">Съёмок в год при расчётной ставке</t>
        </is>
      </c>
      <c r="E55" t="inlineStr">
        <is>
          <t xml:space="preserve">шт/год</t>
        </is>
      </c>
      <c r="F55" t="inlineStr">
        <is>
          <t xml:space="preserve">То же для расчётной ставки. в книге нет параметра — достроить.</t>
        </is>
      </c>
      <c r="G55">
        <v>216.6</v>
      </c>
    </row>
    <row r="56">
      <c r="A56" t="inlineStr">
        <is>
          <t xml:space="preserve">42</t>
        </is>
      </c>
      <c r="B56" t="inlineStr">
        <is>
          <t xml:space="preserve">Сравнение</t>
        </is>
      </c>
      <c r="C56" t="inlineStr">
        <is>
          <t xml:space="preserve">Часов в год при расчётной ставке</t>
        </is>
      </c>
      <c r="E56" t="inlineStr">
        <is>
          <t xml:space="preserve">ч/год</t>
        </is>
      </c>
      <c r="F56" t="inlineStr">
        <is>
          <t xml:space="preserve">То же для расчётной ставки. в книге нет параметра — достроить.</t>
        </is>
      </c>
      <c r="G56">
        <v>1533</v>
      </c>
    </row>
    <row r="57">
      <c r="A57" t="inlineStr">
        <is>
          <t xml:space="preserve">43</t>
        </is>
      </c>
      <c r="B57" t="inlineStr">
        <is>
          <t xml:space="preserve">Сравнение</t>
        </is>
      </c>
      <c r="C57" t="inlineStr">
        <is>
          <t xml:space="preserve">Съёмок в год при ставке в ноль</t>
        </is>
      </c>
      <c r="E57" t="inlineStr">
        <is>
          <t xml:space="preserve">шт/год</t>
        </is>
      </c>
      <c r="F57" t="inlineStr">
        <is>
          <t xml:space="preserve">То же для ставки в ноль. в книге нет параметра — достроить.</t>
        </is>
      </c>
      <c r="G57">
        <v>725.73</v>
      </c>
    </row>
    <row r="58">
      <c r="A58" t="inlineStr">
        <is>
          <t xml:space="preserve">44</t>
        </is>
      </c>
      <c r="B58" t="inlineStr">
        <is>
          <t xml:space="preserve">Сравнение</t>
        </is>
      </c>
      <c r="C58" t="inlineStr">
        <is>
          <t xml:space="preserve">Часов в год при ставке в ноль</t>
        </is>
      </c>
      <c r="E58" t="inlineStr">
        <is>
          <t xml:space="preserve">ч/год</t>
        </is>
      </c>
      <c r="F58" t="inlineStr">
        <is>
          <t xml:space="preserve">То же для ставки в ноль. в книге нет параметра — достроить.</t>
        </is>
      </c>
      <c r="G58">
        <v>4078.67</v>
      </c>
    </row>
    <row r="59">
      <c r="A59" t="inlineStr">
        <is>
          <t xml:space="preserve">45</t>
        </is>
      </c>
      <c r="B59" t="inlineStr">
        <is>
          <t xml:space="preserve">Сравнение</t>
        </is>
      </c>
      <c r="C59" t="inlineStr">
        <is>
          <t xml:space="preserve">Остаётся на руки при текущей ставке</t>
        </is>
      </c>
      <c r="E59" t="inlineStr">
        <is>
          <t xml:space="preserve">₽/год</t>
        </is>
      </c>
      <c r="F59" t="inlineStr">
        <is>
          <t xml:space="preserve">Выручка по текущей ставке минус расходы дела, налоги и эквайринг. в книге нет параметра — достроить.</t>
        </is>
      </c>
      <c r="G59">
        <v>636863.02</v>
      </c>
    </row>
    <row r="60">
      <c r="A60" t="inlineStr">
        <is>
          <t xml:space="preserve">46</t>
        </is>
      </c>
      <c r="B60" t="inlineStr">
        <is>
          <t xml:space="preserve">Сравнение</t>
        </is>
      </c>
      <c r="C60" t="inlineStr">
        <is>
          <t xml:space="preserve">Недополученный доход</t>
        </is>
      </c>
      <c r="E60" t="inlineStr">
        <is>
          <t xml:space="preserve">₽/год</t>
        </is>
      </c>
      <c r="F60" t="inlineStr">
        <is>
          <t xml:space="preserve">Желаемый доход минус то  что остаётся на руки при текущей ставке: 1 322 592 − 636 863. в книге нет параметра — достроить.</t>
        </is>
      </c>
      <c r="G60">
        <v>685728.98</v>
      </c>
    </row>
  </sheetData>
</worksheet>
</file>

<file path=xl/worksheets/sheet30.xml><?xml version="1.0" encoding="utf-8"?>
<worksheet xmlns="http://schemas.openxmlformats.org/spreadsheetml/2006/main">
  <sheetPr>
    <outlinePr summaryBelow="1" summaryRight="1"/>
    <pageSetUpPr/>
  </sheetPr>
  <dimension ref="A1:AB272"/>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заказ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заказ</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простой и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простой и форс-мажоры</t>
        </is>
      </c>
      <c r="H111" t="inlineStr">
        <is>
          <t>CALC-F18</t>
        </is>
      </c>
      <c r="I111" t="inlineStr">
        <is>
          <t>Резерв времени</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времени на простой и форс-мажоры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простой и форс-мажоры</t>
        </is>
      </c>
      <c r="H112" t="inlineStr">
        <is>
          <t>CALC-F18</t>
        </is>
      </c>
      <c r="I112" t="inlineStr">
        <is>
          <t>Резерв времени</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простой и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простой и форс-мажоры</t>
        </is>
      </c>
      <c r="H113" t="inlineStr">
        <is>
          <t>CALC-F18</t>
        </is>
      </c>
      <c r="I113" t="inlineStr">
        <is>
          <t>Резерв времени</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Неэффективное рабочее время</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Резерв времени</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RES-Ny</t>
        </is>
      </c>
      <c r="K208" t="inlineStr">
        <is>
          <t>d.Ny</t>
        </is>
      </c>
      <c r="L208" t="inlineStr">
        <is>
          <t>Ny</t>
        </is>
      </c>
      <c r="M208" t="inlineStr">
        <is>
          <t>Желаемый доход за год</t>
        </is>
      </c>
      <c r="N208" t="inlineStr">
        <is>
          <t>result</t>
        </is>
      </c>
      <c r="O208" t="inlineStr">
        <is>
          <t>result</t>
        </is>
      </c>
      <c r="P208" t="inlineStr">
        <is>
          <t>Результат расчёта или служебное поле</t>
        </is>
      </c>
      <c r="R208" t="inlineStr">
        <is>
          <t>1322592</t>
        </is>
      </c>
      <c r="T208" t="inlineStr">
        <is>
          <t>создаётся при каждом calc()</t>
        </is>
      </c>
      <c r="U208" t="inlineStr">
        <is>
          <t>d.Ny</t>
        </is>
      </c>
      <c r="V208" t="inlineStr">
        <is>
          <t>Доход и стоимость</t>
        </is>
      </c>
      <c r="W208" t="inlineStr">
        <is>
          <t>Доход и стоимость</t>
        </is>
      </c>
      <c r="Y208" t="inlineStr">
        <is>
          <t>income_month×12</t>
        </is>
      </c>
      <c r="Z208" t="inlineStr">
        <is>
          <t>hero, card01, card04, card05</t>
        </is>
      </c>
      <c r="AA208" t="inlineStr">
        <is>
          <t>НЕТ — добавить в глоссарий</t>
        </is>
      </c>
      <c r="AB208" s="229" t="inlineStr">
        <is>
          <t>RULE-001; RULE-002; RULE-015</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RES-R</t>
        </is>
      </c>
      <c r="K209" t="inlineStr">
        <is>
          <t>d.R</t>
        </is>
      </c>
      <c r="L209" t="inlineStr">
        <is>
          <t>R</t>
        </is>
      </c>
      <c r="M209" t="inlineStr">
        <is>
          <t>Необходимая годовая выручка</t>
        </is>
      </c>
      <c r="N209" t="inlineStr">
        <is>
          <t>result</t>
        </is>
      </c>
      <c r="O209" t="inlineStr">
        <is>
          <t>result</t>
        </is>
      </c>
      <c r="P209" t="inlineStr">
        <is>
          <t>Результат расчёта или служебное поле</t>
        </is>
      </c>
      <c r="R209" t="inlineStr">
        <is>
          <t>2042534.9739462414</t>
        </is>
      </c>
      <c r="T209" t="inlineStr">
        <is>
          <t>создаётся при каждом calc()</t>
        </is>
      </c>
      <c r="U209" t="inlineStr">
        <is>
          <t>d.R</t>
        </is>
      </c>
      <c r="V209" t="inlineStr">
        <is>
          <t>Доход и стоимость</t>
        </is>
      </c>
      <c r="W209" t="inlineStr">
        <is>
          <t>Доход и стоимость</t>
        </is>
      </c>
      <c r="Y209" t="inlineStr">
        <is>
          <t>solve R×D−C−taxOf(R)=Ny</t>
        </is>
      </c>
      <c r="Z209" t="inlineStr">
        <is>
          <t>hero, card01, card04, card05, card06, card07, детализация</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RES-cur</t>
        </is>
      </c>
      <c r="K210" t="inlineStr">
        <is>
          <t>d.cur</t>
        </is>
      </c>
      <c r="L210" t="inlineStr">
        <is>
          <t>cur</t>
        </is>
      </c>
      <c r="M210" t="inlineStr">
        <is>
          <t>cur</t>
        </is>
      </c>
      <c r="N210" t="inlineStr">
        <is>
          <t>result</t>
        </is>
      </c>
      <c r="O210" t="inlineStr">
        <is>
          <t>result</t>
        </is>
      </c>
      <c r="P210" t="inlineStr">
        <is>
          <t>Результат расчёта или служебное поле</t>
        </is>
      </c>
      <c r="R210" t="inlineStr">
        <is>
          <t>6000</t>
        </is>
      </c>
      <c r="T210" t="inlineStr">
        <is>
          <t>создаётся при каждом calc()</t>
        </is>
      </c>
      <c r="U210" t="inlineStr">
        <is>
          <t>d.cur</t>
        </is>
      </c>
      <c r="V210" t="inlineStr">
        <is>
          <t>Доход и стоимость</t>
        </is>
      </c>
      <c r="W210" t="inlineStr">
        <is>
          <t>Доход и стоимость</t>
        </is>
      </c>
      <c r="Z210" t="inlineStr">
        <is>
          <t>report.html / детализация</t>
        </is>
      </c>
      <c r="AA210" t="inlineStr">
        <is>
          <t>НЕТ — добавить в глоссарий</t>
        </is>
      </c>
      <c r="AB210" s="229" t="inlineStr">
        <is>
          <t>RULE-001; RULE-002; RULE-014</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RES-Rc</t>
        </is>
      </c>
      <c r="K211" t="inlineStr">
        <is>
          <t>d.Rc</t>
        </is>
      </c>
      <c r="L211" t="inlineStr">
        <is>
          <t>Rc</t>
        </is>
      </c>
      <c r="M211" t="inlineStr">
        <is>
          <t>Rc</t>
        </is>
      </c>
      <c r="N211" t="inlineStr">
        <is>
          <t>result</t>
        </is>
      </c>
      <c r="O211" t="inlineStr">
        <is>
          <t>result</t>
        </is>
      </c>
      <c r="P211" t="inlineStr">
        <is>
          <t>Результат расчёта или служебное поле</t>
        </is>
      </c>
      <c r="R211" t="inlineStr">
        <is>
          <t>1299600</t>
        </is>
      </c>
      <c r="T211" t="inlineStr">
        <is>
          <t>создаётся при каждом calc()</t>
        </is>
      </c>
      <c r="U211" t="inlineStr">
        <is>
          <t>d.Rc</t>
        </is>
      </c>
      <c r="V211" t="inlineStr">
        <is>
          <t>Доход и стоимость</t>
        </is>
      </c>
      <c r="W211" t="inlineStr">
        <is>
          <t>Доход и стоимость</t>
        </is>
      </c>
      <c r="Y211" t="inlineStr">
        <is>
          <t>cur×sh</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RES-leftC</t>
        </is>
      </c>
      <c r="K212" t="inlineStr">
        <is>
          <t>d.leftC</t>
        </is>
      </c>
      <c r="L212" t="inlineStr">
        <is>
          <t>leftC</t>
        </is>
      </c>
      <c r="M212" t="inlineStr">
        <is>
          <t>Совместимый финансовый результат текущего сценария</t>
        </is>
      </c>
      <c r="N212" t="inlineStr">
        <is>
          <t>result</t>
        </is>
      </c>
      <c r="O212" t="inlineStr">
        <is>
          <t>result</t>
        </is>
      </c>
      <c r="P212" t="inlineStr">
        <is>
          <t>Совместимое поле: содержит полный текущий финансовый результат и может быть отрицательным</t>
        </is>
      </c>
      <c r="R212" t="inlineStr">
        <is>
          <t>636863.0190476191</t>
        </is>
      </c>
      <c r="T212" t="inlineStr">
        <is>
          <t>создаётся при каждом calc()</t>
        </is>
      </c>
      <c r="U212" t="inlineStr">
        <is>
          <t>d.leftC</t>
        </is>
      </c>
      <c r="V212" t="inlineStr">
        <is>
          <t>Доход и стоимость</t>
        </is>
      </c>
      <c r="W212" t="inlineStr">
        <is>
          <t>Доход и стоимость</t>
        </is>
      </c>
      <c r="Y212" t="inlineStr">
        <is>
          <t>currentResult</t>
        </is>
      </c>
      <c r="Z212" t="inlineStr">
        <is>
          <t>report.html / детализация</t>
        </is>
      </c>
      <c r="AA212" t="inlineStr">
        <is>
          <t>НЕТ — добавить в глоссарий</t>
        </is>
      </c>
      <c r="AB212" s="229" t="inlineStr">
        <is>
          <t>RULE-001; RULE-002; RULE-014; RULE-011; RULE-012; RULE-013</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RES-Rb</t>
        </is>
      </c>
      <c r="K213" t="inlineStr">
        <is>
          <t>d.Rb</t>
        </is>
      </c>
      <c r="L213" t="inlineStr">
        <is>
          <t>Rb</t>
        </is>
      </c>
      <c r="M213" t="inlineStr">
        <is>
          <t>Выручка безубыточности</t>
        </is>
      </c>
      <c r="N213" t="inlineStr">
        <is>
          <t>result</t>
        </is>
      </c>
      <c r="O213" t="inlineStr">
        <is>
          <t>result</t>
        </is>
      </c>
      <c r="P213" t="inlineStr">
        <is>
          <t>Результат расчёта или служебное поле</t>
        </is>
      </c>
      <c r="R213" t="inlineStr">
        <is>
          <t>609607.5633286901</t>
        </is>
      </c>
      <c r="T213" t="inlineStr">
        <is>
          <t>создаётся при каждом calc()</t>
        </is>
      </c>
      <c r="U213" t="inlineStr">
        <is>
          <t>d.Rb</t>
        </is>
      </c>
      <c r="V213" t="inlineStr">
        <is>
          <t>Доход и стоимость</t>
        </is>
      </c>
      <c r="W213" t="inlineStr">
        <is>
          <t>Доход и стоимость</t>
        </is>
      </c>
      <c r="Y213" t="inlineStr">
        <is>
          <t>solve target=0</t>
        </is>
      </c>
      <c r="Z213" t="inlineStr">
        <is>
          <t>report.html / детализация</t>
        </is>
      </c>
      <c r="AA213" t="inlineStr">
        <is>
          <t>НЕТ — добавить в глоссарий</t>
        </is>
      </c>
      <c r="AB213" s="229" t="inlineStr">
        <is>
          <t>RULE-001; RULE-002; RULE-016</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RES-curRate</t>
        </is>
      </c>
      <c r="K214" t="inlineStr">
        <is>
          <t>d.curRate</t>
        </is>
      </c>
      <c r="L214" t="inlineStr">
        <is>
          <t>curRate</t>
        </is>
      </c>
      <c r="M214" t="inlineStr">
        <is>
          <t>curRate</t>
        </is>
      </c>
      <c r="N214" t="inlineStr">
        <is>
          <t>result</t>
        </is>
      </c>
      <c r="O214" t="inlineStr">
        <is>
          <t>result</t>
        </is>
      </c>
      <c r="P214" t="inlineStr">
        <is>
          <t>Результат расчёта или служебное поле</t>
        </is>
      </c>
      <c r="R214" t="inlineStr">
        <is>
          <t>6000</t>
        </is>
      </c>
      <c r="T214" t="inlineStr">
        <is>
          <t>создаётся при каждом calc()</t>
        </is>
      </c>
      <c r="U214" t="inlineStr">
        <is>
          <t>d.curRate</t>
        </is>
      </c>
      <c r="V214" t="inlineStr">
        <is>
          <t>Доход и стоимость</t>
        </is>
      </c>
      <c r="W214" t="inlineStr">
        <is>
          <t>Доход и стоимость</t>
        </is>
      </c>
      <c r="Z214" t="inlineStr">
        <is>
          <t>report.html / детализация</t>
        </is>
      </c>
      <c r="AA214" t="inlineStr">
        <is>
          <t>НЕТ — добавить в глоссарий</t>
        </is>
      </c>
      <c r="AB214" s="229" t="inlineStr">
        <is>
          <t>RULE-001; RULE-014</t>
        </is>
      </c>
    </row>
    <row r="215">
      <c r="A215" t="inlineStr">
        <is>
          <t>БЛОК · Налоги и банк [MODEL-08]</t>
        </is>
      </c>
      <c r="AB215" s="229" t="n"/>
    </row>
    <row r="216">
      <c r="A216" t="inlineStr">
        <is>
          <t>№</t>
        </is>
      </c>
      <c r="B216" t="inlineStr">
        <is>
          <t>Страница ID</t>
        </is>
      </c>
      <c r="C216" t="inlineStr">
        <is>
          <t>Страница</t>
        </is>
      </c>
      <c r="D216" t="inlineStr">
        <is>
          <t>Порядок</t>
        </is>
      </c>
      <c r="E216" t="inlineStr">
        <is>
          <t>Блок ID</t>
        </is>
      </c>
      <c r="F216" t="inlineStr">
        <is>
          <t>№ блока</t>
        </is>
      </c>
      <c r="G216" t="inlineStr">
        <is>
          <t>Название блока</t>
        </is>
      </c>
      <c r="H216" t="inlineStr">
        <is>
          <t>Форма ID</t>
        </is>
      </c>
      <c r="I216" t="inlineStr">
        <is>
          <t>Название формы</t>
        </is>
      </c>
      <c r="J216" t="inlineStr">
        <is>
          <t>Поле ID реестра</t>
        </is>
      </c>
      <c r="K216" t="inlineStr">
        <is>
          <t>DOM / код ID</t>
        </is>
      </c>
      <c r="L216" t="inlineStr">
        <is>
          <t>Параметр модели</t>
        </is>
      </c>
      <c r="M216" t="inlineStr">
        <is>
          <t>Наименование поля</t>
        </is>
      </c>
      <c r="N216" t="inlineStr">
        <is>
          <t>Тип поля</t>
        </is>
      </c>
      <c r="O216" t="inlineStr">
        <is>
          <t>Роль</t>
        </is>
      </c>
      <c r="P216" t="inlineStr">
        <is>
          <t>Что вводим / что означает</t>
        </is>
      </c>
      <c r="Q216" t="inlineStr">
        <is>
          <t>Допустимые ответы / варианты</t>
        </is>
      </c>
      <c r="R216" t="inlineStr">
        <is>
          <t>По умолчанию</t>
        </is>
      </c>
      <c r="S216" t="inlineStr">
        <is>
          <t>Единица</t>
        </is>
      </c>
      <c r="T216" t="inlineStr">
        <is>
          <t>Условие показа / включения</t>
        </is>
      </c>
      <c r="U216" t="inlineStr">
        <is>
          <t>Поле результата d</t>
        </is>
      </c>
      <c r="V216" t="inlineStr">
        <is>
          <t>Группа результата</t>
        </is>
      </c>
      <c r="W216" t="inlineStr">
        <is>
          <t>Подгруппа результата</t>
        </is>
      </c>
      <c r="X216" t="inlineStr">
        <is>
          <t>Группа диаграммы</t>
        </is>
      </c>
      <c r="Y216" t="inlineStr">
        <is>
          <t>Формула / источник</t>
        </is>
      </c>
      <c r="Z216" t="inlineStr">
        <is>
          <t>Где выводится</t>
        </is>
      </c>
      <c r="AA216" t="inlineStr">
        <is>
          <t>Тип есть в глоссарии</t>
        </is>
      </c>
      <c r="AB216" s="229" t="inlineStr">
        <is>
          <t>Правило ID</t>
        </is>
      </c>
    </row>
    <row r="217">
      <c r="A217" t="inlineStr">
        <is>
          <t>155</t>
        </is>
      </c>
      <c r="B217" t="inlineStr">
        <is>
          <t>PAGE-MODEL</t>
        </is>
      </c>
      <c r="C217" t="inlineStr">
        <is>
          <t>Модель · calc()</t>
        </is>
      </c>
      <c r="D217" t="inlineStr">
        <is>
          <t>8</t>
        </is>
      </c>
      <c r="E217" t="inlineStr">
        <is>
          <t>MODEL-08</t>
        </is>
      </c>
      <c r="F217" t="inlineStr">
        <is>
          <t>—</t>
        </is>
      </c>
      <c r="G217" t="inlineStr">
        <is>
          <t>Налоги и банк</t>
        </is>
      </c>
      <c r="H217" t="inlineStr">
        <is>
          <t>CALC-RESULT</t>
        </is>
      </c>
      <c r="I217" t="inlineStr">
        <is>
          <t>Результаты calc()</t>
        </is>
      </c>
      <c r="J217" t="inlineStr">
        <is>
          <t>RES-taxAll</t>
        </is>
      </c>
      <c r="K217" t="inlineStr">
        <is>
          <t>d.taxAll</t>
        </is>
      </c>
      <c r="L217" t="inlineStr">
        <is>
          <t>taxAll</t>
        </is>
      </c>
      <c r="M217" t="inlineStr">
        <is>
          <t>Налоги и взносы</t>
        </is>
      </c>
      <c r="N217" t="inlineStr">
        <is>
          <t>result</t>
        </is>
      </c>
      <c r="O217" t="inlineStr">
        <is>
          <t>result</t>
        </is>
      </c>
      <c r="P217" t="inlineStr">
        <is>
          <t>Результат расчёта или служебное поле</t>
        </is>
      </c>
      <c r="R217" t="inlineStr">
        <is>
          <t>102126.74869731208</t>
        </is>
      </c>
      <c r="T217" t="inlineStr">
        <is>
          <t>создаётся при каждом calc()</t>
        </is>
      </c>
      <c r="U217" t="inlineStr">
        <is>
          <t>d.taxAll</t>
        </is>
      </c>
      <c r="V217" t="inlineStr">
        <is>
          <t>Налоги и банк</t>
        </is>
      </c>
      <c r="W217" t="inlineStr">
        <is>
          <t>Налоги</t>
        </is>
      </c>
      <c r="X217" t="inlineStr">
        <is>
          <t>Расходы · налоги</t>
        </is>
      </c>
      <c r="Y217" t="inlineStr">
        <is>
          <t>taxOf(R)</t>
        </is>
      </c>
      <c r="Z217" t="inlineStr">
        <is>
          <t>hero, card01, card04, card07</t>
        </is>
      </c>
      <c r="AA217" t="inlineStr">
        <is>
          <t>НЕТ — добавить в глоссарий</t>
        </is>
      </c>
      <c r="AB217" s="229" t="inlineStr">
        <is>
          <t>RULE-001; RULE-002; RULE-015; RULE-017</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RES-aq</t>
        </is>
      </c>
      <c r="K218" t="inlineStr">
        <is>
          <t>d.aq</t>
        </is>
      </c>
      <c r="L218" t="inlineStr">
        <is>
          <t>aq</t>
        </is>
      </c>
      <c r="M218" t="inlineStr">
        <is>
          <t>Эквайринг</t>
        </is>
      </c>
      <c r="N218" t="inlineStr">
        <is>
          <t>result</t>
        </is>
      </c>
      <c r="O218" t="inlineStr">
        <is>
          <t>result</t>
        </is>
      </c>
      <c r="P218" t="inlineStr">
        <is>
          <t>Результат расчёта или служебное поле</t>
        </is>
      </c>
      <c r="R218" t="inlineStr">
        <is>
          <t>55148.44429654853</t>
        </is>
      </c>
      <c r="T218" t="inlineStr">
        <is>
          <t>создаётся при каждом calc()</t>
        </is>
      </c>
      <c r="U218" t="inlineStr">
        <is>
          <t>d.aq</t>
        </is>
      </c>
      <c r="V218" t="inlineStr">
        <is>
          <t>Налоги и банк</t>
        </is>
      </c>
      <c r="W218" t="inlineStr">
        <is>
          <t>Эквайринг</t>
        </is>
      </c>
      <c r="X218" t="inlineStr">
        <is>
          <t>Расходы · эквайринг</t>
        </is>
      </c>
      <c r="Y218" t="inlineStr">
        <is>
          <t>R×a</t>
        </is>
      </c>
      <c r="Z218" t="inlineStr">
        <is>
          <t>hero, card01, card04</t>
        </is>
      </c>
      <c r="AA218" t="inlineStr">
        <is>
          <t>НЕТ — добавить в глоссарий</t>
        </is>
      </c>
      <c r="AB218" s="229" t="inlineStr">
        <is>
          <t>RULE-001; RULE-002; RULE-015</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RES-taxC</t>
        </is>
      </c>
      <c r="K219" t="inlineStr">
        <is>
          <t>d.taxC</t>
        </is>
      </c>
      <c r="L219" t="inlineStr">
        <is>
          <t>taxC</t>
        </is>
      </c>
      <c r="M219" t="inlineStr">
        <is>
          <t>taxC</t>
        </is>
      </c>
      <c r="N219" t="inlineStr">
        <is>
          <t>result</t>
        </is>
      </c>
      <c r="O219" t="inlineStr">
        <is>
          <t>result</t>
        </is>
      </c>
      <c r="P219" t="inlineStr">
        <is>
          <t>Результат расчёта или служебное поле</t>
        </is>
      </c>
      <c r="R219" t="inlineStr">
        <is>
          <t>64980</t>
        </is>
      </c>
      <c r="T219" t="inlineStr">
        <is>
          <t>создаётся при каждом calc()</t>
        </is>
      </c>
      <c r="U219" t="inlineStr">
        <is>
          <t>d.taxC</t>
        </is>
      </c>
      <c r="V219" t="inlineStr">
        <is>
          <t>Налоги и банк</t>
        </is>
      </c>
      <c r="W219" t="inlineStr">
        <is>
          <t>Налоги и банк</t>
        </is>
      </c>
      <c r="Z219" t="inlineStr">
        <is>
          <t>report.html / детализация</t>
        </is>
      </c>
      <c r="AA219" t="inlineStr">
        <is>
          <t>НЕТ — добавить в глоссарий</t>
        </is>
      </c>
      <c r="AB219" s="229" t="inlineStr">
        <is>
          <t>RULE-001; RULE-002; RULE-014; RULE-017</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RES-aqC</t>
        </is>
      </c>
      <c r="K220" t="inlineStr">
        <is>
          <t>d.aqC</t>
        </is>
      </c>
      <c r="L220" t="inlineStr">
        <is>
          <t>aqC</t>
        </is>
      </c>
      <c r="M220" t="inlineStr">
        <is>
          <t>aqC</t>
        </is>
      </c>
      <c r="N220" t="inlineStr">
        <is>
          <t>result</t>
        </is>
      </c>
      <c r="O220" t="inlineStr">
        <is>
          <t>result</t>
        </is>
      </c>
      <c r="P220" t="inlineStr">
        <is>
          <t>Результат расчёта или служебное поле</t>
        </is>
      </c>
      <c r="R220" t="inlineStr">
        <is>
          <t>35089.200000000004</t>
        </is>
      </c>
      <c r="T220" t="inlineStr">
        <is>
          <t>создаётся при каждом calc()</t>
        </is>
      </c>
      <c r="U220" t="inlineStr">
        <is>
          <t>d.aqC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RES-taxB</t>
        </is>
      </c>
      <c r="K221" t="inlineStr">
        <is>
          <t>d.taxB</t>
        </is>
      </c>
      <c r="L221" t="inlineStr">
        <is>
          <t>taxB</t>
        </is>
      </c>
      <c r="M221" t="inlineStr">
        <is>
          <t>taxB</t>
        </is>
      </c>
      <c r="N221" t="inlineStr">
        <is>
          <t>result</t>
        </is>
      </c>
      <c r="O221" t="inlineStr">
        <is>
          <t>result</t>
        </is>
      </c>
      <c r="P221" t="inlineStr">
        <is>
          <t>Результат расчёта или служебное поле</t>
        </is>
      </c>
      <c r="R221" t="inlineStr">
        <is>
          <t>30480.378166434508</t>
        </is>
      </c>
      <c r="T221" t="inlineStr">
        <is>
          <t>создаётся при каждом calc()</t>
        </is>
      </c>
      <c r="U221" t="inlineStr">
        <is>
          <t>d.taxB</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RULE-016; RULE-017</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RES-aqB</t>
        </is>
      </c>
      <c r="K222" t="inlineStr">
        <is>
          <t>d.aqB</t>
        </is>
      </c>
      <c r="L222" t="inlineStr">
        <is>
          <t>aqB</t>
        </is>
      </c>
      <c r="M222" t="inlineStr">
        <is>
          <t>aqB</t>
        </is>
      </c>
      <c r="N222" t="inlineStr">
        <is>
          <t>result</t>
        </is>
      </c>
      <c r="O222" t="inlineStr">
        <is>
          <t>result</t>
        </is>
      </c>
      <c r="P222" t="inlineStr">
        <is>
          <t>Результат расчёта или служебное поле</t>
        </is>
      </c>
      <c r="R222" t="inlineStr">
        <is>
          <t>16459.404209874636</t>
        </is>
      </c>
      <c r="T222" t="inlineStr">
        <is>
          <t>создаётся при каждом calc()</t>
        </is>
      </c>
      <c r="U222" t="inlineStr">
        <is>
          <t>d.aqB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t>
        </is>
      </c>
    </row>
    <row r="223">
      <c r="A223" t="inlineStr">
        <is>
          <t>БЛОК · Резервы [MODEL-09]</t>
        </is>
      </c>
      <c r="AB223" s="229" t="n"/>
    </row>
    <row r="224">
      <c r="A224" t="inlineStr">
        <is>
          <t>№</t>
        </is>
      </c>
      <c r="B224" t="inlineStr">
        <is>
          <t>Страница ID</t>
        </is>
      </c>
      <c r="C224" t="inlineStr">
        <is>
          <t>Страница</t>
        </is>
      </c>
      <c r="D224" t="inlineStr">
        <is>
          <t>Порядок</t>
        </is>
      </c>
      <c r="E224" t="inlineStr">
        <is>
          <t>Блок ID</t>
        </is>
      </c>
      <c r="F224" t="inlineStr">
        <is>
          <t>№ блока</t>
        </is>
      </c>
      <c r="G224" t="inlineStr">
        <is>
          <t>Название блока</t>
        </is>
      </c>
      <c r="H224" t="inlineStr">
        <is>
          <t>Форма ID</t>
        </is>
      </c>
      <c r="I224" t="inlineStr">
        <is>
          <t>Название формы</t>
        </is>
      </c>
      <c r="J224" t="inlineStr">
        <is>
          <t>Поле ID реестра</t>
        </is>
      </c>
      <c r="K224" t="inlineStr">
        <is>
          <t>DOM / код ID</t>
        </is>
      </c>
      <c r="L224" t="inlineStr">
        <is>
          <t>Параметр модели</t>
        </is>
      </c>
      <c r="M224" t="inlineStr">
        <is>
          <t>Наименование поля</t>
        </is>
      </c>
      <c r="N224" t="inlineStr">
        <is>
          <t>Тип поля</t>
        </is>
      </c>
      <c r="O224" t="inlineStr">
        <is>
          <t>Роль</t>
        </is>
      </c>
      <c r="P224" t="inlineStr">
        <is>
          <t>Что вводим / что означает</t>
        </is>
      </c>
      <c r="Q224" t="inlineStr">
        <is>
          <t>Допустимые ответы / варианты</t>
        </is>
      </c>
      <c r="R224" t="inlineStr">
        <is>
          <t>По умолчанию</t>
        </is>
      </c>
      <c r="S224" t="inlineStr">
        <is>
          <t>Единица</t>
        </is>
      </c>
      <c r="T224" t="inlineStr">
        <is>
          <t>Условие показа / включения</t>
        </is>
      </c>
      <c r="U224" t="inlineStr">
        <is>
          <t>Поле результата d</t>
        </is>
      </c>
      <c r="V224" t="inlineStr">
        <is>
          <t>Группа результата</t>
        </is>
      </c>
      <c r="W224" t="inlineStr">
        <is>
          <t>Подгруппа результата</t>
        </is>
      </c>
      <c r="X224" t="inlineStr">
        <is>
          <t>Группа диаграммы</t>
        </is>
      </c>
      <c r="Y224" t="inlineStr">
        <is>
          <t>Формула / источник</t>
        </is>
      </c>
      <c r="Z224" t="inlineStr">
        <is>
          <t>Где выводится</t>
        </is>
      </c>
      <c r="AA224" t="inlineStr">
        <is>
          <t>Тип есть в глоссарии</t>
        </is>
      </c>
      <c r="AB224" s="229" t="inlineStr">
        <is>
          <t>Правило ID</t>
        </is>
      </c>
    </row>
    <row r="225">
      <c r="A225" t="inlineStr">
        <is>
          <t>161</t>
        </is>
      </c>
      <c r="B225" t="inlineStr">
        <is>
          <t>PAGE-MODEL</t>
        </is>
      </c>
      <c r="C225" t="inlineStr">
        <is>
          <t>Модель · calc()</t>
        </is>
      </c>
      <c r="D225" t="inlineStr">
        <is>
          <t>9</t>
        </is>
      </c>
      <c r="E225" t="inlineStr">
        <is>
          <t>MODEL-09</t>
        </is>
      </c>
      <c r="F225" t="inlineStr">
        <is>
          <t>—</t>
        </is>
      </c>
      <c r="G225" t="inlineStr">
        <is>
          <t>Резервы</t>
        </is>
      </c>
      <c r="H225" t="inlineStr">
        <is>
          <t>CALC-RESULT</t>
        </is>
      </c>
      <c r="I225" t="inlineStr">
        <is>
          <t>Результаты calc()</t>
        </is>
      </c>
      <c r="J225" t="inlineStr">
        <is>
          <t>RES-fundY</t>
        </is>
      </c>
      <c r="K225" t="inlineStr">
        <is>
          <t>d.fundY</t>
        </is>
      </c>
      <c r="L225" t="inlineStr">
        <is>
          <t>fundY</t>
        </is>
      </c>
      <c r="M225" t="inlineStr">
        <is>
          <t>fundY</t>
        </is>
      </c>
      <c r="N225" t="inlineStr">
        <is>
          <t>result</t>
        </is>
      </c>
      <c r="O225" t="inlineStr">
        <is>
          <t>result</t>
        </is>
      </c>
      <c r="P225" t="inlineStr">
        <is>
          <t>Результат расчёта или служебное поле</t>
        </is>
      </c>
      <c r="R225" t="inlineStr">
        <is>
          <t>0</t>
        </is>
      </c>
      <c r="T225" t="inlineStr">
        <is>
          <t>создаётся при каждом calc()</t>
        </is>
      </c>
      <c r="U225" t="inlineStr">
        <is>
          <t>d.fundY</t>
        </is>
      </c>
      <c r="V225" t="inlineStr">
        <is>
          <t>Резервы</t>
        </is>
      </c>
      <c r="W225" t="inlineStr">
        <is>
          <t>Фонд развития</t>
        </is>
      </c>
      <c r="X225" t="inlineStr">
        <is>
          <t>Резерв · развитие</t>
        </is>
      </c>
      <c r="Y225" t="inlineStr">
        <is>
          <t>R×fundP</t>
        </is>
      </c>
      <c r="Z225" t="inlineStr">
        <is>
          <t>card01, детализация</t>
        </is>
      </c>
      <c r="AA225" t="inlineStr">
        <is>
          <t>НЕТ — добавить в глоссарий</t>
        </is>
      </c>
      <c r="AB225" s="229" t="inlineStr">
        <is>
          <t>RULE-001; RULE-002; RULE-015; RULE-004</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RES-discY</t>
        </is>
      </c>
      <c r="K226" t="inlineStr">
        <is>
          <t>d.discY</t>
        </is>
      </c>
      <c r="L226" t="inlineStr">
        <is>
          <t>discY</t>
        </is>
      </c>
      <c r="M226" t="inlineStr">
        <is>
          <t>discY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d.discY</t>
        </is>
      </c>
      <c r="V226" t="inlineStr">
        <is>
          <t>Резервы</t>
        </is>
      </c>
      <c r="W226" t="inlineStr">
        <is>
          <t>Лояльность</t>
        </is>
      </c>
      <c r="X226" t="inlineStr">
        <is>
          <t>Резерв · лояльность</t>
        </is>
      </c>
      <c r="Y226" t="inlineStr">
        <is>
          <t>R×discP</t>
        </is>
      </c>
      <c r="Z226" t="inlineStr">
        <is>
          <t>card01, card06,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RES-fundP</t>
        </is>
      </c>
      <c r="K227" t="inlineStr">
        <is>
          <t>d.fundP</t>
        </is>
      </c>
      <c r="L227" t="inlineStr">
        <is>
          <t>fundP</t>
        </is>
      </c>
      <c r="M227" t="inlineStr">
        <is>
          <t>fundP</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d.fundP</t>
        </is>
      </c>
      <c r="V227" t="inlineStr">
        <is>
          <t>Резервы</t>
        </is>
      </c>
      <c r="W227" t="inlineStr">
        <is>
          <t>Резервы</t>
        </is>
      </c>
      <c r="Z227" t="inlineStr">
        <is>
          <t>report.html / детализация</t>
        </is>
      </c>
      <c r="AA227" t="inlineStr">
        <is>
          <t>НЕТ — добавить в глоссарий</t>
        </is>
      </c>
      <c r="AB227" s="229" t="inlineStr">
        <is>
          <t>RULE-001</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RES-discP</t>
        </is>
      </c>
      <c r="K228" t="inlineStr">
        <is>
          <t>d.discP</t>
        </is>
      </c>
      <c r="L228" t="inlineStr">
        <is>
          <t>discP</t>
        </is>
      </c>
      <c r="M228" t="inlineStr">
        <is>
          <t>discP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d.discP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БЛОК · Загрузка [MODEL-10]</t>
        </is>
      </c>
      <c r="AB229" s="229" t="n"/>
    </row>
    <row r="230">
      <c r="A230" t="inlineStr">
        <is>
          <t>№</t>
        </is>
      </c>
      <c r="B230" t="inlineStr">
        <is>
          <t>Страница ID</t>
        </is>
      </c>
      <c r="C230" t="inlineStr">
        <is>
          <t>Страница</t>
        </is>
      </c>
      <c r="D230" t="inlineStr">
        <is>
          <t>Порядок</t>
        </is>
      </c>
      <c r="E230" t="inlineStr">
        <is>
          <t>Блок ID</t>
        </is>
      </c>
      <c r="F230" t="inlineStr">
        <is>
          <t>№ блока</t>
        </is>
      </c>
      <c r="G230" t="inlineStr">
        <is>
          <t>Название блока</t>
        </is>
      </c>
      <c r="H230" t="inlineStr">
        <is>
          <t>Форма ID</t>
        </is>
      </c>
      <c r="I230" t="inlineStr">
        <is>
          <t>Название формы</t>
        </is>
      </c>
      <c r="J230" t="inlineStr">
        <is>
          <t>Поле ID реестра</t>
        </is>
      </c>
      <c r="K230" t="inlineStr">
        <is>
          <t>DOM / код ID</t>
        </is>
      </c>
      <c r="L230" t="inlineStr">
        <is>
          <t>Параметр модели</t>
        </is>
      </c>
      <c r="M230" t="inlineStr">
        <is>
          <t>Наименование поля</t>
        </is>
      </c>
      <c r="N230" t="inlineStr">
        <is>
          <t>Тип поля</t>
        </is>
      </c>
      <c r="O230" t="inlineStr">
        <is>
          <t>Роль</t>
        </is>
      </c>
      <c r="P230" t="inlineStr">
        <is>
          <t>Что вводим / что означает</t>
        </is>
      </c>
      <c r="Q230" t="inlineStr">
        <is>
          <t>Допустимые ответы / варианты</t>
        </is>
      </c>
      <c r="R230" t="inlineStr">
        <is>
          <t>По умолчанию</t>
        </is>
      </c>
      <c r="S230" t="inlineStr">
        <is>
          <t>Единица</t>
        </is>
      </c>
      <c r="T230" t="inlineStr">
        <is>
          <t>Условие показа / включения</t>
        </is>
      </c>
      <c r="U230" t="inlineStr">
        <is>
          <t>Поле результата d</t>
        </is>
      </c>
      <c r="V230" t="inlineStr">
        <is>
          <t>Группа результата</t>
        </is>
      </c>
      <c r="W230" t="inlineStr">
        <is>
          <t>Подгруппа результата</t>
        </is>
      </c>
      <c r="X230" t="inlineStr">
        <is>
          <t>Группа диаграммы</t>
        </is>
      </c>
      <c r="Y230" t="inlineStr">
        <is>
          <t>Формула / источник</t>
        </is>
      </c>
      <c r="Z230" t="inlineStr">
        <is>
          <t>Где выводится</t>
        </is>
      </c>
      <c r="AA230" t="inlineStr">
        <is>
          <t>Тип есть в глоссарии</t>
        </is>
      </c>
      <c r="AB230" s="229" t="inlineStr">
        <is>
          <t>Правило ID</t>
        </is>
      </c>
    </row>
    <row r="231">
      <c r="A231" t="inlineStr">
        <is>
          <t>165</t>
        </is>
      </c>
      <c r="B231" t="inlineStr">
        <is>
          <t>PAGE-MODEL</t>
        </is>
      </c>
      <c r="C231" t="inlineStr">
        <is>
          <t>Модель · calc()</t>
        </is>
      </c>
      <c r="D231" t="inlineStr">
        <is>
          <t>10</t>
        </is>
      </c>
      <c r="E231" t="inlineStr">
        <is>
          <t>MODEL-10</t>
        </is>
      </c>
      <c r="F231" t="inlineStr">
        <is>
          <t>—</t>
        </is>
      </c>
      <c r="G231" t="inlineStr">
        <is>
          <t>Загрузка</t>
        </is>
      </c>
      <c r="H231" t="inlineStr">
        <is>
          <t>CALC-RESULT</t>
        </is>
      </c>
      <c r="I231" t="inlineStr">
        <is>
          <t>Результаты calc()</t>
        </is>
      </c>
      <c r="J231" t="inlineStr">
        <is>
          <t>RES-loadGoal</t>
        </is>
      </c>
      <c r="K231" t="inlineStr">
        <is>
          <t>d.loadGoal</t>
        </is>
      </c>
      <c r="L231" t="inlineStr">
        <is>
          <t>loadGoal</t>
        </is>
      </c>
      <c r="M231" t="inlineStr">
        <is>
          <t>loadGoal</t>
        </is>
      </c>
      <c r="N231" t="inlineStr">
        <is>
          <t>result</t>
        </is>
      </c>
      <c r="O231" t="inlineStr">
        <is>
          <t>result</t>
        </is>
      </c>
      <c r="P231" t="inlineStr">
        <is>
          <t>Результат расчёта или служебное поле</t>
        </is>
      </c>
      <c r="R231" t="inlineStr">
        <is>
          <t>{"shoots": 216.60000000000002, "hours": 1533, "days": 219, "freeDays": 146, "dayHours": 7, "shootsPerDay": 0.9890410958904111}</t>
        </is>
      </c>
      <c r="T231" t="inlineStr">
        <is>
          <t>создаётся при каждом calc()</t>
        </is>
      </c>
      <c r="U231" t="inlineStr">
        <is>
          <t>d.loadGoal</t>
        </is>
      </c>
      <c r="V231" t="inlineStr">
        <is>
          <t>Загрузка</t>
        </is>
      </c>
      <c r="W231" t="inlineStr">
        <is>
          <t>Загрузка</t>
        </is>
      </c>
      <c r="Z231" t="inlineStr">
        <is>
          <t>report.html / детализация</t>
        </is>
      </c>
      <c r="AA231" t="inlineStr">
        <is>
          <t>НЕТ — добавить в глоссарий</t>
        </is>
      </c>
      <c r="AB231" s="229" t="inlineStr">
        <is>
          <t>RULE-001</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RES-loadCur</t>
        </is>
      </c>
      <c r="K232" t="inlineStr">
        <is>
          <t>d.loadCur</t>
        </is>
      </c>
      <c r="L232" t="inlineStr">
        <is>
          <t>loadCur</t>
        </is>
      </c>
      <c r="M232" t="inlineStr">
        <is>
          <t>loadCur</t>
        </is>
      </c>
      <c r="N232" t="inlineStr">
        <is>
          <t>result</t>
        </is>
      </c>
      <c r="O232" t="inlineStr">
        <is>
          <t>result</t>
        </is>
      </c>
      <c r="P232" t="inlineStr">
        <is>
          <t>Результат расчёта или служебное поле</t>
        </is>
      </c>
      <c r="R232" t="inlineStr">
        <is>
          <t>{"shoots": 340.4224956577069, "hours": 2152.1124782885345, "days": 307.4446397555049, "freeDays": 57.55536024449509, "dayHours": 9.826997617755865, "shootsPerDay": 1.55444061944…</t>
        </is>
      </c>
      <c r="T232" t="inlineStr">
        <is>
          <t>создаётся при каждом calc()</t>
        </is>
      </c>
      <c r="U232" t="inlineStr">
        <is>
          <t>d.loadCur</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RES-loadZero</t>
        </is>
      </c>
      <c r="K233" t="inlineStr">
        <is>
          <t>d.loadZero</t>
        </is>
      </c>
      <c r="L233" t="inlineStr">
        <is>
          <t>loadZero</t>
        </is>
      </c>
      <c r="M233" t="inlineStr">
        <is>
          <t>loadZero</t>
        </is>
      </c>
      <c r="N233" t="inlineStr">
        <is>
          <t>result</t>
        </is>
      </c>
      <c r="O233" t="inlineStr">
        <is>
          <t>result</t>
        </is>
      </c>
      <c r="P233" t="inlineStr">
        <is>
          <t>Результат расчёта или служебное поле</t>
        </is>
      </c>
      <c r="R233" t="inlineStr">
        <is>
          <t>{"shoots": 725.7342296427746, "hours": 4078.671148213873, "days": 582.6673068876961, "freeDays": -217.6673068876961, "dayHours": 18.62406916992636, "shootsPerDay": 3.31385492987…</t>
        </is>
      </c>
      <c r="T233" t="inlineStr">
        <is>
          <t>создаётся при каждом calc()</t>
        </is>
      </c>
      <c r="U233" t="inlineStr">
        <is>
          <t>d.loadZero</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БЛОК · Загрузка [MODEL-LOAD]</t>
        </is>
      </c>
      <c r="AB234" s="229" t="n"/>
    </row>
    <row r="235">
      <c r="A235" t="inlineStr">
        <is>
          <t>№</t>
        </is>
      </c>
      <c r="B235" t="inlineStr">
        <is>
          <t>Страница ID</t>
        </is>
      </c>
      <c r="C235" t="inlineStr">
        <is>
          <t>Страница</t>
        </is>
      </c>
      <c r="D235" t="inlineStr">
        <is>
          <t>Порядок</t>
        </is>
      </c>
      <c r="E235" t="inlineStr">
        <is>
          <t>Блок ID</t>
        </is>
      </c>
      <c r="F235" t="inlineStr">
        <is>
          <t>№ блока</t>
        </is>
      </c>
      <c r="G235" t="inlineStr">
        <is>
          <t>Название блока</t>
        </is>
      </c>
      <c r="H235" t="inlineStr">
        <is>
          <t>Форма ID</t>
        </is>
      </c>
      <c r="I235" t="inlineStr">
        <is>
          <t>Название формы</t>
        </is>
      </c>
      <c r="J235" t="inlineStr">
        <is>
          <t>Поле ID реестра</t>
        </is>
      </c>
      <c r="K235" t="inlineStr">
        <is>
          <t>DOM / код ID</t>
        </is>
      </c>
      <c r="L235" t="inlineStr">
        <is>
          <t>Параметр модели</t>
        </is>
      </c>
      <c r="M235" t="inlineStr">
        <is>
          <t>Наименование поля</t>
        </is>
      </c>
      <c r="N235" t="inlineStr">
        <is>
          <t>Тип поля</t>
        </is>
      </c>
      <c r="O235" t="inlineStr">
        <is>
          <t>Роль</t>
        </is>
      </c>
      <c r="P235" t="inlineStr">
        <is>
          <t>Что вводим / что означает</t>
        </is>
      </c>
      <c r="Q235" t="inlineStr">
        <is>
          <t>Допустимые ответы / варианты</t>
        </is>
      </c>
      <c r="R235" t="inlineStr">
        <is>
          <t>По умолчанию</t>
        </is>
      </c>
      <c r="S235" t="inlineStr">
        <is>
          <t>Единица</t>
        </is>
      </c>
      <c r="T235" t="inlineStr">
        <is>
          <t>Условие показа / включения</t>
        </is>
      </c>
      <c r="U235" t="inlineStr">
        <is>
          <t>Поле результата d</t>
        </is>
      </c>
      <c r="V235" t="inlineStr">
        <is>
          <t>Группа результата</t>
        </is>
      </c>
      <c r="W235" t="inlineStr">
        <is>
          <t>Подгруппа результата</t>
        </is>
      </c>
      <c r="X235" t="inlineStr">
        <is>
          <t>Группа диаграммы</t>
        </is>
      </c>
      <c r="Y235" t="inlineStr">
        <is>
          <t>Формула / источник</t>
        </is>
      </c>
      <c r="Z235" t="inlineStr">
        <is>
          <t>Где выводится</t>
        </is>
      </c>
      <c r="AA235" t="inlineStr">
        <is>
          <t>Тип есть в глоссарии</t>
        </is>
      </c>
      <c r="AB235" s="229" t="inlineStr">
        <is>
          <t>Правило ID</t>
        </is>
      </c>
    </row>
    <row r="236">
      <c r="A236" t="inlineStr">
        <is>
          <t>168</t>
        </is>
      </c>
      <c r="B236" t="inlineStr">
        <is>
          <t>PAGE-MODEL</t>
        </is>
      </c>
      <c r="C236" t="inlineStr">
        <is>
          <t>Модель · calc()</t>
        </is>
      </c>
      <c r="D236" t="inlineStr">
        <is>
          <t>10</t>
        </is>
      </c>
      <c r="E236" t="inlineStr">
        <is>
          <t>MODEL-LOAD</t>
        </is>
      </c>
      <c r="F236" t="inlineStr">
        <is>
          <t>—</t>
        </is>
      </c>
      <c r="G236" t="inlineStr">
        <is>
          <t>Загрузка</t>
        </is>
      </c>
      <c r="H236" t="inlineStr">
        <is>
          <t>CALC-RESULT</t>
        </is>
      </c>
      <c r="I236" t="inlineStr">
        <is>
          <t>Результаты calc()</t>
        </is>
      </c>
      <c r="J236" t="inlineStr">
        <is>
          <t>RES-loadGoal-shoots</t>
        </is>
      </c>
      <c r="K236" t="inlineStr">
        <is>
          <t>d.loadGoal.shoots</t>
        </is>
      </c>
      <c r="L236" t="inlineStr">
        <is>
          <t>loadGoal.shoots</t>
        </is>
      </c>
      <c r="M236" t="inlineStr">
        <is>
          <t>loadGoal: shoots</t>
        </is>
      </c>
      <c r="N236" t="inlineStr">
        <is>
          <t>result</t>
        </is>
      </c>
      <c r="O236" t="inlineStr">
        <is>
          <t>result</t>
        </is>
      </c>
      <c r="P236" t="inlineStr">
        <is>
          <t>Производный показатель загрузки</t>
        </is>
      </c>
      <c r="R236" t="inlineStr">
        <is>
          <t>216.60000000000002</t>
        </is>
      </c>
      <c r="T236" t="inlineStr">
        <is>
          <t>вложенный объект загрузки</t>
        </is>
      </c>
      <c r="U236" t="inlineStr">
        <is>
          <t>d.loadGoal.shoots</t>
        </is>
      </c>
      <c r="V236" t="inlineStr">
        <is>
          <t>Загрузка</t>
        </is>
      </c>
      <c r="W236" t="inlineStr">
        <is>
          <t>loadGoal</t>
        </is>
      </c>
      <c r="Y236" t="inlineStr">
        <is>
          <t>загрузка(ставка)</t>
        </is>
      </c>
      <c r="Z236" t="inlineStr">
        <is>
          <t>детализация 05</t>
        </is>
      </c>
      <c r="AA236" t="inlineStr">
        <is>
          <t>НЕТ — добавить в глоссарий</t>
        </is>
      </c>
      <c r="AB236" s="229" t="inlineStr">
        <is>
          <t>RULE-001</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RES-loadGoal-hours</t>
        </is>
      </c>
      <c r="K237" t="inlineStr">
        <is>
          <t>d.loadGoal.hours</t>
        </is>
      </c>
      <c r="L237" t="inlineStr">
        <is>
          <t>loadGoal.hours</t>
        </is>
      </c>
      <c r="M237" t="inlineStr">
        <is>
          <t>loadGoal: hours</t>
        </is>
      </c>
      <c r="N237" t="inlineStr">
        <is>
          <t>result</t>
        </is>
      </c>
      <c r="O237" t="inlineStr">
        <is>
          <t>result</t>
        </is>
      </c>
      <c r="P237" t="inlineStr">
        <is>
          <t>Производный показатель загрузки</t>
        </is>
      </c>
      <c r="R237" t="inlineStr">
        <is>
          <t>1533</t>
        </is>
      </c>
      <c r="T237" t="inlineStr">
        <is>
          <t>вложенный объект загрузки</t>
        </is>
      </c>
      <c r="U237" t="inlineStr">
        <is>
          <t>d.loadGoal.hours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RES-loadGoal-days</t>
        </is>
      </c>
      <c r="K238" t="inlineStr">
        <is>
          <t>d.loadGoal.days</t>
        </is>
      </c>
      <c r="L238" t="inlineStr">
        <is>
          <t>loadGoal.days</t>
        </is>
      </c>
      <c r="M238" t="inlineStr">
        <is>
          <t>loadGoal: days</t>
        </is>
      </c>
      <c r="N238" t="inlineStr">
        <is>
          <t>result</t>
        </is>
      </c>
      <c r="O238" t="inlineStr">
        <is>
          <t>result</t>
        </is>
      </c>
      <c r="P238" t="inlineStr">
        <is>
          <t>Производный показатель загрузки</t>
        </is>
      </c>
      <c r="R238" t="inlineStr">
        <is>
          <t>219</t>
        </is>
      </c>
      <c r="T238" t="inlineStr">
        <is>
          <t>вложенный объект загрузки</t>
        </is>
      </c>
      <c r="U238" t="inlineStr">
        <is>
          <t>d.loadGoal.days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RES-loadGoal-freeDays</t>
        </is>
      </c>
      <c r="K239" t="inlineStr">
        <is>
          <t>d.loadGoal.freeDays</t>
        </is>
      </c>
      <c r="L239" t="inlineStr">
        <is>
          <t>loadGoal.freeDays</t>
        </is>
      </c>
      <c r="M239" t="inlineStr">
        <is>
          <t>loadGoal: freeDays</t>
        </is>
      </c>
      <c r="N239" t="inlineStr">
        <is>
          <t>result</t>
        </is>
      </c>
      <c r="O239" t="inlineStr">
        <is>
          <t>result</t>
        </is>
      </c>
      <c r="P239" t="inlineStr">
        <is>
          <t>Производный показатель загрузки</t>
        </is>
      </c>
      <c r="R239" t="inlineStr">
        <is>
          <t>146</t>
        </is>
      </c>
      <c r="T239" t="inlineStr">
        <is>
          <t>вложенный объект загрузки</t>
        </is>
      </c>
      <c r="U239" t="inlineStr">
        <is>
          <t>d.loadGoal.freeDays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RES-loadGoal-dayHours</t>
        </is>
      </c>
      <c r="K240" t="inlineStr">
        <is>
          <t>d.loadGoal.dayHours</t>
        </is>
      </c>
      <c r="L240" t="inlineStr">
        <is>
          <t>loadGoal.dayHours</t>
        </is>
      </c>
      <c r="M240" t="inlineStr">
        <is>
          <t>loadGoal: dayHours</t>
        </is>
      </c>
      <c r="N240" t="inlineStr">
        <is>
          <t>result</t>
        </is>
      </c>
      <c r="O240" t="inlineStr">
        <is>
          <t>result</t>
        </is>
      </c>
      <c r="P240" t="inlineStr">
        <is>
          <t>Производный показатель загрузки</t>
        </is>
      </c>
      <c r="R240" t="inlineStr">
        <is>
          <t>7</t>
        </is>
      </c>
      <c r="T240" t="inlineStr">
        <is>
          <t>вложенный объект загрузки</t>
        </is>
      </c>
      <c r="U240" t="inlineStr">
        <is>
          <t>d.loadGoal.dayHours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RES-loadGoal-shootsPerDay</t>
        </is>
      </c>
      <c r="K241" t="inlineStr">
        <is>
          <t>d.loadGoal.shootsPerDay</t>
        </is>
      </c>
      <c r="L241" t="inlineStr">
        <is>
          <t>loadGoal.shootsPerDay</t>
        </is>
      </c>
      <c r="M241" t="inlineStr">
        <is>
          <t>loadGoal: shootsPerDay</t>
        </is>
      </c>
      <c r="N241" t="inlineStr">
        <is>
          <t>result</t>
        </is>
      </c>
      <c r="O241" t="inlineStr">
        <is>
          <t>result</t>
        </is>
      </c>
      <c r="P241" t="inlineStr">
        <is>
          <t>Производный показатель загрузки</t>
        </is>
      </c>
      <c r="R241" t="inlineStr">
        <is>
          <t>0.9890410958904111</t>
        </is>
      </c>
      <c r="T241" t="inlineStr">
        <is>
          <t>вложенный объект загрузки</t>
        </is>
      </c>
      <c r="U241" t="inlineStr">
        <is>
          <t>d.loadGoal.shootsPerDay</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RES-loadCur-shoots</t>
        </is>
      </c>
      <c r="K242" t="inlineStr">
        <is>
          <t>d.loadCur.shoots</t>
        </is>
      </c>
      <c r="L242" t="inlineStr">
        <is>
          <t>loadCur.shoots</t>
        </is>
      </c>
      <c r="M242" t="inlineStr">
        <is>
          <t>loadCur: shoots</t>
        </is>
      </c>
      <c r="N242" t="inlineStr">
        <is>
          <t>result</t>
        </is>
      </c>
      <c r="O242" t="inlineStr">
        <is>
          <t>result</t>
        </is>
      </c>
      <c r="P242" t="inlineStr">
        <is>
          <t>Производный показатель загрузки</t>
        </is>
      </c>
      <c r="R242" t="inlineStr">
        <is>
          <t>340.4224956577069</t>
        </is>
      </c>
      <c r="T242" t="inlineStr">
        <is>
          <t>вложенный объект загрузки</t>
        </is>
      </c>
      <c r="U242" t="inlineStr">
        <is>
          <t>d.loadCur.shoots</t>
        </is>
      </c>
      <c r="V242" t="inlineStr">
        <is>
          <t>Загрузка</t>
        </is>
      </c>
      <c r="W242" t="inlineStr">
        <is>
          <t>loadCur</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RES-loadCur-hours</t>
        </is>
      </c>
      <c r="K243" t="inlineStr">
        <is>
          <t>d.loadCur.hours</t>
        </is>
      </c>
      <c r="L243" t="inlineStr">
        <is>
          <t>loadCur.hours</t>
        </is>
      </c>
      <c r="M243" t="inlineStr">
        <is>
          <t>loadCur: hours</t>
        </is>
      </c>
      <c r="N243" t="inlineStr">
        <is>
          <t>result</t>
        </is>
      </c>
      <c r="O243" t="inlineStr">
        <is>
          <t>result</t>
        </is>
      </c>
      <c r="P243" t="inlineStr">
        <is>
          <t>Производный показатель загрузки</t>
        </is>
      </c>
      <c r="R243" t="inlineStr">
        <is>
          <t>2152.1124782885345</t>
        </is>
      </c>
      <c r="T243" t="inlineStr">
        <is>
          <t>вложенный объект загрузки</t>
        </is>
      </c>
      <c r="U243" t="inlineStr">
        <is>
          <t>d.loadCur.hours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RES-loadCur-days</t>
        </is>
      </c>
      <c r="K244" t="inlineStr">
        <is>
          <t>d.loadCur.days</t>
        </is>
      </c>
      <c r="L244" t="inlineStr">
        <is>
          <t>loadCur.days</t>
        </is>
      </c>
      <c r="M244" t="inlineStr">
        <is>
          <t>loadCur: days</t>
        </is>
      </c>
      <c r="N244" t="inlineStr">
        <is>
          <t>result</t>
        </is>
      </c>
      <c r="O244" t="inlineStr">
        <is>
          <t>result</t>
        </is>
      </c>
      <c r="P244" t="inlineStr">
        <is>
          <t>Производный показатель загрузки</t>
        </is>
      </c>
      <c r="R244" t="inlineStr">
        <is>
          <t>307.4446397555049</t>
        </is>
      </c>
      <c r="T244" t="inlineStr">
        <is>
          <t>вложенный объект загрузки</t>
        </is>
      </c>
      <c r="U244" t="inlineStr">
        <is>
          <t>d.loadCur.days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RES-loadCur-freeDays</t>
        </is>
      </c>
      <c r="K245" t="inlineStr">
        <is>
          <t>d.loadCur.freeDays</t>
        </is>
      </c>
      <c r="L245" t="inlineStr">
        <is>
          <t>loadCur.freeDays</t>
        </is>
      </c>
      <c r="M245" t="inlineStr">
        <is>
          <t>loadCur: freeDays</t>
        </is>
      </c>
      <c r="N245" t="inlineStr">
        <is>
          <t>result</t>
        </is>
      </c>
      <c r="O245" t="inlineStr">
        <is>
          <t>result</t>
        </is>
      </c>
      <c r="P245" t="inlineStr">
        <is>
          <t>Производный показатель загрузки</t>
        </is>
      </c>
      <c r="R245" t="inlineStr">
        <is>
          <t>57.55536024449509</t>
        </is>
      </c>
      <c r="T245" t="inlineStr">
        <is>
          <t>вложенный объект загрузки</t>
        </is>
      </c>
      <c r="U245" t="inlineStr">
        <is>
          <t>d.loadCur.freeDays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RES-loadCur-dayHours</t>
        </is>
      </c>
      <c r="K246" t="inlineStr">
        <is>
          <t>d.loadCur.dayHours</t>
        </is>
      </c>
      <c r="L246" t="inlineStr">
        <is>
          <t>loadCur.dayHours</t>
        </is>
      </c>
      <c r="M246" t="inlineStr">
        <is>
          <t>loadCur: dayHours</t>
        </is>
      </c>
      <c r="N246" t="inlineStr">
        <is>
          <t>result</t>
        </is>
      </c>
      <c r="O246" t="inlineStr">
        <is>
          <t>result</t>
        </is>
      </c>
      <c r="P246" t="inlineStr">
        <is>
          <t>Производный показатель загрузки</t>
        </is>
      </c>
      <c r="R246" t="inlineStr">
        <is>
          <t>9.826997617755865</t>
        </is>
      </c>
      <c r="T246" t="inlineStr">
        <is>
          <t>вложенный объект загрузки</t>
        </is>
      </c>
      <c r="U246" t="inlineStr">
        <is>
          <t>d.loadCur.dayHours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RES-loadCur-shootsPerDay</t>
        </is>
      </c>
      <c r="K247" t="inlineStr">
        <is>
          <t>d.loadCur.shootsPerDay</t>
        </is>
      </c>
      <c r="L247" t="inlineStr">
        <is>
          <t>loadCur.shootsPerDay</t>
        </is>
      </c>
      <c r="M247" t="inlineStr">
        <is>
          <t>loadCur: shootsPerDay</t>
        </is>
      </c>
      <c r="N247" t="inlineStr">
        <is>
          <t>result</t>
        </is>
      </c>
      <c r="O247" t="inlineStr">
        <is>
          <t>result</t>
        </is>
      </c>
      <c r="P247" t="inlineStr">
        <is>
          <t>Производный показатель загрузки</t>
        </is>
      </c>
      <c r="R247" t="inlineStr">
        <is>
          <t>1.554440619441584</t>
        </is>
      </c>
      <c r="T247" t="inlineStr">
        <is>
          <t>вложенный объект загрузки</t>
        </is>
      </c>
      <c r="U247" t="inlineStr">
        <is>
          <t>d.loadCur.shootsPerDay</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RES-loadZero-shoots</t>
        </is>
      </c>
      <c r="K248" t="inlineStr">
        <is>
          <t>d.loadZero.shoots</t>
        </is>
      </c>
      <c r="L248" t="inlineStr">
        <is>
          <t>loadZero.shoots</t>
        </is>
      </c>
      <c r="M248" t="inlineStr">
        <is>
          <t>loadZero: shoots</t>
        </is>
      </c>
      <c r="N248" t="inlineStr">
        <is>
          <t>result</t>
        </is>
      </c>
      <c r="O248" t="inlineStr">
        <is>
          <t>result</t>
        </is>
      </c>
      <c r="P248" t="inlineStr">
        <is>
          <t>Производный показатель загрузки</t>
        </is>
      </c>
      <c r="R248" t="inlineStr">
        <is>
          <t>725.7342296427746</t>
        </is>
      </c>
      <c r="T248" t="inlineStr">
        <is>
          <t>вложенный объект загрузки</t>
        </is>
      </c>
      <c r="U248" t="inlineStr">
        <is>
          <t>d.loadZero.shoots</t>
        </is>
      </c>
      <c r="V248" t="inlineStr">
        <is>
          <t>Загрузка</t>
        </is>
      </c>
      <c r="W248" t="inlineStr">
        <is>
          <t>loadZero</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RES-loadZero-hours</t>
        </is>
      </c>
      <c r="K249" t="inlineStr">
        <is>
          <t>d.loadZero.hours</t>
        </is>
      </c>
      <c r="L249" t="inlineStr">
        <is>
          <t>loadZero.hours</t>
        </is>
      </c>
      <c r="M249" t="inlineStr">
        <is>
          <t>loadZero: hours</t>
        </is>
      </c>
      <c r="N249" t="inlineStr">
        <is>
          <t>result</t>
        </is>
      </c>
      <c r="O249" t="inlineStr">
        <is>
          <t>result</t>
        </is>
      </c>
      <c r="P249" t="inlineStr">
        <is>
          <t>Производный показатель загрузки</t>
        </is>
      </c>
      <c r="R249" t="inlineStr">
        <is>
          <t>4078.671148213873</t>
        </is>
      </c>
      <c r="T249" t="inlineStr">
        <is>
          <t>вложенный объект загрузки</t>
        </is>
      </c>
      <c r="U249" t="inlineStr">
        <is>
          <t>d.loadZero.hours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RES-loadZero-days</t>
        </is>
      </c>
      <c r="K250" t="inlineStr">
        <is>
          <t>d.loadZero.days</t>
        </is>
      </c>
      <c r="L250" t="inlineStr">
        <is>
          <t>loadZero.days</t>
        </is>
      </c>
      <c r="M250" t="inlineStr">
        <is>
          <t>loadZero: days</t>
        </is>
      </c>
      <c r="N250" t="inlineStr">
        <is>
          <t>result</t>
        </is>
      </c>
      <c r="O250" t="inlineStr">
        <is>
          <t>result</t>
        </is>
      </c>
      <c r="P250" t="inlineStr">
        <is>
          <t>Производный показатель загрузки</t>
        </is>
      </c>
      <c r="R250" t="inlineStr">
        <is>
          <t>582.6673068876961</t>
        </is>
      </c>
      <c r="T250" t="inlineStr">
        <is>
          <t>вложенный объект загрузки</t>
        </is>
      </c>
      <c r="U250" t="inlineStr">
        <is>
          <t>d.loadZero.days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RES-loadZero-freeDays</t>
        </is>
      </c>
      <c r="K251" t="inlineStr">
        <is>
          <t>d.loadZero.freeDays</t>
        </is>
      </c>
      <c r="L251" t="inlineStr">
        <is>
          <t>loadZero.freeDays</t>
        </is>
      </c>
      <c r="M251" t="inlineStr">
        <is>
          <t>loadZero: freeDays</t>
        </is>
      </c>
      <c r="N251" t="inlineStr">
        <is>
          <t>result</t>
        </is>
      </c>
      <c r="O251" t="inlineStr">
        <is>
          <t>result</t>
        </is>
      </c>
      <c r="P251" t="inlineStr">
        <is>
          <t>Производный показатель загрузки</t>
        </is>
      </c>
      <c r="R251" t="inlineStr">
        <is>
          <t>-217.6673068876961</t>
        </is>
      </c>
      <c r="T251" t="inlineStr">
        <is>
          <t>вложенный объект загрузки</t>
        </is>
      </c>
      <c r="U251" t="inlineStr">
        <is>
          <t>d.loadZero.freeDays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RES-loadZero-dayHours</t>
        </is>
      </c>
      <c r="K252" t="inlineStr">
        <is>
          <t>d.loadZero.dayHours</t>
        </is>
      </c>
      <c r="L252" t="inlineStr">
        <is>
          <t>loadZero.dayHours</t>
        </is>
      </c>
      <c r="M252" t="inlineStr">
        <is>
          <t>loadZero: dayHours</t>
        </is>
      </c>
      <c r="N252" t="inlineStr">
        <is>
          <t>result</t>
        </is>
      </c>
      <c r="O252" t="inlineStr">
        <is>
          <t>result</t>
        </is>
      </c>
      <c r="P252" t="inlineStr">
        <is>
          <t>Производный показатель загрузки</t>
        </is>
      </c>
      <c r="R252" t="inlineStr">
        <is>
          <t>18.62406916992636</t>
        </is>
      </c>
      <c r="T252" t="inlineStr">
        <is>
          <t>вложенный объект загрузки</t>
        </is>
      </c>
      <c r="U252" t="inlineStr">
        <is>
          <t>d.loadZero.dayHours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RES-loadZero-shootsPerDay</t>
        </is>
      </c>
      <c r="K253" t="inlineStr">
        <is>
          <t>d.loadZero.shootsPerDay</t>
        </is>
      </c>
      <c r="L253" t="inlineStr">
        <is>
          <t>loadZero.shootsPerDay</t>
        </is>
      </c>
      <c r="M253" t="inlineStr">
        <is>
          <t>loadZero: shootsPerDay</t>
        </is>
      </c>
      <c r="N253" t="inlineStr">
        <is>
          <t>result</t>
        </is>
      </c>
      <c r="O253" t="inlineStr">
        <is>
          <t>result</t>
        </is>
      </c>
      <c r="P253" t="inlineStr">
        <is>
          <t>Производный показатель загрузки</t>
        </is>
      </c>
      <c r="R253" t="inlineStr">
        <is>
          <t>3.313854929875683</t>
        </is>
      </c>
      <c r="T253" t="inlineStr">
        <is>
          <t>вложенный объект загрузки</t>
        </is>
      </c>
      <c r="U253" t="inlineStr">
        <is>
          <t>d.loadZero.shootsPerDay</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БЛОК · Идеальный сценарий [MODEL-GOAL]</t>
        </is>
      </c>
      <c r="AB254" s="229" t="n"/>
    </row>
    <row r="255">
      <c r="A255" t="inlineStr">
        <is>
          <t>№</t>
        </is>
      </c>
      <c r="B255" t="inlineStr">
        <is>
          <t>Страница ID</t>
        </is>
      </c>
      <c r="C255" t="inlineStr">
        <is>
          <t>Страница</t>
        </is>
      </c>
      <c r="D255" t="inlineStr">
        <is>
          <t>Порядок</t>
        </is>
      </c>
      <c r="E255" t="inlineStr">
        <is>
          <t>Блок ID</t>
        </is>
      </c>
      <c r="F255" t="inlineStr">
        <is>
          <t>№ блока</t>
        </is>
      </c>
      <c r="G255" t="inlineStr">
        <is>
          <t>Название блока</t>
        </is>
      </c>
      <c r="H255" t="inlineStr">
        <is>
          <t>Форма ID</t>
        </is>
      </c>
      <c r="I255" t="inlineStr">
        <is>
          <t>Название формы</t>
        </is>
      </c>
      <c r="J255" t="inlineStr">
        <is>
          <t>Поле ID реестра</t>
        </is>
      </c>
      <c r="K255" t="inlineStr">
        <is>
          <t>DOM / код ID</t>
        </is>
      </c>
      <c r="L255" t="inlineStr">
        <is>
          <t>Параметр модели</t>
        </is>
      </c>
      <c r="M255" t="inlineStr">
        <is>
          <t>Наименование поля</t>
        </is>
      </c>
      <c r="N255" t="inlineStr">
        <is>
          <t>Тип поля</t>
        </is>
      </c>
      <c r="O255" t="inlineStr">
        <is>
          <t>Роль</t>
        </is>
      </c>
      <c r="P255" t="inlineStr">
        <is>
          <t>Что вводим / что означает</t>
        </is>
      </c>
      <c r="Q255" t="inlineStr">
        <is>
          <t>Допустимые ответы / варианты</t>
        </is>
      </c>
      <c r="R255" t="inlineStr">
        <is>
          <t>По умолчанию</t>
        </is>
      </c>
      <c r="S255" t="inlineStr">
        <is>
          <t>Единица</t>
        </is>
      </c>
      <c r="T255" t="inlineStr">
        <is>
          <t>Условие показа / включения</t>
        </is>
      </c>
      <c r="U255" t="inlineStr">
        <is>
          <t>Поле результата d</t>
        </is>
      </c>
      <c r="V255" t="inlineStr">
        <is>
          <t>Группа результата</t>
        </is>
      </c>
      <c r="W255" t="inlineStr">
        <is>
          <t>Подгруппа результата</t>
        </is>
      </c>
      <c r="X255" t="inlineStr">
        <is>
          <t>Группа диаграммы</t>
        </is>
      </c>
      <c r="Y255" t="inlineStr">
        <is>
          <t>Формула / источник</t>
        </is>
      </c>
      <c r="Z255" t="inlineStr">
        <is>
          <t>Где выводится</t>
        </is>
      </c>
      <c r="AA255" t="inlineStr">
        <is>
          <t>Тип есть в глоссарии</t>
        </is>
      </c>
      <c r="AB255" s="229" t="inlineStr">
        <is>
          <t>Правило ID</t>
        </is>
      </c>
    </row>
    <row r="256">
      <c r="A256" t="inlineStr">
        <is>
          <t>186</t>
        </is>
      </c>
      <c r="B256" t="inlineStr">
        <is>
          <t>PAGE-MODEL</t>
        </is>
      </c>
      <c r="C256" t="inlineStr">
        <is>
          <t>Модель · calc()</t>
        </is>
      </c>
      <c r="D256" t="inlineStr">
        <is>
          <t>11</t>
        </is>
      </c>
      <c r="E256" t="inlineStr">
        <is>
          <t>MODEL-GOAL</t>
        </is>
      </c>
      <c r="F256" t="inlineStr">
        <is>
          <t>—</t>
        </is>
      </c>
      <c r="G256" t="inlineStr">
        <is>
          <t>Идеальный сценарий</t>
        </is>
      </c>
      <c r="H256" t="inlineStr">
        <is>
          <t>CALC-RESULT</t>
        </is>
      </c>
      <c r="I256" t="inlineStr">
        <is>
          <t>Результаты calc()</t>
        </is>
      </c>
      <c r="J256" t="inlineStr">
        <is>
          <t>RES-goalFund</t>
        </is>
      </c>
      <c r="K256" t="inlineStr">
        <is>
          <t>d.goalFund</t>
        </is>
      </c>
      <c r="L256" t="inlineStr">
        <is>
          <t>goalFund</t>
        </is>
      </c>
      <c r="M256" t="inlineStr">
        <is>
          <t>Фонд развития — необходимый сценарий</t>
        </is>
      </c>
      <c r="N256" t="inlineStr">
        <is>
          <t>result</t>
        </is>
      </c>
      <c r="O256" t="inlineStr">
        <is>
          <t>result</t>
        </is>
      </c>
      <c r="P256" t="inlineStr">
        <is>
          <t>Эффективная сумма фонда развития в необходимом сценарии</t>
        </is>
      </c>
      <c r="R256" t="inlineStr">
        <is>
          <t>0</t>
        </is>
      </c>
      <c r="S256" t="inlineStr">
        <is>
          <t>₽/год</t>
        </is>
      </c>
      <c r="T256" t="inlineStr">
        <is>
          <t>создаётся при каждом calc()</t>
        </is>
      </c>
      <c r="U256" t="inlineStr">
        <is>
          <t>d.goalFund</t>
        </is>
      </c>
      <c r="V256" t="inlineStr">
        <is>
          <t>Резервы</t>
        </is>
      </c>
      <c r="W256" t="inlineStr">
        <is>
          <t>Фонд развития</t>
        </is>
      </c>
      <c r="X256" t="inlineStr">
        <is>
          <t>Резерв · развитие</t>
        </is>
      </c>
      <c r="Y256" t="inlineStr">
        <is>
          <t>R×fundP</t>
        </is>
      </c>
      <c r="Z256" t="inlineStr">
        <is>
          <t>card05</t>
        </is>
      </c>
      <c r="AA256" t="inlineStr">
        <is>
          <t>да</t>
        </is>
      </c>
      <c r="AB256" s="229" t="inlineStr">
        <is>
          <t>RULE-001; RULE-002; RULE-015; RULE-004</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RES-goalDiscountReserve</t>
        </is>
      </c>
      <c r="K257" t="inlineStr">
        <is>
          <t>d.goalDiscountReserve</t>
        </is>
      </c>
      <c r="L257" t="inlineStr">
        <is>
          <t>goalDiscountReserve</t>
        </is>
      </c>
      <c r="M257" t="inlineStr">
        <is>
          <t>Резерв программы лояльности — необходимый сценарий</t>
        </is>
      </c>
      <c r="N257" t="inlineStr">
        <is>
          <t>result</t>
        </is>
      </c>
      <c r="O257" t="inlineStr">
        <is>
          <t>result</t>
        </is>
      </c>
      <c r="P257" t="inlineStr">
        <is>
          <t>Эффективная сумма резерва лояльности в необходимом сценарии</t>
        </is>
      </c>
      <c r="R257" t="inlineStr">
        <is>
          <t>0</t>
        </is>
      </c>
      <c r="S257" t="inlineStr">
        <is>
          <t>₽/год</t>
        </is>
      </c>
      <c r="T257" t="inlineStr">
        <is>
          <t>создаётся при каждом calc()</t>
        </is>
      </c>
      <c r="U257" t="inlineStr">
        <is>
          <t>d.goalDiscountReserve</t>
        </is>
      </c>
      <c r="V257" t="inlineStr">
        <is>
          <t>Резервы</t>
        </is>
      </c>
      <c r="W257" t="inlineStr">
        <is>
          <t>Лояльность</t>
        </is>
      </c>
      <c r="X257" t="inlineStr">
        <is>
          <t>Резерв · лояльность</t>
        </is>
      </c>
      <c r="Y257" t="inlineStr">
        <is>
          <t>R×discP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RES-goalSelfSiteCost</t>
        </is>
      </c>
      <c r="K258" t="inlineStr">
        <is>
          <t>d.goalSelfSiteCost</t>
        </is>
      </c>
      <c r="L258" t="inlineStr">
        <is>
          <t>goalSelfSiteCost</t>
        </is>
      </c>
      <c r="M258" t="inlineStr">
        <is>
          <t>Стоимость собственного сайта — необходимый сценарий</t>
        </is>
      </c>
      <c r="N258" t="inlineStr">
        <is>
          <t>result</t>
        </is>
      </c>
      <c r="O258" t="inlineStr">
        <is>
          <t>result</t>
        </is>
      </c>
      <c r="P258" t="inlineStr">
        <is>
          <t>Эффективная компенсация времени на самостоятельно сделанный сайт</t>
        </is>
      </c>
      <c r="R258" t="inlineStr">
        <is>
          <t>0</t>
        </is>
      </c>
      <c r="S258" t="inlineStr">
        <is>
          <t>₽/год</t>
        </is>
      </c>
      <c r="T258" t="inlineStr">
        <is>
          <t>создаётся при каждом calc()</t>
        </is>
      </c>
      <c r="U258" t="inlineStr">
        <is>
          <t>d.goalSelfSiteCost</t>
        </is>
      </c>
      <c r="V258" t="inlineStr">
        <is>
          <t>Вложения и инвестиции</t>
        </is>
      </c>
      <c r="W258" t="inlineStr">
        <is>
          <t>Сайт</t>
        </is>
      </c>
      <c r="X258" t="inlineStr">
        <is>
          <t>Расходы · реклама и сайт</t>
        </is>
      </c>
      <c r="Y258" t="inlineStr">
        <is>
          <t>R×sdiv</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RES-goalCostsTotal</t>
        </is>
      </c>
      <c r="K259" t="inlineStr">
        <is>
          <t>d.goalCostsTotal</t>
        </is>
      </c>
      <c r="L259" t="inlineStr">
        <is>
          <t>goalCostsTotal</t>
        </is>
      </c>
      <c r="M259" t="inlineStr">
        <is>
          <t>Все затраты — необходимый сценарий</t>
        </is>
      </c>
      <c r="N259" t="inlineStr">
        <is>
          <t>result</t>
        </is>
      </c>
      <c r="O259" t="inlineStr">
        <is>
          <t>result</t>
        </is>
      </c>
      <c r="P259" t="inlineStr">
        <is>
          <t>Полная сумма эффективных затрат идеального сценария</t>
        </is>
      </c>
      <c r="R259" t="inlineStr">
        <is>
          <t>719942.9739462415</t>
        </is>
      </c>
      <c r="S259" t="inlineStr">
        <is>
          <t>₽/год</t>
        </is>
      </c>
      <c r="T259" t="inlineStr">
        <is>
          <t>создаётся при каждом calc()</t>
        </is>
      </c>
      <c r="U259" t="inlineStr">
        <is>
          <t>d.goalCostsTotal</t>
        </is>
      </c>
      <c r="V259" t="inlineStr">
        <is>
          <t>Доход и стоимость</t>
        </is>
      </c>
      <c r="W259" t="inlineStr">
        <is>
          <t>Затраты</t>
        </is>
      </c>
      <c r="X259" t="inlineStr">
        <is>
          <t>Расходы в совокупности</t>
        </is>
      </c>
      <c r="Y259" t="inlineStr">
        <is>
          <t>C+taxAll+aq+goalFund+goalDiscountReserve+goalSelfSiteCost</t>
        </is>
      </c>
      <c r="Z259" t="inlineStr">
        <is>
          <t>card05</t>
        </is>
      </c>
      <c r="AA259" t="inlineStr">
        <is>
          <t>да</t>
        </is>
      </c>
      <c r="AB259" s="229" t="inlineStr">
        <is>
          <t>RULE-001; RULE-002; RULE-015</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RES-goalResult</t>
        </is>
      </c>
      <c r="K260" t="inlineStr">
        <is>
          <t>d.goalResult</t>
        </is>
      </c>
      <c r="L260" t="inlineStr">
        <is>
          <t>goalResult</t>
        </is>
      </c>
      <c r="M260" t="inlineStr">
        <is>
          <t>Финансовый результат — необходимый сценарий</t>
        </is>
      </c>
      <c r="N260" t="inlineStr">
        <is>
          <t>result</t>
        </is>
      </c>
      <c r="O260" t="inlineStr">
        <is>
          <t>result</t>
        </is>
      </c>
      <c r="P260" t="inlineStr">
        <is>
          <t>Выручка после вычета всех эффективных затрат идеального сценария</t>
        </is>
      </c>
      <c r="R260" t="inlineStr">
        <is>
          <t>1322592</t>
        </is>
      </c>
      <c r="S260" t="inlineStr">
        <is>
          <t>₽/год</t>
        </is>
      </c>
      <c r="T260" t="inlineStr">
        <is>
          <t>создаётся при каждом calc()</t>
        </is>
      </c>
      <c r="U260" t="inlineStr">
        <is>
          <t>d.goalResult</t>
        </is>
      </c>
      <c r="V260" t="inlineStr">
        <is>
          <t>Доход и стоимость</t>
        </is>
      </c>
      <c r="W260" t="inlineStr">
        <is>
          <t>Доход</t>
        </is>
      </c>
      <c r="X260" t="inlineStr">
        <is>
          <t>Ваш доход на руки</t>
        </is>
      </c>
      <c r="Y260" t="inlineStr">
        <is>
          <t>R−goalCostsTotal</t>
        </is>
      </c>
      <c r="Z260" t="inlineStr">
        <is>
          <t>card05</t>
        </is>
      </c>
      <c r="AA260" t="inlineStr">
        <is>
          <t>да</t>
        </is>
      </c>
      <c r="AB260" s="229" t="inlineStr">
        <is>
          <t>RULE-001; RULE-002; RULE-015</t>
        </is>
      </c>
    </row>
    <row r="261">
      <c r="A261" t="inlineStr">
        <is>
          <t>БЛОК · Текущий сценарий [MODEL-CURRENT]</t>
        </is>
      </c>
      <c r="AB261" s="229" t="n"/>
    </row>
    <row r="262">
      <c r="A262" t="inlineStr">
        <is>
          <t>№</t>
        </is>
      </c>
      <c r="B262" t="inlineStr">
        <is>
          <t>Страница ID</t>
        </is>
      </c>
      <c r="C262" t="inlineStr">
        <is>
          <t>Страница</t>
        </is>
      </c>
      <c r="D262" t="inlineStr">
        <is>
          <t>Порядок</t>
        </is>
      </c>
      <c r="E262" t="inlineStr">
        <is>
          <t>Блок ID</t>
        </is>
      </c>
      <c r="F262" t="inlineStr">
        <is>
          <t>№ блока</t>
        </is>
      </c>
      <c r="G262" t="inlineStr">
        <is>
          <t>Название блока</t>
        </is>
      </c>
      <c r="H262" t="inlineStr">
        <is>
          <t>Форма ID</t>
        </is>
      </c>
      <c r="I262" t="inlineStr">
        <is>
          <t>Название формы</t>
        </is>
      </c>
      <c r="J262" t="inlineStr">
        <is>
          <t>Поле ID реестра</t>
        </is>
      </c>
      <c r="K262" t="inlineStr">
        <is>
          <t>DOM / код ID</t>
        </is>
      </c>
      <c r="L262" t="inlineStr">
        <is>
          <t>Параметр модели</t>
        </is>
      </c>
      <c r="M262" t="inlineStr">
        <is>
          <t>Наименование поля</t>
        </is>
      </c>
      <c r="N262" t="inlineStr">
        <is>
          <t>Тип поля</t>
        </is>
      </c>
      <c r="O262" t="inlineStr">
        <is>
          <t>Роль</t>
        </is>
      </c>
      <c r="P262" t="inlineStr">
        <is>
          <t>Что вводим / что означает</t>
        </is>
      </c>
      <c r="Q262" t="inlineStr">
        <is>
          <t>Допустимые ответы / варианты</t>
        </is>
      </c>
      <c r="R262" t="inlineStr">
        <is>
          <t>По умолчанию</t>
        </is>
      </c>
      <c r="S262" t="inlineStr">
        <is>
          <t>Единица</t>
        </is>
      </c>
      <c r="T262" t="inlineStr">
        <is>
          <t>Условие показа / включения</t>
        </is>
      </c>
      <c r="U262" t="inlineStr">
        <is>
          <t>Поле результата d</t>
        </is>
      </c>
      <c r="V262" t="inlineStr">
        <is>
          <t>Группа результата</t>
        </is>
      </c>
      <c r="W262" t="inlineStr">
        <is>
          <t>Подгруппа результата</t>
        </is>
      </c>
      <c r="X262" t="inlineStr">
        <is>
          <t>Группа диаграммы</t>
        </is>
      </c>
      <c r="Y262" t="inlineStr">
        <is>
          <t>Формула / источник</t>
        </is>
      </c>
      <c r="Z262" t="inlineStr">
        <is>
          <t>Где выводится</t>
        </is>
      </c>
      <c r="AA262" t="inlineStr">
        <is>
          <t>Тип есть в глоссарии</t>
        </is>
      </c>
      <c r="AB262" s="229" t="inlineStr">
        <is>
          <t>Правило ID</t>
        </is>
      </c>
    </row>
    <row r="263">
      <c r="A263" t="inlineStr">
        <is>
          <t>191</t>
        </is>
      </c>
      <c r="B263" t="inlineStr">
        <is>
          <t>PAGE-MODEL</t>
        </is>
      </c>
      <c r="C263" t="inlineStr">
        <is>
          <t>Модель · calc()</t>
        </is>
      </c>
      <c r="D263" t="inlineStr">
        <is>
          <t>12</t>
        </is>
      </c>
      <c r="E263" t="inlineStr">
        <is>
          <t>MODEL-CURRENT</t>
        </is>
      </c>
      <c r="F263" t="inlineStr">
        <is>
          <t>—</t>
        </is>
      </c>
      <c r="G263" t="inlineStr">
        <is>
          <t>Текущий сценарий</t>
        </is>
      </c>
      <c r="H263" t="inlineStr">
        <is>
          <t>CALC-RESULT</t>
        </is>
      </c>
      <c r="I263" t="inlineStr">
        <is>
          <t>Результаты calc()</t>
        </is>
      </c>
      <c r="J263" t="inlineStr">
        <is>
          <t>RES-currentFund</t>
        </is>
      </c>
      <c r="K263" t="inlineStr">
        <is>
          <t>d.currentFund</t>
        </is>
      </c>
      <c r="L263" t="inlineStr">
        <is>
          <t>currentFund</t>
        </is>
      </c>
      <c r="M263" t="inlineStr">
        <is>
          <t>Фонд развития — текущий сценарий</t>
        </is>
      </c>
      <c r="N263" t="inlineStr">
        <is>
          <t>result</t>
        </is>
      </c>
      <c r="O263" t="inlineStr">
        <is>
          <t>result</t>
        </is>
      </c>
      <c r="P263" t="inlineStr">
        <is>
          <t>Эффективная сумма фонда развития при текущей ставке</t>
        </is>
      </c>
      <c r="R263" t="inlineStr">
        <is>
          <t>0</t>
        </is>
      </c>
      <c r="S263" t="inlineStr">
        <is>
          <t>₽/год</t>
        </is>
      </c>
      <c r="T263" t="inlineStr">
        <is>
          <t>создаётся при каждом calc()</t>
        </is>
      </c>
      <c r="U263" t="inlineStr">
        <is>
          <t>d.currentFund</t>
        </is>
      </c>
      <c r="V263" t="inlineStr">
        <is>
          <t>Резервы</t>
        </is>
      </c>
      <c r="W263" t="inlineStr">
        <is>
          <t>Фонд развития</t>
        </is>
      </c>
      <c r="X263" t="inlineStr">
        <is>
          <t>Резерв · развитие</t>
        </is>
      </c>
      <c r="Y263" t="inlineStr">
        <is>
          <t>Rc×fundP</t>
        </is>
      </c>
      <c r="Z263" t="inlineStr">
        <is>
          <t>card05</t>
        </is>
      </c>
      <c r="AA263" t="inlineStr">
        <is>
          <t>да</t>
        </is>
      </c>
      <c r="AB263" s="229" t="inlineStr">
        <is>
          <t>RULE-001; RULE-002; RULE-014; RULE-004</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RES-currentDiscountReserve</t>
        </is>
      </c>
      <c r="K264" t="inlineStr">
        <is>
          <t>d.currentDiscountReserve</t>
        </is>
      </c>
      <c r="L264" t="inlineStr">
        <is>
          <t>currentDiscountReserve</t>
        </is>
      </c>
      <c r="M264" t="inlineStr">
        <is>
          <t>Резерв программы лояльности — текущий сценарий</t>
        </is>
      </c>
      <c r="N264" t="inlineStr">
        <is>
          <t>result</t>
        </is>
      </c>
      <c r="O264" t="inlineStr">
        <is>
          <t>result</t>
        </is>
      </c>
      <c r="P264" t="inlineStr">
        <is>
          <t>Эффективная сумма резерва лояльности при текущей ставке</t>
        </is>
      </c>
      <c r="R264" t="inlineStr">
        <is>
          <t>0</t>
        </is>
      </c>
      <c r="S264" t="inlineStr">
        <is>
          <t>₽/год</t>
        </is>
      </c>
      <c r="T264" t="inlineStr">
        <is>
          <t>создаётся при каждом calc()</t>
        </is>
      </c>
      <c r="U264" t="inlineStr">
        <is>
          <t>d.currentDiscountReserve</t>
        </is>
      </c>
      <c r="V264" t="inlineStr">
        <is>
          <t>Резервы</t>
        </is>
      </c>
      <c r="W264" t="inlineStr">
        <is>
          <t>Лояльность</t>
        </is>
      </c>
      <c r="X264" t="inlineStr">
        <is>
          <t>Резерв · лояльность</t>
        </is>
      </c>
      <c r="Y264" t="inlineStr">
        <is>
          <t>Rc×discP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RES-currentSelfSiteCost</t>
        </is>
      </c>
      <c r="K265" t="inlineStr">
        <is>
          <t>d.currentSelfSiteCost</t>
        </is>
      </c>
      <c r="L265" t="inlineStr">
        <is>
          <t>currentSelfSiteCost</t>
        </is>
      </c>
      <c r="M265" t="inlineStr">
        <is>
          <t>Стоимость собственного сайта — текущий сценарий</t>
        </is>
      </c>
      <c r="N265" t="inlineStr">
        <is>
          <t>result</t>
        </is>
      </c>
      <c r="O265" t="inlineStr">
        <is>
          <t>result</t>
        </is>
      </c>
      <c r="P265" t="inlineStr">
        <is>
          <t>Эффективная компенсация времени на самостоятельно сделанный сайт при текущей ставке</t>
        </is>
      </c>
      <c r="R265" t="inlineStr">
        <is>
          <t>0</t>
        </is>
      </c>
      <c r="S265" t="inlineStr">
        <is>
          <t>₽/год</t>
        </is>
      </c>
      <c r="T265" t="inlineStr">
        <is>
          <t>создаётся при каждом calc()</t>
        </is>
      </c>
      <c r="U265" t="inlineStr">
        <is>
          <t>d.currentSelfSiteCost</t>
        </is>
      </c>
      <c r="V265" t="inlineStr">
        <is>
          <t>Вложения и инвестиции</t>
        </is>
      </c>
      <c r="W265" t="inlineStr">
        <is>
          <t>Сайт</t>
        </is>
      </c>
      <c r="X265" t="inlineStr">
        <is>
          <t>Расходы · реклама и сайт</t>
        </is>
      </c>
      <c r="Y265" t="inlineStr">
        <is>
          <t>Rc×sdiv</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RES-currentCostsTotal</t>
        </is>
      </c>
      <c r="K266" t="inlineStr">
        <is>
          <t>d.currentCostsTotal</t>
        </is>
      </c>
      <c r="L266" t="inlineStr">
        <is>
          <t>currentCostsTotal</t>
        </is>
      </c>
      <c r="M266" t="inlineStr">
        <is>
          <t>Все затраты — текущий сценарий</t>
        </is>
      </c>
      <c r="N266" t="inlineStr">
        <is>
          <t>result</t>
        </is>
      </c>
      <c r="O266" t="inlineStr">
        <is>
          <t>result</t>
        </is>
      </c>
      <c r="P266" t="inlineStr">
        <is>
          <t>Полная сумма эффективных затрат текущего сценария</t>
        </is>
      </c>
      <c r="R266" t="inlineStr">
        <is>
          <t>662736.9809523809</t>
        </is>
      </c>
      <c r="S266" t="inlineStr">
        <is>
          <t>₽/год</t>
        </is>
      </c>
      <c r="T266" t="inlineStr">
        <is>
          <t>создаётся при каждом calc()</t>
        </is>
      </c>
      <c r="U266" t="inlineStr">
        <is>
          <t>d.currentCostsTotal</t>
        </is>
      </c>
      <c r="V266" t="inlineStr">
        <is>
          <t>Доход и стоимость</t>
        </is>
      </c>
      <c r="W266" t="inlineStr">
        <is>
          <t>Затраты</t>
        </is>
      </c>
      <c r="X266" t="inlineStr">
        <is>
          <t>Расходы в совокупности</t>
        </is>
      </c>
      <c r="Y266" t="inlineStr">
        <is>
          <t>C+taxC+aqC+currentFund+currentDiscountReserve+currentSelfSiteCost</t>
        </is>
      </c>
      <c r="Z266" t="inlineStr">
        <is>
          <t>card05</t>
        </is>
      </c>
      <c r="AA266" t="inlineStr">
        <is>
          <t>да</t>
        </is>
      </c>
      <c r="AB266" s="229" t="inlineStr">
        <is>
          <t>RULE-001; RULE-002; RULE-014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RES-currentResult</t>
        </is>
      </c>
      <c r="K267" t="inlineStr">
        <is>
          <t>d.currentResult</t>
        </is>
      </c>
      <c r="L267" t="inlineStr">
        <is>
          <t>currentResult</t>
        </is>
      </c>
      <c r="M267" t="inlineStr">
        <is>
          <t>Финансовый результат — текущий сценарий</t>
        </is>
      </c>
      <c r="N267" t="inlineStr">
        <is>
          <t>result</t>
        </is>
      </c>
      <c r="O267" t="inlineStr">
        <is>
          <t>result</t>
        </is>
      </c>
      <c r="P267" t="inlineStr">
        <is>
          <t>Текущая выручка после вычета всех эффективных затрат</t>
        </is>
      </c>
      <c r="R267" t="inlineStr">
        <is>
          <t>636863.0190476191</t>
        </is>
      </c>
      <c r="S267" t="inlineStr">
        <is>
          <t>₽/год</t>
        </is>
      </c>
      <c r="T267" t="inlineStr">
        <is>
          <t>создаётся при каждом calc()</t>
        </is>
      </c>
      <c r="U267" t="inlineStr">
        <is>
          <t>d.currentResult</t>
        </is>
      </c>
      <c r="V267" t="inlineStr">
        <is>
          <t>Доход и стоимость</t>
        </is>
      </c>
      <c r="W267" t="inlineStr">
        <is>
          <t>Финансовый результат</t>
        </is>
      </c>
      <c r="X267" t="inlineStr">
        <is>
          <t>Ваш доход на руки / Ваш убыток</t>
        </is>
      </c>
      <c r="Y267" t="inlineStr">
        <is>
          <t>Rc−currentCostsTotal</t>
        </is>
      </c>
      <c r="Z267" t="inlineStr">
        <is>
          <t>card05, детализация</t>
        </is>
      </c>
      <c r="AA267" t="inlineStr">
        <is>
          <t>да</t>
        </is>
      </c>
      <c r="AB267" s="229" t="inlineStr">
        <is>
          <t>RULE-001; RULE-002; RULE-014; RULE-011; RULE-012; RULE-013</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RES-currentIncome</t>
        </is>
      </c>
      <c r="K268" t="inlineStr">
        <is>
          <t>d.currentIncome</t>
        </is>
      </c>
      <c r="L268" t="inlineStr">
        <is>
          <t>currentIncome</t>
        </is>
      </c>
      <c r="M268" t="inlineStr">
        <is>
          <t>Доход — текущий сценарий</t>
        </is>
      </c>
      <c r="N268" t="inlineStr">
        <is>
          <t>result</t>
        </is>
      </c>
      <c r="O268" t="inlineStr">
        <is>
          <t>result</t>
        </is>
      </c>
      <c r="P268" t="inlineStr">
        <is>
          <t>Положительная часть текущего финансового результата</t>
        </is>
      </c>
      <c r="R268" t="inlineStr">
        <is>
          <t>636863.0190476191</t>
        </is>
      </c>
      <c r="S268" t="inlineStr">
        <is>
          <t>₽/год</t>
        </is>
      </c>
      <c r="T268" t="inlineStr">
        <is>
          <t>создаётся при каждом calc()</t>
        </is>
      </c>
      <c r="U268" t="inlineStr">
        <is>
          <t>d.currentIncome</t>
        </is>
      </c>
      <c r="V268" t="inlineStr">
        <is>
          <t>Доход и стоимость</t>
        </is>
      </c>
      <c r="W268" t="inlineStr">
        <is>
          <t>Доход</t>
        </is>
      </c>
      <c r="X268" t="inlineStr">
        <is>
          <t>Ваш доход на руки</t>
        </is>
      </c>
      <c r="Y268" t="inlineStr">
        <is>
          <t>max(currentResult,0)</t>
        </is>
      </c>
      <c r="Z268" t="inlineStr">
        <is>
          <t>card05</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RES-currentLoss</t>
        </is>
      </c>
      <c r="K269" t="inlineStr">
        <is>
          <t>d.currentLoss</t>
        </is>
      </c>
      <c r="L269" t="inlineStr">
        <is>
          <t>currentLoss</t>
        </is>
      </c>
      <c r="M269" t="inlineStr">
        <is>
          <t>Убыток — текущий сценарий</t>
        </is>
      </c>
      <c r="N269" t="inlineStr">
        <is>
          <t>result</t>
        </is>
      </c>
      <c r="O269" t="inlineStr">
        <is>
          <t>result</t>
        </is>
      </c>
      <c r="P269" t="inlineStr">
        <is>
          <t>Отрицательная часть текущего финансового результата со знаком минус</t>
        </is>
      </c>
      <c r="R269" t="inlineStr">
        <is>
          <t>0</t>
        </is>
      </c>
      <c r="S269" t="inlineStr">
        <is>
          <t>₽/год</t>
        </is>
      </c>
      <c r="T269" t="inlineStr">
        <is>
          <t>создаётся при каждом calc()</t>
        </is>
      </c>
      <c r="U269" t="inlineStr">
        <is>
          <t>d.currentLoss</t>
        </is>
      </c>
      <c r="V269" t="inlineStr">
        <is>
          <t>Доход и стоимость</t>
        </is>
      </c>
      <c r="W269" t="inlineStr">
        <is>
          <t>Убыток</t>
        </is>
      </c>
      <c r="X269" t="inlineStr">
        <is>
          <t>Ваш убыток</t>
        </is>
      </c>
      <c r="Y269" t="inlineStr">
        <is>
          <t>min(currentResult,0)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RES-currentIsLoss</t>
        </is>
      </c>
      <c r="K270" t="inlineStr">
        <is>
          <t>d.currentIsLoss</t>
        </is>
      </c>
      <c r="L270" t="inlineStr">
        <is>
          <t>currentIsLoss</t>
        </is>
      </c>
      <c r="M270" t="inlineStr">
        <is>
          <t>Признак убытка — текущий сценарий</t>
        </is>
      </c>
      <c r="N270" t="inlineStr">
        <is>
          <t>result</t>
        </is>
      </c>
      <c r="O270" t="inlineStr">
        <is>
          <t>result</t>
        </is>
      </c>
      <c r="P270" t="inlineStr">
        <is>
          <t>Логический признак отрицательного текущего финансового результата</t>
        </is>
      </c>
      <c r="Q270" t="inlineStr">
        <is>
          <t>false / true</t>
        </is>
      </c>
      <c r="R270" t="inlineStr">
        <is>
          <t>false</t>
        </is>
      </c>
      <c r="T270" t="inlineStr">
        <is>
          <t>создаётся при каждом calc()</t>
        </is>
      </c>
      <c r="U270" t="inlineStr">
        <is>
          <t>d.currentIsLoss</t>
        </is>
      </c>
      <c r="V270" t="inlineStr">
        <is>
          <t>Доход и стоимость</t>
        </is>
      </c>
      <c r="W270" t="inlineStr">
        <is>
          <t>Убыток</t>
        </is>
      </c>
      <c r="Y270" t="inlineStr">
        <is>
          <t>currentResult&lt;0</t>
        </is>
      </c>
      <c r="Z270" t="inlineStr">
        <is>
          <t>card05</t>
        </is>
      </c>
      <c r="AA270" t="inlineStr">
        <is>
          <t>да</t>
        </is>
      </c>
      <c r="AB270" s="229" t="inlineStr">
        <is>
          <t>RULE-001; RULE-014; RULE-011; RULE-012; RULE-013</t>
        </is>
      </c>
    </row>
    <row r="271">
      <c r="A271" t="inlineStr">
        <is>
          <t xml:space="preserve">200</t>
        </is>
      </c>
      <c r="B271" t="inlineStr">
        <is>
          <t xml:space="preserve">PAGE-MODEL</t>
        </is>
      </c>
      <c r="C271" t="inlineStr">
        <is>
          <t xml:space="preserve">Модель · calc()</t>
        </is>
      </c>
      <c r="D271" t="inlineStr">
        <is>
          <t xml:space="preserve">9</t>
        </is>
      </c>
      <c r="E271" t="inlineStr">
        <is>
          <t xml:space="preserve">MODEL-09</t>
        </is>
      </c>
      <c r="F271" t="inlineStr">
        <is>
          <t xml:space="preserve">—</t>
        </is>
      </c>
      <c r="G271" t="inlineStr">
        <is>
          <t xml:space="preserve">Резервы</t>
        </is>
      </c>
      <c r="H271" t="inlineStr">
        <is>
          <t xml:space="preserve">CALC-RESULT</t>
        </is>
      </c>
      <c r="I271" t="inlineStr">
        <is>
          <t xml:space="preserve">Результаты calc()</t>
        </is>
      </c>
      <c r="J271" t="inlineStr">
        <is>
          <t xml:space="preserve">RES-vacY</t>
        </is>
      </c>
      <c r="K271" t="inlineStr">
        <is>
          <t xml:space="preserve">d.vacY</t>
        </is>
      </c>
      <c r="L271" t="inlineStr">
        <is>
          <t xml:space="preserve">vacY</t>
        </is>
      </c>
      <c r="M271" t="inlineStr">
        <is>
          <t xml:space="preserve">Резерв на отпуск</t>
        </is>
      </c>
      <c r="N271" t="inlineStr">
        <is>
          <t xml:space="preserve">result</t>
        </is>
      </c>
      <c r="O271" t="inlineStr">
        <is>
          <t xml:space="preserve">result</t>
        </is>
      </c>
      <c r="P271" t="inlineStr">
        <is>
          <t xml:space="preserve">Один месячный желаемый доход на руки, откладываемый как отпускные</t>
        </is>
      </c>
      <c r="R271" t="inlineStr">
        <is>
          <t xml:space="preserve">Ny/12</t>
        </is>
      </c>
      <c r="S271" t="inlineStr">
        <is>
          <t xml:space="preserve">₽/год</t>
        </is>
      </c>
      <c r="T271" t="inlineStr">
        <is>
          <t xml:space="preserve">всегда</t>
        </is>
      </c>
      <c r="U271" t="inlineStr">
        <is>
          <t xml:space="preserve">d.vacY</t>
        </is>
      </c>
      <c r="V271" t="inlineStr">
        <is>
          <t xml:space="preserve">Резервы</t>
        </is>
      </c>
      <c r="W271" t="inlineStr">
        <is>
          <t xml:space="preserve">Отпуск</t>
        </is>
      </c>
      <c r="X271" t="inlineStr">
        <is>
          <t xml:space="preserve">Резерв · отпуск</t>
        </is>
      </c>
      <c r="Y271" t="inlineStr">
        <is>
          <t xml:space="preserve">Ny/12</t>
        </is>
      </c>
      <c r="Z271" t="inlineStr">
        <is>
          <t xml:space="preserve">card01</t>
        </is>
      </c>
      <c r="AA271" t="inlineStr">
        <is>
          <t xml:space="preserve">да</t>
        </is>
      </c>
      <c r="AB271" t="inlineStr">
        <is>
          <t xml:space="preserve">RULE-001; RULE-002; RULE-004</t>
        </is>
      </c>
    </row>
    <row r="272">
      <c r="A272" t="inlineStr">
        <is>
          <t xml:space="preserve">201</t>
        </is>
      </c>
      <c r="B272" t="inlineStr">
        <is>
          <t xml:space="preserve">PAGE-MODEL</t>
        </is>
      </c>
      <c r="C272" t="inlineStr">
        <is>
          <t xml:space="preserve">Модель · calc()</t>
        </is>
      </c>
      <c r="D272" t="inlineStr">
        <is>
          <t xml:space="preserve">7</t>
        </is>
      </c>
      <c r="E272" t="inlineStr">
        <is>
          <t xml:space="preserve">MODEL-07</t>
        </is>
      </c>
      <c r="F272" t="inlineStr">
        <is>
          <t xml:space="preserve">—</t>
        </is>
      </c>
      <c r="G272" t="inlineStr">
        <is>
          <t xml:space="preserve">Доход и стоимость</t>
        </is>
      </c>
      <c r="H272" t="inlineStr">
        <is>
          <t xml:space="preserve">CALC-RESULT</t>
        </is>
      </c>
      <c r="I272" t="inlineStr">
        <is>
          <t xml:space="preserve">Результаты calc()</t>
        </is>
      </c>
      <c r="J272" t="inlineStr">
        <is>
          <t xml:space="preserve">RES-minShootsY</t>
        </is>
      </c>
      <c r="K272" t="inlineStr">
        <is>
          <t xml:space="preserve">d.minShootsY</t>
        </is>
      </c>
      <c r="L272" t="inlineStr">
        <is>
          <t xml:space="preserve">minShootsY</t>
        </is>
      </c>
      <c r="M272" t="inlineStr">
        <is>
          <t xml:space="preserve">Минимальное количество съёмок (за год)</t>
        </is>
      </c>
      <c r="N272" t="inlineStr">
        <is>
          <t xml:space="preserve">result</t>
        </is>
      </c>
      <c r="O272" t="inlineStr">
        <is>
          <t xml:space="preserve">result</t>
        </is>
      </c>
      <c r="P272" t="inlineStr">
        <is>
          <t xml:space="preserve">Результат расчёта или служеб</t>
        </is>
      </c>
      <c r="R272" t="inlineStr">
        <is>
          <t xml:space="preserve">64.645649</t>
        </is>
      </c>
      <c r="S272" t="inlineStr">
        <is>
          <t xml:space="preserve">шт/год</t>
        </is>
      </c>
      <c r="T272" t="inlineStr">
        <is>
          <t xml:space="preserve">создаётся при каждом calc()</t>
        </is>
      </c>
      <c r="U272" t="inlineStr">
        <is>
          <t xml:space="preserve">d.minShootsY</t>
        </is>
      </c>
      <c r="V272" t="inlineStr">
        <is>
          <t xml:space="preserve">Доход и стоимость</t>
        </is>
      </c>
      <c r="W272" t="inlineStr">
        <is>
          <t xml:space="preserve">Доход и стоимость</t>
        </is>
      </c>
      <c r="Y272" t="inlineStr">
        <is>
          <t xml:space="preserve">Rb/(R/py)</t>
        </is>
      </c>
      <c r="Z272" t="inlineStr">
        <is>
          <t xml:space="preserve">пока не показывается (кандидат — главный экран)</t>
        </is>
      </c>
      <c r="AA272" t="inlineStr">
        <is>
          <t xml:space="preserve">да</t>
        </is>
      </c>
      <c r="AB272" t="inlineStr">
        <is>
          <t xml:space="preserve">RULE-001; RULE-002</t>
        </is>
      </c>
    </row>
    <row r="273">
      <c r="A273" t="inlineStr">
        <is>
          <t xml:space="preserve">202</t>
        </is>
      </c>
      <c r="B273" t="inlineStr">
        <is>
          <t xml:space="preserve">PAGE-MODEL</t>
        </is>
      </c>
      <c r="C273" t="inlineStr">
        <is>
          <t xml:space="preserve">Модель · calc()</t>
        </is>
      </c>
      <c r="D273" t="inlineStr">
        <is>
          <t xml:space="preserve">7</t>
        </is>
      </c>
      <c r="E273" t="inlineStr">
        <is>
          <t xml:space="preserve">MODEL-07</t>
        </is>
      </c>
      <c r="F273" t="inlineStr">
        <is>
          <t xml:space="preserve">—</t>
        </is>
      </c>
      <c r="G273" t="inlineStr">
        <is>
          <t xml:space="preserve">Доход и стоимость</t>
        </is>
      </c>
      <c r="H273" t="inlineStr">
        <is>
          <t xml:space="preserve">CALC-RESULT</t>
        </is>
      </c>
      <c r="I273" t="inlineStr">
        <is>
          <t xml:space="preserve">Результаты calc()</t>
        </is>
      </c>
      <c r="J273" t="inlineStr">
        <is>
          <t xml:space="preserve">RES-minShootsM</t>
        </is>
      </c>
      <c r="K273" t="inlineStr">
        <is>
          <t xml:space="preserve">d.minShootsM</t>
        </is>
      </c>
      <c r="L273" t="inlineStr">
        <is>
          <t xml:space="preserve">minShootsM</t>
        </is>
      </c>
      <c r="M273" t="inlineStr">
        <is>
          <t xml:space="preserve">Минимальное количество съёмок (в месяц)</t>
        </is>
      </c>
      <c r="N273" t="inlineStr">
        <is>
          <t xml:space="preserve">result</t>
        </is>
      </c>
      <c r="O273" t="inlineStr">
        <is>
          <t xml:space="preserve">result</t>
        </is>
      </c>
      <c r="P273" t="inlineStr">
        <is>
          <t xml:space="preserve">Результат расчёта или служеб</t>
        </is>
      </c>
      <c r="R273" t="inlineStr">
        <is>
          <t xml:space="preserve">5.387137</t>
        </is>
      </c>
      <c r="S273" t="inlineStr">
        <is>
          <t xml:space="preserve">шт/мес</t>
        </is>
      </c>
      <c r="T273" t="inlineStr">
        <is>
          <t xml:space="preserve">создаётся при каждом calc()</t>
        </is>
      </c>
      <c r="U273" t="inlineStr">
        <is>
          <t xml:space="preserve">d.minShootsM</t>
        </is>
      </c>
      <c r="V273" t="inlineStr">
        <is>
          <t xml:space="preserve">Доход и стоимость</t>
        </is>
      </c>
      <c r="W273" t="inlineStr">
        <is>
          <t xml:space="preserve">Доход и стоимость</t>
        </is>
      </c>
      <c r="Y273" t="inlineStr">
        <is>
          <t xml:space="preserve">Rb/(R/py)/MO</t>
        </is>
      </c>
      <c r="Z273" t="inlineStr">
        <is>
          <t xml:space="preserve">пока не показывается (кандидат — главный экран)</t>
        </is>
      </c>
      <c r="AA273" t="inlineStr">
        <is>
          <t xml:space="preserve">да</t>
        </is>
      </c>
      <c r="AB273" t="inlineStr">
        <is>
          <t xml:space="preserve">RULE-001; RULE-002</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Документация/ДОРОЖНАЯ_КАРТА.md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Документация/Описания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Документация/Описания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Документация/Описания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Документация/Описания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Документация/Описания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Документация/Описания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Документация/Описания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Документация/Описания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Документация/Описания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Документация/Описания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Документация/Описания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Документация/Описания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Документация/Описания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Документация/Описания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Документация/Описания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Документация/Описания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xl/worksheets/sheet32.xml><?xml version="1.0" encoding="utf-8"?>
<worksheet xmlns="http://schemas.openxmlformats.org/spreadsheetml/2006/main">
  <dimension ref="A1:L15"/>
  <cols>
    <col min="1" max="1" width="16" customWidth="1"/>
    <col min="2" max="2" width="38" customWidth="1"/>
    <col min="3" max="3" width="20" customWidth="1"/>
    <col min="4" max="4" width="20" customWidth="1"/>
    <col min="5" max="5" width="20" customWidth="1"/>
    <col min="6" max="6" width="20" customWidth="1"/>
    <col min="7" max="7" width="20" customWidth="1"/>
    <col min="8" max="8" width="20" customWidth="1"/>
    <col min="9" max="9" width="20" customWidth="1"/>
    <col min="10" max="10" width="20" customWidth="1"/>
    <col min="11" max="11" width="20" customWidth="1"/>
    <col min="12" max="12" width="20" customWidth="1"/>
  </cols>
  <sheetData>
    <row r="1">
      <c r="A1" t="inlineStr">
        <is>
          <t xml:space="preserve">СОСТАВ · ЧТО ИЗ ЧЕГО СКЛАДЫВАЕТСЯ</t>
        </is>
      </c>
    </row>
    <row r="2">
      <c r="A2" t="inlineStr">
        <is>
          <t xml:space="preserve">Наименования — только из листа 01_Глоссарий, ничего не придумывается. Группы — параметры, которые выводятся в отчёт и диаграммы. ID — код из calc.html для сопоставления. Заполняется по блокам: каждый параметр отдельно сверяется с книгой и HTML.</t>
        </is>
      </c>
    </row>
    <row r="3">
      <c r="C3" t="inlineStr">
        <is>
          <t xml:space="preserve">Составные части</t>
        </is>
      </c>
    </row>
    <row r="4">
      <c r="A4" t="inlineStr">
        <is>
          <t xml:space="preserve">ID</t>
        </is>
      </c>
      <c r="B4" t="inlineStr">
        <is>
          <t xml:space="preserve">Наименование</t>
        </is>
      </c>
      <c r="C4" t="inlineStr">
        <is>
          <t xml:space="preserve">1</t>
        </is>
      </c>
      <c r="D4" t="inlineStr">
        <is>
          <t xml:space="preserve">2</t>
        </is>
      </c>
      <c r="E4" t="inlineStr">
        <is>
          <t xml:space="preserve">3</t>
        </is>
      </c>
      <c r="F4" t="inlineStr">
        <is>
          <t xml:space="preserve">4</t>
        </is>
      </c>
      <c r="G4" t="inlineStr">
        <is>
          <t xml:space="preserve">5</t>
        </is>
      </c>
      <c r="H4" t="inlineStr">
        <is>
          <t xml:space="preserve">6</t>
        </is>
      </c>
      <c r="I4" t="inlineStr">
        <is>
          <t xml:space="preserve">7</t>
        </is>
      </c>
      <c r="J4" t="inlineStr">
        <is>
          <t xml:space="preserve">8</t>
        </is>
      </c>
      <c r="K4" t="inlineStr">
        <is>
          <t xml:space="preserve">9</t>
        </is>
      </c>
      <c r="L4" t="inlineStr">
        <is>
          <t xml:space="preserve">10</t>
        </is>
      </c>
    </row>
    <row r="5">
      <c r="A5" t="inlineStr">
        <is>
          <t xml:space="preserve">rateHour</t>
        </is>
      </c>
      <c r="B5" t="inlineStr">
        <is>
          <t xml:space="preserve">Ставка часа съёмки (стоимость часа съёмки)</t>
        </is>
      </c>
      <c r="C5" t="inlineStr">
        <is>
          <t xml:space="preserve">желаемый доход за год</t>
        </is>
      </c>
      <c r="D5" t="inlineStr">
        <is>
          <t xml:space="preserve">расходы дела</t>
        </is>
      </c>
      <c r="E5" t="inlineStr">
        <is>
          <t xml:space="preserve">налог</t>
        </is>
      </c>
      <c r="F5" t="inlineStr">
        <is>
          <t xml:space="preserve">эквайринг</t>
        </is>
      </c>
      <c r="G5" t="inlineStr">
        <is>
          <t xml:space="preserve">съёмочные часы</t>
        </is>
      </c>
      <c r="F5" t="inlineStr">
        <is>
          <t xml:space="preserve">поле «Минимальный заказ (часов)»</t>
        </is>
      </c>
    </row>
    <row r="6">
      <c r="A6" t="inlineStr">
        <is>
          <t xml:space="preserve">R</t>
        </is>
      </c>
      <c r="B6" t="inlineStr">
        <is>
          <t xml:space="preserve">Выручка</t>
        </is>
      </c>
      <c r="C6" t="inlineStr">
        <is>
          <t xml:space="preserve">желаемый доход за год</t>
        </is>
      </c>
      <c r="D6" t="inlineStr">
        <is>
          <t xml:space="preserve">расходы дела</t>
        </is>
      </c>
      <c r="E6" t="inlineStr">
        <is>
          <t xml:space="preserve">налог</t>
        </is>
      </c>
      <c r="F6" t="inlineStr">
        <is>
          <t xml:space="preserve">эквайринг</t>
        </is>
      </c>
    </row>
    <row r="7">
      <c r="A7" t="inlineStr">
        <is>
          <t xml:space="preserve">Rb</t>
        </is>
      </c>
      <c r="B7" t="inlineStr">
        <is>
          <t xml:space="preserve">Точка безубыточности</t>
        </is>
      </c>
      <c r="C7" t="inlineStr">
        <is>
          <t xml:space="preserve">расходы дела</t>
        </is>
      </c>
      <c r="D7" t="inlineStr">
        <is>
          <t xml:space="preserve">налог</t>
        </is>
      </c>
      <c r="E7" t="inlineStr">
        <is>
          <t xml:space="preserve">эквайринг</t>
        </is>
      </c>
    </row>
    <row r="8">
      <c r="A8" t="inlineStr">
        <is>
          <t xml:space="preserve">rateZero</t>
        </is>
      </c>
      <c r="B8" t="inlineStr">
        <is>
          <t xml:space="preserve">Ставка в ноль</t>
        </is>
      </c>
      <c r="C8" t="inlineStr">
        <is>
          <t xml:space="preserve">точка безубыточности</t>
        </is>
      </c>
      <c r="D8" t="inlineStr">
        <is>
          <t xml:space="preserve">съёмочные часы</t>
        </is>
      </c>
    </row>
    <row r="9">
      <c r="A9" t="inlineStr">
        <is>
          <t xml:space="preserve">minShootsY</t>
        </is>
      </c>
      <c r="B9" t="inlineStr">
        <is>
          <t xml:space="preserve">Минимальное количество съёмок</t>
        </is>
      </c>
      <c r="C9" t="inlineStr">
        <is>
          <t xml:space="preserve">точка безубыточности</t>
        </is>
      </c>
      <c r="D9" t="inlineStr">
        <is>
          <t xml:space="preserve">стоимость одного проекта</t>
        </is>
      </c>
    </row>
    <row r="10">
      <c r="A10" t="inlineStr">
        <is>
          <t xml:space="preserve">total_costs</t>
        </is>
      </c>
      <c r="B10" t="inlineStr">
        <is>
          <t xml:space="preserve">Расходы дела</t>
        </is>
      </c>
      <c r="C10" t="inlineStr">
        <is>
          <t xml:space="preserve">амортизация</t>
        </is>
      </c>
      <c r="D10" t="inlineStr">
        <is>
          <t xml:space="preserve">текущие расходы</t>
        </is>
      </c>
    </row>
    <row r="11">
      <c r="A11" t="inlineStr">
        <is>
          <t xml:space="preserve">—</t>
        </is>
      </c>
      <c r="B11" t="inlineStr">
        <is>
          <t xml:space="preserve">Всего расходов</t>
        </is>
      </c>
      <c r="C11" t="inlineStr">
        <is>
          <t xml:space="preserve">расходы дела</t>
        </is>
      </c>
      <c r="D11" t="inlineStr">
        <is>
          <t xml:space="preserve">налоги</t>
        </is>
      </c>
      <c r="E11" t="inlineStr">
        <is>
          <t xml:space="preserve">эквайринг</t>
        </is>
      </c>
    </row>
    <row r="12">
      <c r="A12" t="inlineStr">
        <is>
          <t xml:space="preserve">—</t>
        </is>
      </c>
      <c r="B12" t="inlineStr">
        <is>
          <t xml:space="preserve">Фонды</t>
        </is>
      </c>
      <c r="C12" t="inlineStr">
        <is>
          <t xml:space="preserve">резерв на отпуск</t>
        </is>
      </c>
      <c r="D12" t="inlineStr">
        <is>
          <t xml:space="preserve">фонд развития</t>
        </is>
      </c>
      <c r="E12" t="inlineStr">
        <is>
          <t xml:space="preserve">резерв на программу лояльности</t>
        </is>
      </c>
    </row>
    <row r="13">
      <c r="A13" t="inlineStr">
        <is>
          <t xml:space="preserve">rateWork</t>
        </is>
      </c>
      <c r="B13" t="inlineStr">
        <is>
          <t xml:space="preserve">Доход в час на руки</t>
        </is>
      </c>
      <c r="C13" t="inlineStr">
        <is>
          <t xml:space="preserve">желаемый доход</t>
        </is>
      </c>
      <c r="D13" t="inlineStr">
        <is>
          <t xml:space="preserve">11 месяцев</t>
        </is>
      </c>
      <c r="E13" t="inlineStr">
        <is>
          <t xml:space="preserve">рабочее время</t>
        </is>
      </c>
    </row>
    <row r="14">
      <c r="A14" t="inlineStr">
        <is>
          <t xml:space="preserve">base_rate</t>
        </is>
      </c>
      <c r="B14" t="inlineStr">
        <is>
          <t xml:space="preserve">Базовая ставка</t>
        </is>
      </c>
      <c r="C14" t="inlineStr">
        <is>
          <t xml:space="preserve">выручка</t>
        </is>
      </c>
      <c r="D14" t="inlineStr">
        <is>
          <t xml:space="preserve">эффективное рабочее время</t>
        </is>
      </c>
    </row>
    <row r="15">
      <c r="A15" t="inlineStr">
        <is>
          <t xml:space="preserve">target_income</t>
        </is>
      </c>
      <c r="B15" t="inlineStr">
        <is>
          <t xml:space="preserve">Желаемый доход</t>
        </is>
      </c>
      <c r="C15" t="inlineStr">
        <is>
          <t xml:space="preserve">доход в месяц</t>
        </is>
      </c>
      <c r="D15" t="inlineStr">
        <is>
          <t xml:space="preserve">12 месяцев</t>
        </is>
      </c>
    </row>
  </sheetData>
  <mergeCells count="1">
    <mergeCell ref="C3:L3"/>
  </mergeCell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