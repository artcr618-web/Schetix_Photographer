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32.xml" ContentType="application/vnd.openxmlformats-officedocument.spreadsheetml.worksheet+xml"/>
  <Override PartName="/xl/worksheets/sheet33.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calc" sheetId="3" state="visible" r:id="rId3"/>
    <sheet xmlns:r="http://schemas.openxmlformats.org/officeDocument/2006/relationships" name="Состав" sheetId="32" state="visible" r:id="rId34"/>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28"/>
    <sheet xmlns:r="http://schemas.openxmlformats.org/officeDocument/2006/relationships" name="06b_Отчёт_полный" sheetId="29" state="visible" r:id="rId29"/>
    <sheet xmlns:r="http://schemas.openxmlformats.org/officeDocument/2006/relationships" name="15_Реестр_полей" sheetId="30" state="visible" r:id="rId30"/>
    <sheet xmlns:r="http://schemas.openxmlformats.org/officeDocument/2006/relationships" name="16_Реестр_правил" sheetId="31" state="visible" r:id="rId31"/>
    <sheet xmlns:r="http://schemas.openxmlformats.org/officeDocument/2006/relationships" name="Значения_по_умолчанию" sheetId="33" state="visible" r:id="rId35"/>
  </sheets>
  <definedNames>
    <definedName name="days_year">'calc'!$C$6</definedName>
    <definedName name="work_days">'calc'!$C$7</definedName>
    <definedName name="days_week">'calc'!$C$8</definedName>
    <definedName name="months">'calc'!$C$9</definedName>
    <definedName name="quarters">'calc'!$C$10</definedName>
    <definedName name="weeks_year">'calc'!$C$11</definedName>
    <definedName name="nominal_hours">'calc'!$C$12</definedName>
    <definedName name="work_months">'calc'!$C$13</definedName>
    <definedName name="vacation_cal">'calc'!$C$14</definedName>
    <definedName name="vacation_work">'calc'!$C$15</definedName>
    <definedName name="sick_cal">'calc'!$C$16</definedName>
    <definedName name="sick_work">'calc'!$C$17</definedName>
    <definedName name="eff_hours">'calc'!$C$18</definedName>
    <definedName name="work_time">'calc'!$C$21</definedName>
    <definedName name="net_days">'calc'!$C$22</definedName>
    <definedName name="net_time">'calc'!$C$23</definedName>
    <definedName name="net_weeks">'calc'!$C$24</definedName>
    <definedName name="promo_per_day">'calc'!$C$25</definedName>
    <definedName name="promo_time">'calc'!$C$26</definedName>
    <definedName name="acc_mode">'calc'!$C$27</definedName>
    <definedName name="acc_per_quarter">'calc'!$C$28</definedName>
    <definedName name="accounting_time">'calc'!$C$29</definedName>
    <definedName name="side_time">'calc'!$C$30</definedName>
    <definedName name="pool_gross">'calc'!$C$31</definedName>
    <definedName name="fm_on">'calc'!$C$32</definedName>
    <definedName name="fm_pct">'calc'!$C$33</definedName>
    <definedName name="fm_time">'calc'!$C$34</definedName>
    <definedName name="fm_week">'calc'!$C$35</definedName>
    <definedName name="project_pool">'calc'!$C$36</definedName>
    <definedName name="post_ratio">'calc'!$C$39</definedName>
    <definedName name="profile_multiplier">'calc'!$C$40</definedName>
    <definedName name="client_time">'calc'!$C$41</definedName>
    <definedName name="shoot_duration">'calc'!$C$42</definedName>
    <definedName name="week_target">'calc'!$C$43</definedName>
    <definedName name="shoot_auto">'calc'!$C$44</definedName>
    <definedName name="project_time">'calc'!$C$45</definedName>
    <definedName name="projects_year">'calc'!$C$46</definedName>
    <definedName name="projects_month">'calc'!$C$47</definedName>
    <definedName name="projects_week">'calc'!$C$48</definedName>
    <definedName name="shooting_time">'calc'!$C$49</definedName>
    <definedName name="shooting_month">'calc'!$C$50</definedName>
    <definedName name="shooting_week">'calc'!$C$51</definedName>
    <definedName name="post_time">'calc'!$C$52</definedName>
    <definedName name="core_time">'calc'!$C$53</definedName>
    <definedName name="client_total">'calc'!$C$54</definedName>
    <definedName name="ops_per_shoot">'calc'!$C$55</definedName>
    <definedName name="income_month">'calc'!$C$58</definedName>
    <definedName name="target_income">'calc'!$C$59</definedName>
    <definedName name="current_rate">'calc'!$C$60</definedName>
    <definedName name="ws_mode">'calc'!$C$63</definedName>
    <definedName name="own_home">'calc'!$C$64</definedName>
    <definedName name="home_rent">'calc'!$C$65</definedName>
    <definedName name="home_util">'calc'!$C$66</definedName>
    <definedName name="home_area">'calc'!$C$67</definedName>
    <definedName name="cab_area">'calc'!$C$68</definedName>
    <definedName name="cab_share">'calc'!$C$69</definedName>
    <definedName name="office_rent">'calc'!$C$70</definedName>
    <definedName name="office_util">'calc'!$C$71</definedName>
    <definedName name="var_workspace">'calc'!$C$72</definedName>
    <definedName name="edu_cost">'calc'!$C$75</definedName>
    <definedName name="edu_months">'calc'!$C$76</definedName>
    <definedName name="edu_life">'calc'!$C$77</definedName>
    <definedName name="edu_opportunity">'calc'!$C$79</definedName>
    <definedName name="dep_education">'calc'!$C$80</definedName>
    <definedName name="site_mode">'calc'!$C$81</definedName>
    <definedName name="site_cost">'calc'!$C$82</definedName>
    <definedName name="site_hours">'calc'!$C$83</definedName>
    <definedName name="site_life">'calc'!$C$84</definedName>
    <definedName name="dep_website">'calc'!$C$85</definedName>
    <definedName name="site_divisor">'calc'!$C$86</definedName>
    <definedName name="dep_shoot">'calc'!$C$89</definedName>
    <definedName name="dep_office">'calc'!$C$90</definedName>
    <definedName name="dep_software">'calc'!$C$91</definedName>
    <definedName name="dep_workspace">'calc'!$C$92</definedName>
    <definedName name="investment">'calc'!$C$93</definedName>
    <definedName name="var_software">'calc'!$C$94</definedName>
    <definedName name="var_ads">'calc'!$C$95</definedName>
    <definedName name="var_bank">'calc'!$C$96</definedName>
    <definedName name="acc_cost_month">'calc'!$C$97</definedName>
    <definedName name="var_accounting">'calc'!$C$98</definedName>
    <definedName name="variable_costs">'calc'!$C$99</definedName>
    <definedName name="total_costs">'calc'!$C$100</definedName>
    <definedName name="revenue_base">'calc'!$C$101</definedName>
    <definedName name="regime">'calc'!$C$104</definedName>
    <definedName name="rate_npd_avg">'calc'!$C$105</definedName>
    <definedName name="rate_npd_fiz">'calc'!$C$106</definedName>
    <definedName name="rate_npd_ur">'calc'!$C$107</definedName>
    <definedName name="rate_usn_inc">'calc'!$C$108</definedName>
    <definedName name="rate_usn_prof">'calc'!$C$109</definedName>
    <definedName name="rate_ausn_inc">'calc'!$C$110</definedName>
    <definedName name="rate_ausn_prof">'calc'!$C$111</definedName>
    <definedName name="regime_no">'calc'!$C$112</definedName>
    <definedName name="rate_current">'calc'!$C$113</definedName>
    <definedName name="fixed_contrib">'calc'!$C$114</definedName>
    <definedName name="extra_contrib">'calc'!$C$115</definedName>
    <definedName name="contrib_threshold">'calc'!$C$116</definedName>
    <definedName name="contrib_cap">'calc'!$C$117</definedName>
    <definedName name="threshold_credit">'calc'!$C$118</definedName>
    <definedName name="min_tax_usn">'calc'!$C$119</definedName>
    <definedName name="min_tax_ausn">'calc'!$C$120</definedName>
    <definedName name="injury_contrib">'calc'!$C$121</definedName>
    <definedName name="acq_rate">'calc'!$C$122</definedName>
    <definedName name="acq_share">'calc'!$C$123</definedName>
    <definedName name="acquiring">'calc'!$C$124</definedName>
    <definedName name="vat_threshold">'calc'!$C$125</definedName>
    <definedName name="limit_npd">'calc'!$C$126</definedName>
    <definedName name="limit_ausn">'calc'!$C$127</definedName>
    <definedName name="site_value">'calc'!$C$133</definedName>
    <definedName name="cat_form">'03_Каталоги'!$A$5:$A$41</definedName>
    <definedName name="cat_year">'03_Каталоги'!$G$5:$G$41</definedName>
    <definedName name="idle_time">'calc'!$C$136</definedName>
    <definedName name="idle_week">'calc'!$C$137</definedName>
    <definedName name="hour_all">'calc'!$C$138</definedName>
    <definedName name="frames_out">'calc'!$C$139</definedName>
    <definedName name="frames_total">'calc'!$C$140</definedName>
    <definedName name="equip_only">'calc'!$C$141</definedName>
    <definedName name="_xlnm._FilterDatabase" localSheetId="10" hidden="1">'09_Тексты'!$A$4:$C$514</definedName>
    <definedName name="_xlnm._FilterDatabase" localSheetId="27" hidden="1">'16_Реестр_правил'!$A$1:$G$20</definedName>
    <definedName name="base_rate">'calc'!$C$132</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3">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
      <name val="Calibri"/>
      <family val="2"/>
      <color theme="10"/>
      <sz val="12"/>
      <scheme val="minor"/>
    </font>
  </fonts>
  <fills count="108">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
      <patternFill patternType="solid">
        <fgColor rgb="001B5E20"/>
      </patternFill>
    </fill>
    <fill>
      <patternFill patternType="solid">
        <fgColor rgb="00E8F5E9"/>
      </patternFill>
    </fill>
  </fills>
  <borders count="8">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
      <bottom style="thin">
        <color rgb="00D9E2D9"/>
      </bottom>
    </border>
  </borders>
  <cellStyleXfs count="2">
    <xf numFmtId="0" fontId="0" fillId="0" borderId="0"/>
    <xf numFmtId="0" fontId="42" fillId="0" borderId="0"/>
  </cellStyleXfs>
  <cellXfs count="319">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xf numFmtId="0" fontId="3" fillId="106" borderId="0" applyAlignment="1" pivotButton="0" quotePrefix="0" xfId="0">
      <alignment horizontal="center" vertical="center" wrapText="1"/>
    </xf>
    <xf numFmtId="0" fontId="0" fillId="107" borderId="7" applyAlignment="1" pivotButton="0" quotePrefix="0" xfId="0">
      <alignment vertical="top" wrapText="1"/>
    </xf>
    <xf numFmtId="0" fontId="42" fillId="107" borderId="7" applyAlignment="1" pivotButton="0" quotePrefix="0" xfId="1">
      <alignment vertical="top" wrapText="1"/>
    </xf>
    <xf numFmtId="0" fontId="0" fillId="0" borderId="7" applyAlignment="1" pivotButton="0" quotePrefix="0" xfId="0">
      <alignment vertical="top" wrapText="1"/>
    </xf>
    <xf numFmtId="0" fontId="42" fillId="0" borderId="7"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 Type="http://schemas.openxmlformats.org/officeDocument/2006/relationships/worksheet" Target="/xl/worksheets/sheet32.xml" Id="rId34"/><Relationship Id="rId35" Type="http://schemas.openxmlformats.org/officeDocument/2006/relationships/worksheet" Target="worksheets/sheet33.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31.xml.rels><Relationships xmlns="http://schemas.openxmlformats.org/package/2006/relationships"><Relationship Type="http://schemas.openxmlformats.org/officeDocument/2006/relationships/hyperlink" Target="&#1044;&#1054;&#1050;&#1059;&#1052;&#1045;&#1053;&#1058;&#1040;&#1062;&#1048;&#1071;/&#1044;&#1054;&#1056;&#1054;&#1046;&#1053;&#1040;&#1071;_&#1050;&#1040;&#1056;&#1058;&#1040;.md" TargetMode="External" Id="rId1"/><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2"/><Relationship Type="http://schemas.openxmlformats.org/officeDocument/2006/relationships/hyperlink" Target="&#1054;&#1087;&#1080;&#1089;&#1072;&#1085;&#1080;&#1103; &#1088;&#1072;&#1089;&#1095;&#1105;&#1090;&#1086;&#1074;/&#1041;&#1083;&#1086;&#1082; 05 &#8212; 02 &#1046;&#1077;&#1083;&#1072;&#1077;&#1084;&#1099;&#1081; &#1076;&#1086;&#1093;&#1086;&#1076;.md" TargetMode="External" Id="rId3"/><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4"/><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5"/><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6"/><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7"/><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8"/><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9"/><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10"/><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11"/><Relationship Type="http://schemas.openxmlformats.org/officeDocument/2006/relationships/hyperlink" Target="&#1054;&#1087;&#1080;&#1089;&#1072;&#1085;&#1080;&#1103; &#1088;&#1072;&#1089;&#1095;&#1105;&#1090;&#1086;&#1074;/&#1041;&#1083;&#1086;&#1082; 05 &#8212; 01 &#1058;&#1077;&#1082;&#1091;&#1097;&#1080;&#1081; &#1076;&#1086;&#1093;&#1086;&#1076;.md" TargetMode="External" Id="rId12"/><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13"/><Relationship Type="http://schemas.openxmlformats.org/officeDocument/2006/relationships/hyperlink" Target="&#1054;&#1087;&#1080;&#1089;&#1072;&#1085;&#1080;&#1103; &#1088;&#1072;&#1089;&#1095;&#1105;&#1090;&#1086;&#1074;/&#1041;&#1083;&#1086;&#1082; 05 &#8212; 01 &#1058;&#1077;&#1082;&#1091;&#1097;&#1080;&#1081; &#1076;&#1086;&#1093;&#1086;&#1076;.md" TargetMode="External" Id="rId14"/><Relationship Type="http://schemas.openxmlformats.org/officeDocument/2006/relationships/hyperlink" Target="&#1054;&#1087;&#1080;&#1089;&#1072;&#1085;&#1080;&#1103; &#1088;&#1072;&#1089;&#1095;&#1105;&#1090;&#1086;&#1074;/&#1041;&#1083;&#1086;&#1082; 05 &#8212; 02 &#1046;&#1077;&#1083;&#1072;&#1077;&#1084;&#1099;&#1081; &#1076;&#1086;&#1093;&#1086;&#1076;.md" TargetMode="External" Id="rId15"/><Relationship Type="http://schemas.openxmlformats.org/officeDocument/2006/relationships/hyperlink" Target="&#1054;&#1087;&#1080;&#1089;&#1072;&#1085;&#1080;&#1103; &#1088;&#1072;&#1089;&#1095;&#1105;&#1090;&#1086;&#1074;/&#1041;&#1083;&#1086;&#1082; 05 &#8212; 03 &#1042; &#1085;&#1086;&#1083;&#1100;.md" TargetMode="External" Id="rId16"/><Relationship Type="http://schemas.openxmlformats.org/officeDocument/2006/relationships/hyperlink" Target="&#1054;&#1087;&#1080;&#1089;&#1072;&#1085;&#1080;&#1103; &#1088;&#1072;&#1089;&#1095;&#1105;&#1090;&#1086;&#1074;/&#1040;&#1088;&#1093;&#1080;&#1090;&#1077;&#1082;&#1090;&#1091;&#1088;&#1072; &#8212; &#1053;&#1091;&#1083;&#1077;&#1074;&#1099;&#1077; &#1079;&#1085;&#1072;&#1095;&#1077;&#1085;&#1080;&#1103;, &#1086;&#1090;&#1082;&#1083;&#1102;&#1095;&#1105;&#1085;&#1085;&#1099;&#1077; &#1073;&#1083;&#1086;&#1082;&#1080; &#1080; &#1091;&#1073;&#1099;&#1090;&#1086;&#1082;.md" TargetMode="External" Id="rId17"/><Relationship Type="http://schemas.openxmlformats.org/officeDocument/2006/relationships/hyperlink" Target="&#1047;&#1072;&#1076;&#1072;&#1095;&#1080;/&#1047;-035_&#1074;&#1072;&#1083;&#1080;&#1076;&#1072;&#1094;&#1080;&#1103;_&#1080;_&#1088;&#1077;&#1072;&#1083;&#1080;&#1089;&#1090;&#1080;&#1095;&#1085;&#1099;&#1077;_&#1087;&#1088;&#1077;&#1076;&#1077;&#1083;&#1099;_&#1087;&#1086;&#1083;&#1077;&#1081;_c.md" TargetMode="External" Id="rId18"/><Relationship Type="http://schemas.openxmlformats.org/officeDocument/2006/relationships/hyperlink" Target="&#1047;&#1072;&#1076;&#1072;&#1095;&#1080;/&#1047;-039_&#1087;&#1077;&#1088;&#1077;&#1076;_&#1074;&#1099;&#1075;&#1088;&#1091;&#1079;&#1082;&#1086;&#1081;_&#1089;&#1086;&#1079;&#1076;&#1072;&#1090;&#1100;_&#1074;&#1090;&#1086;&#1088;&#1091;&#1102;_&#1082;&#1086;&#1087;&#1080;&#1102;_&#1082;&#1072;&#1083;.md" TargetMode="External" Id="rId19"/></Relationships>
</file>

<file path=xl/worksheets/sheet1.xml><?xml version="1.0" encoding="utf-8"?>
<worksheet xmlns="http://schemas.openxmlformats.org/spreadsheetml/2006/main">
  <sheetPr>
    <outlinePr summaryBelow="1" summaryRight="1"/>
    <pageSetUpPr/>
  </sheetPr>
  <dimension ref="A1:B43"/>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25 августа 2026.</t>
        </is>
      </c>
    </row>
    <row r="4">
      <c r="A4" s="146" t="inlineStr">
        <is>
          <t>ИЗ ЧЕГО СОСТОИТ ПРОДУКТ — ЧЕТЫРЕ ФАЙЛА</t>
        </is>
      </c>
    </row>
    <row r="5">
      <c r="A5" s="148" t="inlineStr">
        <is>
          <t>Файл</t>
        </is>
      </c>
      <c r="B5" s="148" t="inlineStr">
        <is>
          <t>Что это и где живёт</t>
        </is>
      </c>
    </row>
    <row r="6">
      <c r="A6" s="149" t="inlineStr">
        <is>
          <t>Книга/Калькулятор_ставки_часа.xlsx</t>
        </is>
      </c>
      <c r="B6" s="152" t="inlineStr">
        <is>
          <t>ЭТА КНИГА, 30 листов: параметры, каталоги, расчёт, глоссарий, реестры. Источник понятий и сверка</t>
        </is>
      </c>
    </row>
    <row r="7">
      <c r="A7" s="149" t="inlineStr">
        <is>
          <t>Веб/index.html</t>
        </is>
      </c>
      <c r="B7" s="152" t="inlineStr">
        <is>
          <t>СТРАНИЦА ВХОДА. Обложка; кто уже начинал — сразу в анкету</t>
        </is>
      </c>
    </row>
    <row r="8">
      <c r="A8" s="149" t="inlineStr">
        <is>
          <t>Веб/calc.html</t>
        </is>
      </c>
      <c r="B8" s="152" t="inlineStr">
        <is>
          <t>АНКЕТА + ВЕСЬ РАСЧЁТ — функция calc(). Результат вынесен в отчёт</t>
        </is>
      </c>
    </row>
    <row r="9">
      <c r="A9" s="149" t="inlineStr">
        <is>
          <t>Веб/report.html</t>
        </is>
      </c>
      <c r="B9" s="152" t="inlineStr">
        <is>
          <t>ПОЛНЫЙ ОТЧЁТ: 21 блок, справочник на 77 понятий, 8 таблиц детализации. Бесплатный; данные приходят из анкеты</t>
        </is>
      </c>
    </row>
    <row r="11">
      <c r="A11" s="146" t="inlineStr">
        <is>
          <t>ОПОРНЫЕ ЛИСТЫ КНИГИ — 30 ЛИСТОВ</t>
        </is>
      </c>
    </row>
    <row r="12">
      <c r="A12" s="148" t="inlineStr">
        <is>
          <t>Лист</t>
        </is>
      </c>
      <c r="B12" s="148" t="inlineStr">
        <is>
          <t>Назначение</t>
        </is>
      </c>
    </row>
    <row r="13">
      <c r="A13" s="149" t="inlineStr">
        <is>
          <t>00_Читать</t>
        </is>
      </c>
      <c r="B13" s="152" t="inlineStr">
        <is>
          <t>Этот лист — карта книги</t>
        </is>
      </c>
    </row>
    <row r="14">
      <c r="A14" s="149" t="inlineStr">
        <is>
          <t>01_Глоссарий</t>
        </is>
      </c>
      <c r="B14" s="152" t="inlineStr">
        <is>
          <t>Источник понятий: 125 строк</t>
        </is>
      </c>
    </row>
    <row r="15">
      <c r="A15" s="149" t="inlineStr">
        <is>
          <t>calc</t>
        </is>
      </c>
      <c r="B15" s="152" t="inlineStr">
        <is>
          <t>121 именованная величина. ГЛАВНЫЙ лист для правки цифр</t>
        </is>
      </c>
    </row>
    <row r="16">
      <c r="A16" s="149" t="inlineStr">
        <is>
          <t>Состав</t>
        </is>
      </c>
      <c r="B16" s="152" t="inlineStr">
        <is>
          <t>Группировка параметров отчёта: ID из calc, наименование из глоссария, составные части по номерам. Заполняется по блокам</t>
        </is>
      </c>
    </row>
    <row r="17">
      <c r="A17" s="149" t="inlineStr">
        <is>
          <t>03_Каталоги</t>
        </is>
      </c>
      <c r="B17" s="152" t="inlineStr">
        <is>
          <t>Позиции форм: техника, ПО, реклама, банк</t>
        </is>
      </c>
    </row>
    <row r="18">
      <c r="A18" s="149" t="inlineStr">
        <is>
          <t>04_Итог / 05_Расчёт</t>
        </is>
      </c>
      <c r="B18" s="152" t="inlineStr">
        <is>
          <t>Свод по режиму и расчёт по семи налоговым режимам</t>
        </is>
      </c>
    </row>
    <row r="19">
      <c r="A19" s="149" t="inlineStr">
        <is>
          <t>06_Отчёт / 06b_Отчёт_полный</t>
        </is>
      </c>
      <c r="B19" s="152" t="inlineStr">
        <is>
          <t>Отчёт в книге; 06b — 46 показателей со сверкой с калькулятором</t>
        </is>
      </c>
    </row>
    <row r="20">
      <c r="A20" s="149" t="inlineStr">
        <is>
          <t>07_Интерфейс / 08_UI / 08c_Структура_отчёта</t>
        </is>
      </c>
      <c r="B20" s="152" t="inlineStr">
        <is>
          <t>Структура анкеты и отчёта</t>
        </is>
      </c>
    </row>
    <row r="21">
      <c r="A21" s="149" t="inlineStr">
        <is>
          <t>09_Тексты</t>
        </is>
      </c>
      <c r="B21" s="152" t="inlineStr">
        <is>
          <t>514 надписей: ключ data-t → текст</t>
        </is>
      </c>
    </row>
    <row r="22">
      <c r="A22" s="149" t="inlineStr">
        <is>
          <t>09b_Методика_цифр / 09e_Как_считается</t>
        </is>
      </c>
      <c r="B22" s="152" t="inlineStr">
        <is>
          <t>Как посчитана каждая цифра отчёта</t>
        </is>
      </c>
    </row>
    <row r="23">
      <c r="A23" s="149" t="inlineStr">
        <is>
          <t>09c_Палитра / 09d_Логотип / 09g_Сокращения / 09h_Элементы</t>
        </is>
      </c>
      <c r="B23" s="152" t="inlineStr">
        <is>
          <t>Единый стиль записи и оформления</t>
        </is>
      </c>
    </row>
    <row r="24">
      <c r="A24" s="149" t="inlineStr">
        <is>
          <t>10_Монетизация / 11_Ссылки / 11b_Связка</t>
        </is>
      </c>
      <c r="B24" s="152" t="inlineStr">
        <is>
          <t>Цены, источники норм, контракт данных анкета → отчёт</t>
        </is>
      </c>
    </row>
    <row r="25">
      <c r="A25" s="149" t="inlineStr">
        <is>
          <t>12_Диаграммы / 13_Сетка_скидок / 13b_Программа_лояльности</t>
        </is>
      </c>
      <c r="B25" s="152" t="inlineStr">
        <is>
          <t>Диаграммы, объёмные скидки, программа лояльности</t>
        </is>
      </c>
    </row>
    <row r="26">
      <c r="A26" s="149" t="inlineStr">
        <is>
          <t>14_Опрос</t>
        </is>
      </c>
      <c r="B26" s="152" t="inlineStr">
        <is>
          <t>Опрос в отчёте</t>
        </is>
      </c>
    </row>
    <row r="27">
      <c r="A27" s="149" t="inlineStr">
        <is>
          <t>15_Реестр_полей / 16_Реестр_правил</t>
        </is>
      </c>
      <c r="B27" s="152" t="inlineStr">
        <is>
          <t>Реестры полей и правил — проверяются автоматически</t>
        </is>
      </c>
    </row>
    <row r="28">
      <c r="A28" s="149" t="inlineStr">
        <is>
          <t>28_Журнал_изменений</t>
        </is>
      </c>
      <c r="B28" s="152" t="inlineStr">
        <is>
          <t>Летопись модели</t>
        </is>
      </c>
    </row>
    <row r="30">
      <c r="A30" s="146" t="inlineStr">
        <is>
          <t>ЧТО ГДЕ ПРАВИТЬ</t>
        </is>
      </c>
    </row>
    <row r="31">
      <c r="A31" s="148" t="inlineStr">
        <is>
          <t>Задача</t>
        </is>
      </c>
      <c r="B31" s="148" t="inlineStr">
        <is>
          <t>Куда идти</t>
        </is>
      </c>
    </row>
    <row r="32">
      <c r="A32" s="149" t="inlineStr">
        <is>
          <t>Поменять текст надписи</t>
        </is>
      </c>
      <c r="B32" s="152" t="inlineStr">
        <is>
          <t>09_Тексты → найти по ключу data-t из HTML → колонка «Текст»</t>
        </is>
      </c>
    </row>
    <row r="33">
      <c r="A33" s="149" t="inlineStr">
        <is>
          <t>Поменять цифру или формулу</t>
        </is>
      </c>
      <c r="B33" s="152" t="inlineStr">
        <is>
          <t>calc → колонка «Значение»</t>
        </is>
      </c>
    </row>
    <row r="34">
      <c r="A34" s="149" t="inlineStr">
        <is>
          <t>Поменять цвет</t>
        </is>
      </c>
      <c r="B34" s="152" t="inlineStr">
        <is>
          <t>09c_Палитра → HEX → тот же токен в :root обоих HTML</t>
        </is>
      </c>
    </row>
    <row r="35">
      <c r="A35" s="149" t="inlineStr">
        <is>
          <t>Добавить оборудование</t>
        </is>
      </c>
      <c r="B35" s="152" t="inlineStr">
        <is>
          <t>03_Каталоги → новая строка с кодом формы</t>
        </is>
      </c>
    </row>
    <row r="36">
      <c r="A36" s="149" t="inlineStr">
        <is>
          <t>Изменить скидки, фонд, сертификаты</t>
        </is>
      </c>
      <c r="B36" s="152" t="inlineStr">
        <is>
          <t>13b_Программа_лояльности → жёлтые ячейки</t>
        </is>
      </c>
    </row>
    <row r="38">
      <c r="A38" s="146" t="inlineStr">
        <is>
          <t>ПЕРЕД ПУБЛИКАЦИЕЙ — ОБЯЗАТЕЛЬНО</t>
        </is>
      </c>
    </row>
    <row r="39">
      <c r="A39" s="149" t="inlineStr">
        <is>
          <t>1</t>
        </is>
      </c>
      <c r="B39" s="152" t="inlineStr">
        <is>
          <t>YM_ID → номер счётчика Метрики (сейчас 0)</t>
        </is>
      </c>
    </row>
    <row r="40">
      <c r="A40" s="149" t="inlineStr">
        <is>
          <t>2</t>
        </is>
      </c>
      <c r="B40" s="152" t="inlineStr">
        <is>
          <t>PAY_URL → ссылка оплаты (сейчас «#order»); возврат — report.html?paid=1</t>
        </is>
      </c>
    </row>
    <row r="41">
      <c r="A41" s="149" t="inlineStr">
        <is>
          <t>3</t>
        </is>
      </c>
      <c r="B41" s="152" t="inlineStr">
        <is>
          <t>Выполнить З-039: публикационная копия без DEMO</t>
        </is>
      </c>
    </row>
    <row r="42">
      <c r="A42" s="149" t="inlineStr">
        <is>
          <t>4</t>
        </is>
      </c>
      <c r="B42" s="152" t="inlineStr">
        <is>
          <t>Пройти путь целиком на телефоне и на компьютере</t>
        </is>
      </c>
    </row>
    <row r="44">
      <c r="A44" s="149" t="inlineStr">
        <is>
          <t>Подробности — Документация/Подготовка к запуску/ и README.md в корне проекта.</t>
        </is>
      </c>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6" customWidth="1"/>
    <col min="3" max="3" width="18" customWidth="1"/>
    <col min="4" max="4" width="14" customWidth="1"/>
    <col min="5" max="5" width="14" customWidth="1"/>
    <col min="6" max="6" width="70" customWidth="1"/>
  </cols>
  <sheetData>
    <row r="1">
      <c r="A1" t="inlineStr">
        <is>
          <t xml:space="preserve">№</t>
        </is>
      </c>
      <c r="B1" t="inlineStr">
        <is>
          <t xml:space="preserve">Наименование</t>
        </is>
      </c>
      <c r="C1" t="inlineStr">
        <is>
          <t xml:space="preserve">ID</t>
        </is>
      </c>
      <c r="D1" t="inlineStr">
        <is>
          <t xml:space="preserve">Назначение</t>
        </is>
      </c>
      <c r="E1" t="inlineStr">
        <is>
          <t xml:space="preserve">Тип</t>
        </is>
      </c>
      <c r="F1" t="inlineStr">
        <is>
          <t xml:space="preserve">Определение</t>
        </is>
      </c>
    </row>
    <row r="2">
      <c r="A1" t="inlineStr">
        <is>
          <t xml:space="preserve">1</t>
        </is>
      </c>
      <c r="B2" t="inlineStr">
        <is>
          <t xml:space="preserve">Маркер</t>
        </is>
      </c>
      <c r="C2" t="inlineStr">
        <is>
          <t xml:space="preserve">marker</t>
        </is>
      </c>
      <c r="D2" t="inlineStr">
        <is>
          <t xml:space="preserve">meta</t>
        </is>
      </c>
      <c r="E2" t="inlineStr">
        <is>
          <t xml:space="preserve">—</t>
        </is>
      </c>
      <c r="F2" t="inlineStr">
        <is>
          <t xml:space="preserve">Служебный параметр, который используется для обозначения принадлежности элемента или понятия к определённому типу, категории или назначению.</t>
        </is>
      </c>
    </row>
    <row r="3">
      <c r="A2" t="inlineStr">
        <is>
          <t xml:space="preserve">2</t>
        </is>
      </c>
      <c r="B3" t="inlineStr">
        <is>
          <t xml:space="preserve">id в вёрстке</t>
        </is>
      </c>
      <c r="C3" t="inlineStr">
        <is>
          <t xml:space="preserve">id</t>
        </is>
      </c>
      <c r="D3" t="inlineStr">
        <is>
          <t xml:space="preserve">meta</t>
        </is>
      </c>
      <c r="E3" t="inlineStr">
        <is>
          <t xml:space="preserve">—</t>
        </is>
      </c>
      <c r="F3" t="inlineStr">
        <is>
          <t xml:space="preserve">Обозначение элемента на странице, по которому скрипт подставляет в него рассчитанное значение.</t>
        </is>
      </c>
    </row>
    <row r="4">
      <c r="A3" t="inlineStr">
        <is>
          <t xml:space="preserve">3</t>
        </is>
      </c>
      <c r="B4" t="inlineStr">
        <is>
          <t xml:space="preserve">Служебное понятие</t>
        </is>
      </c>
      <c r="C4" t="inlineStr">
        <is>
          <t xml:space="preserve">meta</t>
        </is>
      </c>
      <c r="D4" t="inlineStr">
        <is>
          <t xml:space="preserve">meta</t>
        </is>
      </c>
      <c r="E4" t="inlineStr">
        <is>
          <t xml:space="preserve">marker</t>
        </is>
      </c>
      <c r="F4" t="inlineStr">
        <is>
          <t xml:space="preserve">Обозначение, описывающее устройство самого калькулятора, а не деятельность специалиста.</t>
        </is>
      </c>
    </row>
    <row r="5">
      <c r="A4" t="inlineStr">
        <is>
          <t xml:space="preserve">4</t>
        </is>
      </c>
      <c r="B5" t="inlineStr">
        <is>
          <t xml:space="preserve">Пользовательское понятие</t>
        </is>
      </c>
      <c r="C5" t="inlineStr">
        <is>
          <t xml:space="preserve">user</t>
        </is>
      </c>
      <c r="D5" t="inlineStr">
        <is>
          <t xml:space="preserve">meta</t>
        </is>
      </c>
      <c r="E5" t="inlineStr">
        <is>
          <t xml:space="preserve">marker</t>
        </is>
      </c>
      <c r="F5" t="inlineStr">
        <is>
          <t xml:space="preserve">Понятие глоссария, предназначенное для публикации в пользовательском справочнике. Одновременно используется во внутренних расчётах, документации и связях проекта.</t>
        </is>
      </c>
    </row>
    <row r="6">
      <c r="A5" t="inlineStr">
        <is>
          <t xml:space="preserve">5</t>
        </is>
      </c>
      <c r="B6" t="inlineStr">
        <is>
          <t xml:space="preserve">Параметр</t>
        </is>
      </c>
      <c r="C6" t="inlineStr">
        <is>
          <t xml:space="preserve">—</t>
        </is>
      </c>
      <c r="D6" t="inlineStr">
        <is>
          <t xml:space="preserve">meta</t>
        </is>
      </c>
      <c r="F6" t="inlineStr">
        <is>
          <t xml:space="preserve">Именованная величина, или характеристика со своим постоянным обозначением, которая используется в расчётах и на которую могут ссылаться формулы и другие параметры.</t>
        </is>
      </c>
    </row>
    <row r="7">
      <c r="A6" t="inlineStr">
        <is>
          <t xml:space="preserve">6</t>
        </is>
      </c>
      <c r="B7" t="inlineStr">
        <is>
          <t xml:space="preserve">Назначение</t>
        </is>
      </c>
      <c r="C7" t="inlineStr">
        <is>
          <t xml:space="preserve">—</t>
        </is>
      </c>
      <c r="D7" t="inlineStr">
        <is>
          <t xml:space="preserve">meta</t>
        </is>
      </c>
      <c r="E7" t="inlineStr">
        <is>
          <t xml:space="preserve">marker</t>
        </is>
      </c>
      <c r="F7" t="inlineStr">
        <is>
          <t xml:space="preserve">Область использования элемента или понятия в структуре Счётикс и его проектной документации.</t>
        </is>
      </c>
    </row>
    <row r="8">
      <c r="A7" t="inlineStr">
        <is>
          <t xml:space="preserve">7</t>
        </is>
      </c>
      <c r="B8" t="inlineStr">
        <is>
          <t xml:space="preserve">Тип</t>
        </is>
      </c>
      <c r="C8" t="inlineStr">
        <is>
          <t xml:space="preserve">—</t>
        </is>
      </c>
      <c r="D8" t="inlineStr">
        <is>
          <t xml:space="preserve">meta</t>
        </is>
      </c>
      <c r="E8" t="inlineStr">
        <is>
          <t xml:space="preserve">marker</t>
        </is>
      </c>
    </row>
    <row r="9">
      <c r="A8" t="inlineStr">
        <is>
          <t xml:space="preserve">8</t>
        </is>
      </c>
      <c r="B9" t="inlineStr">
        <is>
          <t xml:space="preserve">Значение</t>
        </is>
      </c>
      <c r="D9" t="inlineStr">
        <is>
          <t xml:space="preserve">meta</t>
        </is>
      </c>
      <c r="F9" t="inlineStr">
        <is>
          <t xml:space="preserve">Конкретная величина или характеристика параметра, используемая калькулятором для отображения, расчёта или настройки результата.</t>
        </is>
      </c>
    </row>
    <row r="10">
      <c r="A9" t="inlineStr">
        <is>
          <t xml:space="preserve">9</t>
        </is>
      </c>
      <c r="B10" t="inlineStr">
        <is>
          <t xml:space="preserve">Константа</t>
        </is>
      </c>
      <c r="C10" t="inlineStr">
        <is>
          <t xml:space="preserve">const</t>
        </is>
      </c>
      <c r="D10" t="inlineStr">
        <is>
          <t xml:space="preserve">meta</t>
        </is>
      </c>
      <c r="F10" t="inlineStr">
        <is>
          <t xml:space="preserve">Заранее установленное значение, которое используется в расчётах и не изменяется в зависимости от введённых пользователем данных.</t>
        </is>
      </c>
    </row>
    <row r="11">
      <c r="A10" t="inlineStr">
        <is>
          <t xml:space="preserve">10</t>
        </is>
      </c>
      <c r="B11" t="inlineStr">
        <is>
          <t xml:space="preserve">Значение по умолчанию</t>
        </is>
      </c>
      <c r="C11" t="inlineStr">
        <is>
          <t xml:space="preserve">default</t>
        </is>
      </c>
      <c r="D11" t="inlineStr">
        <is>
          <t xml:space="preserve">meta</t>
        </is>
      </c>
      <c r="F11" t="inlineStr">
        <is>
          <t xml:space="preserve">Заранее установленное значение параметра, которое используется автоматически, если пользователь не указал другое значение.</t>
        </is>
      </c>
    </row>
    <row r="12">
      <c r="A11" t="inlineStr">
        <is>
          <t xml:space="preserve">11</t>
        </is>
      </c>
      <c r="B12" t="inlineStr">
        <is>
          <t xml:space="preserve">Введённое значение</t>
        </is>
      </c>
      <c r="D12" t="inlineStr">
        <is>
          <t xml:space="preserve">meta</t>
        </is>
      </c>
      <c r="F12" t="inlineStr">
        <is>
          <t xml:space="preserve">Значение параметра, которое пользователь самостоятельно указал (выбрал из выпадающего списка, ввёл вручную или другим способом) или изменил вручную.</t>
        </is>
      </c>
    </row>
    <row r="13">
      <c r="A12" t="inlineStr">
        <is>
          <t xml:space="preserve">12</t>
        </is>
      </c>
      <c r="B13" t="inlineStr">
        <is>
          <t xml:space="preserve">Тип значения</t>
        </is>
      </c>
      <c r="D13" t="inlineStr">
        <is>
          <t xml:space="preserve">meta</t>
        </is>
      </c>
      <c r="F13" t="inlineStr">
        <is>
          <t xml:space="preserve">Определяет, что означает значение параметра и как с ним работать в калькуляторе: процент, денежная сумма, время, количество, текст, выбор и т. д.</t>
        </is>
      </c>
    </row>
    <row r="14">
      <c r="A13" t="inlineStr">
        <is>
          <t xml:space="preserve">13</t>
        </is>
      </c>
      <c r="B14" t="inlineStr">
        <is>
          <t xml:space="preserve">Расчётное значение (Формула)</t>
        </is>
      </c>
      <c r="D14" t="inlineStr">
        <is>
          <t xml:space="preserve">meta</t>
        </is>
      </c>
      <c r="F14" t="inlineStr">
        <is>
          <t xml:space="preserve">Значение, полученное в результате вычисления на основе других параметров.</t>
        </is>
      </c>
    </row>
    <row r="15">
      <c r="A14" t="inlineStr">
        <is>
          <t xml:space="preserve">14</t>
        </is>
      </c>
      <c r="B15" t="inlineStr">
        <is>
          <t xml:space="preserve">Отображаемое значение</t>
        </is>
      </c>
      <c r="D15" t="inlineStr">
        <is>
          <t xml:space="preserve">meta</t>
        </is>
      </c>
      <c r="F15" t="inlineStr">
        <is>
          <t xml:space="preserve">Значение, которое выводится пользователю в интерфейсе и может отличаться от фактического значения параметра из-за форматирования, округления или способа представления.</t>
        </is>
      </c>
    </row>
    <row r="16">
      <c r="A15" t="inlineStr">
        <is>
          <t xml:space="preserve">15</t>
        </is>
      </c>
      <c r="B16" t="inlineStr">
        <is>
          <t xml:space="preserve">Вводимые данные</t>
        </is>
      </c>
      <c r="C16" t="inlineStr">
        <is>
          <t xml:space="preserve">input_data</t>
        </is>
      </c>
      <c r="D16" t="inlineStr">
        <is>
          <t xml:space="preserve">meta</t>
        </is>
      </c>
      <c r="F16" t="inlineStr">
        <is>
          <t xml:space="preserve">Данные введенные пользователем вручную</t>
        </is>
      </c>
    </row>
    <row r="17">
      <c r="A16" t="inlineStr">
        <is>
          <t xml:space="preserve">16</t>
        </is>
      </c>
      <c r="B17" t="inlineStr">
        <is>
          <t xml:space="preserve">Интерфейс</t>
        </is>
      </c>
      <c r="C17" t="inlineStr">
        <is>
          <t xml:space="preserve">ui</t>
        </is>
      </c>
      <c r="D17" t="inlineStr">
        <is>
          <t xml:space="preserve">meta</t>
        </is>
      </c>
      <c r="E17" t="inlineStr">
        <is>
          <t xml:space="preserve">marker</t>
        </is>
      </c>
      <c r="F17" t="inlineStr">
        <is>
          <t xml:space="preserve">Совокупность элементов, с которыми взаимодействует пользователь.</t>
        </is>
      </c>
    </row>
    <row r="18">
      <c r="A17" t="inlineStr">
        <is>
          <t xml:space="preserve">17</t>
        </is>
      </c>
      <c r="B18" t="inlineStr">
        <is>
          <t xml:space="preserve">Страница</t>
        </is>
      </c>
      <c r="D18" t="inlineStr">
        <is>
          <t xml:space="preserve">meta</t>
        </is>
      </c>
      <c r="E18" t="inlineStr">
        <is>
          <t xml:space="preserve">ui</t>
        </is>
      </c>
      <c r="F18" t="inlineStr">
        <is>
          <t xml:space="preserve">Отдельный экран интерфейса, содержащий определённый набор элементов.</t>
        </is>
      </c>
    </row>
    <row r="19">
      <c r="A18" t="inlineStr">
        <is>
          <t xml:space="preserve">18</t>
        </is>
      </c>
      <c r="B19" t="inlineStr">
        <is>
          <t xml:space="preserve">Анкета</t>
        </is>
      </c>
      <c r="D19" t="inlineStr">
        <is>
          <t xml:space="preserve">meta</t>
        </is>
      </c>
      <c r="E19" t="inlineStr">
        <is>
          <t xml:space="preserve">ui</t>
        </is>
      </c>
      <c r="F19" t="inlineStr">
        <is>
          <t xml:space="preserve">Часть интерфейса, предназначенная для последовательного ввода пользователем данных для расчета.</t>
        </is>
      </c>
    </row>
    <row r="20">
      <c r="A19" t="inlineStr">
        <is>
          <t xml:space="preserve">19</t>
        </is>
      </c>
      <c r="B20" t="inlineStr">
        <is>
          <t xml:space="preserve">Отчёт</t>
        </is>
      </c>
      <c r="C20" t="inlineStr">
        <is>
          <t xml:space="preserve">report</t>
        </is>
      </c>
      <c r="D20" t="inlineStr">
        <is>
          <t xml:space="preserve">meta</t>
        </is>
      </c>
      <c r="E20" t="inlineStr">
        <is>
          <t xml:space="preserve">ui</t>
        </is>
      </c>
      <c r="F20" t="inlineStr">
        <is>
          <t xml:space="preserve">Часть интерфейса, предназначенная для представления результатов расчёта.</t>
        </is>
      </c>
    </row>
    <row r="21">
      <c r="A20" t="inlineStr">
        <is>
          <t xml:space="preserve">20</t>
        </is>
      </c>
      <c r="B21" t="inlineStr">
        <is>
          <t xml:space="preserve">Главный экран</t>
        </is>
      </c>
      <c r="C21" t="inlineStr">
        <is>
          <t xml:space="preserve">hero</t>
        </is>
      </c>
      <c r="D21" t="inlineStr">
        <is>
          <t xml:space="preserve">meta</t>
        </is>
      </c>
      <c r="E21" t="inlineStr">
        <is>
          <t xml:space="preserve">ui</t>
        </is>
      </c>
      <c r="F21" t="inlineStr">
        <is>
          <t xml:space="preserve">Главный блок на странице</t>
        </is>
      </c>
    </row>
    <row r="22">
      <c r="A21" t="inlineStr">
        <is>
          <t xml:space="preserve">21</t>
        </is>
      </c>
      <c r="B22" t="inlineStr">
        <is>
          <t xml:space="preserve">Раздел</t>
        </is>
      </c>
      <c r="C22" t="inlineStr">
        <is>
          <t xml:space="preserve">section</t>
        </is>
      </c>
      <c r="D22" t="inlineStr">
        <is>
          <t xml:space="preserve">meta</t>
        </is>
      </c>
      <c r="E22" t="inlineStr">
        <is>
          <t xml:space="preserve">ui</t>
        </is>
      </c>
      <c r="F22" t="inlineStr">
        <is>
          <t xml:space="preserve">Крупная часть анкеты, объединяющая несколько блоков.</t>
        </is>
      </c>
    </row>
    <row r="23">
      <c r="A22" t="inlineStr">
        <is>
          <t xml:space="preserve">22</t>
        </is>
      </c>
      <c r="B23" t="inlineStr">
        <is>
          <t xml:space="preserve">Блок</t>
        </is>
      </c>
      <c r="C23" t="inlineStr">
        <is>
          <t xml:space="preserve">block</t>
        </is>
      </c>
      <c r="D23" t="inlineStr">
        <is>
          <t xml:space="preserve">meta</t>
        </is>
      </c>
      <c r="E23" t="inlineStr">
        <is>
          <t xml:space="preserve">ui</t>
        </is>
      </c>
      <c r="F23" t="inlineStr">
        <is>
          <t xml:space="preserve">Смысловая часть анкеты: один вопрос или группа связанных вопросов с общим заголовком.</t>
        </is>
      </c>
    </row>
    <row r="24">
      <c r="A23" t="inlineStr">
        <is>
          <t xml:space="preserve">23</t>
        </is>
      </c>
      <c r="B24" t="inlineStr">
        <is>
          <t xml:space="preserve">Выпадающий список</t>
        </is>
      </c>
      <c r="C24" t="inlineStr">
        <is>
          <t xml:space="preserve">dropdown</t>
        </is>
      </c>
      <c r="D24" t="inlineStr">
        <is>
          <t xml:space="preserve">meta</t>
        </is>
      </c>
      <c r="E24" t="inlineStr">
        <is>
          <t xml:space="preserve">ui</t>
        </is>
      </c>
      <c r="F24" t="inlineStr">
        <is>
          <t xml:space="preserve">Выпадающий список с выбором одного варианта.</t>
        </is>
      </c>
    </row>
    <row r="25">
      <c r="A24" t="inlineStr">
        <is>
          <t xml:space="preserve">24</t>
        </is>
      </c>
      <c r="B25" t="inlineStr">
        <is>
          <t xml:space="preserve">Поле с ручным вводом</t>
        </is>
      </c>
      <c r="D25" t="inlineStr">
        <is>
          <t xml:space="preserve">meta</t>
        </is>
      </c>
      <c r="E25" t="inlineStr">
        <is>
          <t xml:space="preserve">ui</t>
        </is>
      </c>
      <c r="F25" t="inlineStr">
        <is>
          <t xml:space="preserve">Элемент интерфейса, позволяющий пользователю самостоятельно ввести значение с клавиатуры в предусмотренное для этого поле.</t>
        </is>
      </c>
    </row>
    <row r="26">
      <c r="A25" t="inlineStr">
        <is>
          <t xml:space="preserve">25</t>
        </is>
      </c>
      <c r="B26" t="inlineStr">
        <is>
          <t xml:space="preserve">Галочка</t>
        </is>
      </c>
      <c r="C26" t="inlineStr">
        <is>
          <t xml:space="preserve">checkbox</t>
        </is>
      </c>
      <c r="D26" t="inlineStr">
        <is>
          <t xml:space="preserve">meta</t>
        </is>
      </c>
      <c r="E26" t="inlineStr">
        <is>
          <t xml:space="preserve">ui</t>
        </is>
      </c>
      <c r="F26" t="inlineStr">
        <is>
          <t xml:space="preserve">Включает или выключает блок либо строку расчёта.</t>
        </is>
      </c>
    </row>
    <row r="27">
      <c r="A26" t="inlineStr">
        <is>
          <t xml:space="preserve">26</t>
        </is>
      </c>
      <c r="B27" t="inlineStr">
        <is>
          <t xml:space="preserve">Обратная галочка</t>
        </is>
      </c>
      <c r="D27" t="inlineStr">
        <is>
          <t xml:space="preserve">meta</t>
        </is>
      </c>
      <c r="E27" t="inlineStr">
        <is>
          <t xml:space="preserve">ui</t>
        </is>
      </c>
      <c r="F27" t="inlineStr">
        <is>
          <t xml:space="preserve">Элемент интерфейса, позволяющий пользователю включить или отключить определённую опцию. Установка галочки активирует соответствующий блок или функцию, снятие галочки — отключает их.</t>
        </is>
      </c>
    </row>
    <row r="28">
      <c r="A27" t="inlineStr">
        <is>
          <t xml:space="preserve">27</t>
        </is>
      </c>
      <c r="B28" t="inlineStr">
        <is>
          <t xml:space="preserve">Переключатель</t>
        </is>
      </c>
      <c r="C28" t="inlineStr">
        <is>
          <t xml:space="preserve">switch</t>
        </is>
      </c>
      <c r="D28" t="inlineStr">
        <is>
          <t xml:space="preserve">meta</t>
        </is>
      </c>
      <c r="E28" t="inlineStr">
        <is>
          <t xml:space="preserve">ui</t>
        </is>
      </c>
      <c r="F28" t="inlineStr">
        <is>
          <t xml:space="preserve">Параметр с выбором из нескольких вариантов, который меняет не только значение, но и сам ход расчёта.</t>
        </is>
      </c>
    </row>
    <row r="29">
      <c r="A28" t="inlineStr">
        <is>
          <t xml:space="preserve">28</t>
        </is>
      </c>
      <c r="B29" t="inlineStr">
        <is>
          <t xml:space="preserve">Текстовый блок</t>
        </is>
      </c>
      <c r="C29" t="inlineStr">
        <is>
          <t xml:space="preserve">info_block</t>
        </is>
      </c>
      <c r="D29" t="inlineStr">
        <is>
          <t xml:space="preserve">meta</t>
        </is>
      </c>
      <c r="E29" t="inlineStr">
        <is>
          <t xml:space="preserve">ui</t>
        </is>
      </c>
      <c r="F29" t="inlineStr">
        <is>
          <t xml:space="preserve">Пояснительный текст без полей ввода.</t>
        </is>
      </c>
    </row>
    <row r="30">
      <c r="A29" t="inlineStr">
        <is>
          <t xml:space="preserve">29</t>
        </is>
      </c>
      <c r="B30" t="inlineStr">
        <is>
          <t xml:space="preserve">Форма</t>
        </is>
      </c>
      <c r="C30" t="inlineStr">
        <is>
          <t xml:space="preserve">form</t>
        </is>
      </c>
      <c r="D30" t="inlineStr">
        <is>
          <t xml:space="preserve">meta</t>
        </is>
      </c>
      <c r="E30" t="inlineStr">
        <is>
          <t xml:space="preserve">ui</t>
        </is>
      </c>
      <c r="F30" t="inlineStr">
        <is>
          <t xml:space="preserve">Набор однотипных строк, которые пользователь заполняет списком.</t>
        </is>
      </c>
    </row>
    <row r="31">
      <c r="A30" t="inlineStr">
        <is>
          <t xml:space="preserve">30</t>
        </is>
      </c>
      <c r="B31" t="inlineStr">
        <is>
          <t xml:space="preserve">Каталог</t>
        </is>
      </c>
      <c r="C31" t="inlineStr">
        <is>
          <t xml:space="preserve">cat_form, cat_year</t>
        </is>
      </c>
      <c r="D31" t="inlineStr">
        <is>
          <t xml:space="preserve">meta</t>
        </is>
      </c>
      <c r="E31" t="inlineStr">
        <is>
          <t xml:space="preserve">ui</t>
        </is>
      </c>
      <c r="F31" t="inlineStr">
        <is>
          <t xml:space="preserve">Список позиций формы вместе с ценой, сроком службы, периодом платежа и годовой суммой.</t>
        </is>
      </c>
    </row>
    <row r="32">
      <c r="A31" t="inlineStr">
        <is>
          <t xml:space="preserve">31</t>
        </is>
      </c>
      <c r="B32" t="inlineStr">
        <is>
          <t xml:space="preserve">Таблица</t>
        </is>
      </c>
      <c r="D32" t="inlineStr">
        <is>
          <t xml:space="preserve">meta</t>
        </is>
      </c>
      <c r="E32" t="inlineStr">
        <is>
          <t xml:space="preserve">ui</t>
        </is>
      </c>
      <c r="F32" t="inlineStr">
        <is>
          <t xml:space="preserve">Элемент интерфейса, предназначенный для представления структурированной информации в виде строк и столбцов, где данные распределены по определённым категориям и показателям.</t>
        </is>
      </c>
    </row>
    <row r="33">
      <c r="A32" t="inlineStr">
        <is>
          <t xml:space="preserve">32</t>
        </is>
      </c>
      <c r="B33" t="inlineStr">
        <is>
          <t xml:space="preserve">Шапка таблицы</t>
        </is>
      </c>
      <c r="C33" t="inlineStr">
        <is>
          <t xml:space="preserve">table_head</t>
        </is>
      </c>
      <c r="D33" t="inlineStr">
        <is>
          <t xml:space="preserve">meta</t>
        </is>
      </c>
      <c r="E33" t="inlineStr">
        <is>
          <t xml:space="preserve">ui</t>
        </is>
      </c>
      <c r="F33" t="inlineStr">
        <is>
          <t xml:space="preserve">Названия столбцов таблицы.</t>
        </is>
      </c>
    </row>
    <row r="34">
      <c r="A33" t="inlineStr">
        <is>
          <t xml:space="preserve">33</t>
        </is>
      </c>
      <c r="B34" t="inlineStr">
        <is>
          <t xml:space="preserve">Строка таблицы</t>
        </is>
      </c>
      <c r="C34" t="inlineStr">
        <is>
          <t xml:space="preserve">table_row</t>
        </is>
      </c>
      <c r="D34" t="inlineStr">
        <is>
          <t xml:space="preserve">meta</t>
        </is>
      </c>
      <c r="E34" t="inlineStr">
        <is>
          <t xml:space="preserve">ui</t>
        </is>
      </c>
      <c r="F34" t="inlineStr">
        <is>
          <t xml:space="preserve">Одна строка, заполняемая пользователем.</t>
        </is>
      </c>
    </row>
    <row r="35">
      <c r="A34" t="inlineStr">
        <is>
          <t xml:space="preserve">34</t>
        </is>
      </c>
      <c r="B35" t="inlineStr">
        <is>
          <t xml:space="preserve">Кнопка</t>
        </is>
      </c>
      <c r="C35" t="inlineStr">
        <is>
          <t xml:space="preserve">button</t>
        </is>
      </c>
      <c r="D35" t="inlineStr">
        <is>
          <t xml:space="preserve">meta</t>
        </is>
      </c>
      <c r="E35" t="inlineStr">
        <is>
          <t xml:space="preserve">ui</t>
        </is>
      </c>
      <c r="F35" t="inlineStr">
        <is>
          <t xml:space="preserve">Элемент интерфейса, предназначенный для выполнения определённого действия при нажатии.</t>
        </is>
      </c>
    </row>
    <row r="36">
      <c r="A35" t="inlineStr">
        <is>
          <t xml:space="preserve">35</t>
        </is>
      </c>
      <c r="B36" t="inlineStr">
        <is>
          <t xml:space="preserve">Строка показателей</t>
        </is>
      </c>
      <c r="C36" t="inlineStr">
        <is>
          <t xml:space="preserve">report_row</t>
        </is>
      </c>
      <c r="D36" t="inlineStr">
        <is>
          <t xml:space="preserve">meta</t>
        </is>
      </c>
      <c r="E36" t="inlineStr">
        <is>
          <t xml:space="preserve">ui</t>
        </is>
      </c>
      <c r="F36" t="inlineStr">
        <is>
          <t xml:space="preserve">Три показателя в строку под главной плашкой.</t>
        </is>
      </c>
    </row>
    <row r="37">
      <c r="A36" t="inlineStr">
        <is>
          <t xml:space="preserve">36</t>
        </is>
      </c>
      <c r="B37" t="inlineStr">
        <is>
          <t xml:space="preserve">Диаграмма</t>
        </is>
      </c>
      <c r="C37" t="inlineStr">
        <is>
          <t xml:space="preserve">chart_donut</t>
        </is>
      </c>
      <c r="D37" t="inlineStr">
        <is>
          <t xml:space="preserve">meta</t>
        </is>
      </c>
      <c r="E37" t="inlineStr">
        <is>
          <t xml:space="preserve">ui</t>
        </is>
      </c>
      <c r="F37" t="inlineStr">
        <is>
          <t xml:space="preserve">Кольцо с сегментами и легендой.</t>
        </is>
      </c>
    </row>
    <row r="38">
      <c r="A37" t="inlineStr">
        <is>
          <t xml:space="preserve">37</t>
        </is>
      </c>
      <c r="B38" t="inlineStr">
        <is>
          <t xml:space="preserve">Книга</t>
        </is>
      </c>
      <c r="D38" t="inlineStr">
        <is>
          <t xml:space="preserve">meta</t>
        </is>
      </c>
      <c r="E38" t="inlineStr">
        <is>
          <t xml:space="preserve">ui</t>
        </is>
      </c>
      <c r="F38" t="inlineStr">
        <is>
          <t xml:space="preserve">Совокупность взаимосвязанных таблиц, объединённых в один файл или документ и предназначенных для совместного хранения, обработки и расчёта данных.</t>
        </is>
      </c>
    </row>
    <row r="39">
      <c r="A38" t="inlineStr">
        <is>
          <t xml:space="preserve">38</t>
        </is>
      </c>
      <c r="B39" t="inlineStr">
        <is>
          <t xml:space="preserve">Лист книги</t>
        </is>
      </c>
      <c r="C39" t="inlineStr">
        <is>
          <t xml:space="preserve">list</t>
        </is>
      </c>
      <c r="D39" t="inlineStr">
        <is>
          <t xml:space="preserve">meta</t>
        </is>
      </c>
      <c r="E39" t="inlineStr">
        <is>
          <t xml:space="preserve">ui</t>
        </is>
      </c>
      <c r="F39" t="inlineStr">
        <is>
          <t xml:space="preserve">Отдельная страница книги с номером и назначением в названии.</t>
        </is>
      </c>
    </row>
    <row r="40">
      <c r="A39" t="inlineStr">
        <is>
          <t xml:space="preserve">39</t>
        </is>
      </c>
      <c r="B40" t="inlineStr">
        <is>
          <t xml:space="preserve">Выручка</t>
        </is>
      </c>
      <c r="D40" t="inlineStr">
        <is>
          <t xml:space="preserve">user</t>
        </is>
      </c>
      <c r="F40" t="inlineStr">
        <is>
          <t xml:space="preserve">Общая сумма денежных средств, которую специалист получает от продажи своих услуг за определённый период, включая суммы, предназначенные для покрытия всех расходов и обязательных платежей, налогов, стоимости оборудования и его амортизации, банковских расходов, резервов на отпуск, развитие, обучение и другие предусмотренные расчётом затраты, а также доход специалиста.</t>
        </is>
      </c>
    </row>
    <row r="41">
      <c r="A40" t="inlineStr">
        <is>
          <t xml:space="preserve">40</t>
        </is>
      </c>
      <c r="B41" t="inlineStr">
        <is>
          <t xml:space="preserve">Доход</t>
        </is>
      </c>
      <c r="D41" t="inlineStr">
        <is>
          <t xml:space="preserve">user</t>
        </is>
      </c>
      <c r="F41" t="inlineStr">
        <is>
          <t xml:space="preserve">Денежные средства, остающиеся у специалиста от профессиональной деятельности после покрытия связанных с этой деятельностью расходов, налогов и обязательных платежей.</t>
        </is>
      </c>
    </row>
    <row r="42">
      <c r="A41" t="inlineStr">
        <is>
          <t xml:space="preserve">41</t>
        </is>
      </c>
      <c r="B42" t="inlineStr">
        <is>
          <t xml:space="preserve">Желаемый доход</t>
        </is>
      </c>
      <c r="D42" t="inlineStr">
        <is>
          <t xml:space="preserve">user</t>
        </is>
      </c>
      <c r="F42" t="inlineStr">
        <is>
          <t xml:space="preserve">Сумма денежных средств, которую специалист планирует получать на руки от своей профессиональной деятельности после покрытия всех расходов, налогов и обязательных платежей ежемесячно в течение года, включая периоды оплачиваемого отпуска.</t>
        </is>
      </c>
    </row>
    <row r="43">
      <c r="A42" t="inlineStr">
        <is>
          <t xml:space="preserve">42</t>
        </is>
      </c>
      <c r="B43" t="inlineStr">
        <is>
          <t xml:space="preserve">Доход на руки</t>
        </is>
      </c>
      <c r="D43" t="inlineStr">
        <is>
          <t xml:space="preserve">user</t>
        </is>
      </c>
      <c r="F43"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44">
      <c r="A43" t="inlineStr">
        <is>
          <t xml:space="preserve">43</t>
        </is>
      </c>
      <c r="B44" t="inlineStr">
        <is>
          <t xml:space="preserve">Ставка часа съёмки (стоимость часа съёмки)</t>
        </is>
      </c>
      <c r="D44" t="inlineStr">
        <is>
          <t xml:space="preserve">user</t>
        </is>
      </c>
      <c r="F44" t="inlineStr">
        <is>
          <t xml:space="preserve">Стоимость одного часа съёмочных работ, установленная специалистом для клиента.</t>
        </is>
      </c>
    </row>
    <row r="45">
      <c r="A44" t="inlineStr">
        <is>
          <t xml:space="preserve">44</t>
        </is>
      </c>
      <c r="B45" t="inlineStr">
        <is>
          <t xml:space="preserve">Текущая ставка</t>
        </is>
      </c>
      <c r="C45" t="inlineStr">
        <is>
          <t xml:space="preserve">current_rate</t>
        </is>
      </c>
      <c r="D45" t="inlineStr">
        <is>
          <t xml:space="preserve">user</t>
        </is>
      </c>
      <c r="E45" t="inlineStr">
        <is>
          <t xml:space="preserve">default</t>
        </is>
      </c>
      <c r="F45" t="inlineStr">
        <is>
          <t xml:space="preserve">Стоимость одного часа работы фотографа на съёмочной площадке, по которой он в настоящее время оказывает услуги клиентам.</t>
        </is>
      </c>
    </row>
    <row r="47">
      <c r="A46" t="inlineStr">
        <is>
          <t xml:space="preserve">46</t>
        </is>
      </c>
      <c r="B47" t="inlineStr">
        <is>
          <t xml:space="preserve">Ставка в ноль</t>
        </is>
      </c>
      <c r="D47" t="inlineStr">
        <is>
          <t xml:space="preserve">user</t>
        </is>
      </c>
      <c r="F47" t="inlineStr">
        <is>
          <t xml:space="preserve">Минимальная стоимость съёмочного часа, при которой специалист достигает точки безубыточности, то есть получает выручку, достаточную для покрытия предусмотренных расчётом расходов и обязательных платежей, но не получает дохода сверх них.</t>
        </is>
      </c>
      <c r="C47" t="inlineStr">
        <is>
          <t xml:space="preserve">rateZero</t>
        </is>
      </c>
      <c r="E47" t="inlineStr">
        <is>
          <t xml:space="preserve">calc</t>
        </is>
      </c>
    </row>
    <row r="48">
      <c r="A47" t="inlineStr">
        <is>
          <t xml:space="preserve">47</t>
        </is>
      </c>
      <c r="B48" t="inlineStr">
        <is>
          <t xml:space="preserve">Точка безубыточности</t>
        </is>
      </c>
      <c r="D48" t="inlineStr">
        <is>
          <t xml:space="preserve">user</t>
        </is>
      </c>
      <c r="F48" t="inlineStr">
        <is>
          <t xml:space="preserve">Минимальный объём выручки или продаж за определённый период, необходимый для покрытия всех предусмотренных расчётом расходов, налогов и обязательных платежей без получения дополнительного дохода. Может выражаться в денежных единицах, количестве съёмок, съёмочных часах или других единицах объёма деятельности.</t>
        </is>
      </c>
    </row>
    <row r="49">
      <c r="A48" t="inlineStr">
        <is>
          <t xml:space="preserve">48</t>
        </is>
      </c>
      <c r="B49" t="inlineStr">
        <is>
          <t xml:space="preserve">Минимальное количество съёмок для покрытия расходов</t>
        </is>
      </c>
      <c r="D49" t="inlineStr">
        <is>
          <t xml:space="preserve">user</t>
        </is>
      </c>
      <c r="F49" t="inlineStr">
        <is>
          <t xml:space="preserve">Точка безубыточности в натуральном выражении. Объём реализации в натуральных единицах, при котором выручка покрывает все предусмотренные расчётом затраты, а доход специалиста равен нулю. Для фотографа показатель может выражаться в количестве съёмочных проектов, необходимых для достижения точки безубыточности за выбранный период.</t>
        </is>
      </c>
    </row>
    <row r="50">
      <c r="A49" t="inlineStr">
        <is>
          <t xml:space="preserve">49</t>
        </is>
      </c>
      <c r="B50" t="inlineStr">
        <is>
          <t xml:space="preserve">Доход в час на руки</t>
        </is>
      </c>
      <c r="D50" t="inlineStr">
        <is>
          <t xml:space="preserve">user</t>
        </is>
      </c>
      <c r="F50" t="inlineStr">
        <is>
          <t xml:space="preserve">Сумма, которую специалист получает на руки за один рабочий час при сравнении с наймом. Считается так: желаемый доход на руки за 11 месяцев делится на рабочее время — рабочие дни, умноженные на восемь часов.</t>
        </is>
      </c>
    </row>
    <row r="51">
      <c r="A50" t="inlineStr">
        <is>
          <t xml:space="preserve">50</t>
        </is>
      </c>
      <c r="B51" t="inlineStr">
        <is>
          <t xml:space="preserve">Базовая ставка</t>
        </is>
      </c>
      <c r="C51" t="inlineStr">
        <is>
          <t xml:space="preserve">base_rate</t>
        </is>
      </c>
      <c r="D51" t="inlineStr">
        <is>
          <t xml:space="preserve">user</t>
        </is>
      </c>
      <c r="E51" t="inlineStr">
        <is>
          <t xml:space="preserve">calc</t>
        </is>
      </c>
      <c r="F51" t="inlineStr">
        <is>
          <t xml:space="preserve">Стоимость одного часа работы специалиста при оказании услуг клиенту вне съёмочной площадки, рассчитанная с учётом всех затрат, необходимых для профессиональной деятельности специалиста, включая расходы на оборудование, налоги, обязательные платежи, отпуск и другие предусмотренные расчётом затраты, без повышающего коэффициента, применяемого к съёмочному часу.
Используется для формирования стоимости услуг, не связанных непосредственно со съёмкой, например ретуши, индивидуальных консультаций и выполнения индивидуальных задач для клиента.</t>
        </is>
      </c>
    </row>
    <row r="52">
      <c r="A51" t="inlineStr">
        <is>
          <t xml:space="preserve">51</t>
        </is>
      </c>
      <c r="B52" t="inlineStr">
        <is>
          <t xml:space="preserve">Месяц</t>
        </is>
      </c>
      <c r="D52" t="inlineStr">
        <is>
          <t xml:space="preserve">user</t>
        </is>
      </c>
      <c r="F52" t="inlineStr">
        <is>
          <t xml:space="preserve">Календарный период продолжительностью от 28 до 31 календарного дня, имеющий наименование и порядковый номер в году.</t>
        </is>
      </c>
    </row>
    <row r="53">
      <c r="A52" t="inlineStr">
        <is>
          <t xml:space="preserve">52</t>
        </is>
      </c>
      <c r="B53" t="inlineStr">
        <is>
          <t xml:space="preserve">Квартал</t>
        </is>
      </c>
      <c r="D53" t="inlineStr">
        <is>
          <t xml:space="preserve">user</t>
        </is>
      </c>
      <c r="F53" t="inlineStr">
        <is>
          <t xml:space="preserve">Календарный период продолжительностью три последовательных месяца. Календарный год состоит из четырёх кварталов.</t>
        </is>
      </c>
    </row>
    <row r="54">
      <c r="A53" t="inlineStr">
        <is>
          <t xml:space="preserve">53</t>
        </is>
      </c>
      <c r="B54" t="inlineStr">
        <is>
          <t xml:space="preserve">Год</t>
        </is>
      </c>
      <c r="D54" t="inlineStr">
        <is>
          <t xml:space="preserve">user</t>
        </is>
      </c>
      <c r="F54" t="inlineStr">
        <is>
          <t xml:space="preserve">Календарный период продолжительностью 12 последовательных месяцев, включающий четыре квартала.</t>
        </is>
      </c>
    </row>
    <row r="55">
      <c r="A54" t="inlineStr">
        <is>
          <t xml:space="preserve">54</t>
        </is>
      </c>
      <c r="B55" t="inlineStr">
        <is>
          <t xml:space="preserve">Рабочее время</t>
        </is>
      </c>
      <c r="D55" t="inlineStr">
        <is>
          <t xml:space="preserve">user</t>
        </is>
      </c>
      <c r="F55"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 Нормальная продолжительность рабочего времени не может превышать 40 часов в неделю.</t>
        </is>
      </c>
    </row>
    <row r="56">
      <c r="A55" t="inlineStr">
        <is>
          <t xml:space="preserve">55</t>
        </is>
      </c>
      <c r="B56" t="inlineStr">
        <is>
          <t xml:space="preserve">Эффективное рабочее время</t>
        </is>
      </c>
      <c r="D56" t="inlineStr">
        <is>
          <t xml:space="preserve">user</t>
        </is>
      </c>
      <c r="F56" t="inlineStr">
        <is>
          <t xml:space="preserve">Время рабочего дня, фактически доступное для выполнения профессиональных задач после учёта объективно необходимых перерывов на отдых, личные потребности, восстановление работоспособности, подготовку и обслуживание рабочего места. Такие затраты времени являются естественной частью организации труда и учитываются при нормировании рабочей нагрузки.</t>
        </is>
      </c>
    </row>
    <row r="57">
      <c r="A56" t="inlineStr">
        <is>
          <t xml:space="preserve">56</t>
        </is>
      </c>
      <c r="B57" t="inlineStr">
        <is>
          <t xml:space="preserve">Неэффективное рабочее время</t>
        </is>
      </c>
      <c r="D57" t="inlineStr">
        <is>
          <t xml:space="preserve">user</t>
        </is>
      </c>
      <c r="F57" t="inlineStr">
        <is>
          <t xml:space="preserve">Часть рабочего времени, затрачиваемая на действия и перерывы, не связанные непосредственно с выполнением основной оплачиваемой работы, включая личные потребности, отдых, обслуживание рабочего места, внутренние коммуникации и другие отвлечения. Используется в Счётикс для учёта времени, которое фактически не может быть использовано для выполнения оплачиваемой работы.</t>
        </is>
      </c>
    </row>
    <row r="58">
      <c r="A57" t="inlineStr">
        <is>
          <t xml:space="preserve">57</t>
        </is>
      </c>
      <c r="B58" t="inlineStr">
        <is>
          <t xml:space="preserve">Выходной</t>
        </is>
      </c>
      <c r="D58" t="inlineStr">
        <is>
          <t xml:space="preserve">user</t>
        </is>
      </c>
      <c r="F58" t="inlineStr">
        <is>
          <t xml:space="preserve">Дни недели, в которые работник освобождён от выполнения трудовых обязанностей в соответствии с установленным режимом рабочего времени. Предоставляются для еженедельного непрерывного отдыха. По общему правилу при пятидневной рабочей неделе предоставляются два выходных дня, при шестидневной — один.</t>
        </is>
      </c>
    </row>
    <row r="59">
      <c r="A58" t="inlineStr">
        <is>
          <t xml:space="preserve">58</t>
        </is>
      </c>
      <c r="B59" t="inlineStr">
        <is>
          <t xml:space="preserve">Праздник</t>
        </is>
      </c>
      <c r="D59" t="inlineStr">
        <is>
          <t xml:space="preserve">user</t>
        </is>
      </c>
      <c r="F59"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60">
      <c r="A59" t="inlineStr">
        <is>
          <t xml:space="preserve">59</t>
        </is>
      </c>
      <c r="B60" t="inlineStr">
        <is>
          <t xml:space="preserve">Отпуск</t>
        </is>
      </c>
      <c r="D60" t="inlineStr">
        <is>
          <t xml:space="preserve">user</t>
        </is>
      </c>
      <c r="F60" t="inlineStr">
        <is>
          <t xml:space="preserve">Ежегодный период освобождения от работы для отдыха и восстановления, на время которого специалист предусматривает сохранение дохода. Основная продолжительность ежегодного оплачиваемого отпуска составляет 28 календарных дней.</t>
        </is>
      </c>
    </row>
    <row r="61">
      <c r="A60" t="inlineStr">
        <is>
          <t xml:space="preserve">60</t>
        </is>
      </c>
      <c r="B61" t="inlineStr">
        <is>
          <t xml:space="preserve">Отпуск / рабочих дней</t>
        </is>
      </c>
      <c r="D61" t="inlineStr">
        <is>
          <t xml:space="preserve">meta</t>
        </is>
      </c>
      <c r="F61" t="inlineStr">
        <is>
          <t xml:space="preserve">Количество рабочих дней, приходящихся на период ежегодного оплачиваемого отпуска, используемое Счётикс для расчёта доступного рабочего времени. Показатель определяется на основании продолжительности отпуска и производственного календаря и используется только для внутренних расчётов.</t>
        </is>
      </c>
    </row>
    <row r="62">
      <c r="A61" t="inlineStr">
        <is>
          <t xml:space="preserve">61</t>
        </is>
      </c>
      <c r="B62" t="inlineStr">
        <is>
          <t xml:space="preserve">Больничный</t>
        </is>
      </c>
      <c r="D62" t="inlineStr">
        <is>
          <t xml:space="preserve">user</t>
        </is>
      </c>
      <c r="F62" t="inlineStr">
        <is>
          <t xml:space="preserve">Период временной нетрудоспособности из-за болезни, травмы или иных обстоятельств, в течение которого человек не может выполнять работу.</t>
        </is>
      </c>
    </row>
    <row r="63">
      <c r="A62" t="inlineStr">
        <is>
          <t xml:space="preserve">62</t>
        </is>
      </c>
      <c r="B63" t="inlineStr">
        <is>
          <t xml:space="preserve">Больничный / рабочих дней</t>
        </is>
      </c>
      <c r="D63" t="inlineStr">
        <is>
          <t xml:space="preserve">meta</t>
        </is>
      </c>
      <c r="F63" t="inlineStr">
        <is>
          <t xml:space="preserve">Рабочие дни временной нетрудоспособности — количество рабочих дней, приходящихся на период временной нетрудоспособности, используемое Счётикс исключительно для расчёта доступного рабочего времени.</t>
        </is>
      </c>
    </row>
    <row r="64">
      <c r="A63" t="inlineStr">
        <is>
          <t xml:space="preserve">63</t>
        </is>
      </c>
      <c r="B64" t="inlineStr">
        <is>
          <t xml:space="preserve">Съёмочное время</t>
        </is>
      </c>
      <c r="D64" t="inlineStr">
        <is>
          <t xml:space="preserve">user</t>
        </is>
      </c>
      <c r="F64" t="inlineStr">
        <is>
          <t xml:space="preserve">Время, непосредственно затрачиваемое специалистом на проведение съёмки на съёмочной площадке.</t>
        </is>
      </c>
    </row>
    <row r="65">
      <c r="A64" t="inlineStr">
        <is>
          <t xml:space="preserve">64</t>
        </is>
      </c>
      <c r="B65" t="inlineStr">
        <is>
          <t xml:space="preserve">Съёмочный час</t>
        </is>
      </c>
      <c r="D65" t="inlineStr">
        <is>
          <t xml:space="preserve">user</t>
        </is>
      </c>
      <c r="F65" t="inlineStr">
        <is>
          <t xml:space="preserve">Единица измерения съёмочного времени, равная одному часу работы специалиста на съёмочной площадке.</t>
        </is>
      </c>
    </row>
    <row r="66">
      <c r="A65" t="inlineStr">
        <is>
          <t xml:space="preserve">65</t>
        </is>
      </c>
      <c r="B66" t="inlineStr">
        <is>
          <t xml:space="preserve">Проектное время</t>
        </is>
      </c>
      <c r="D66" t="inlineStr">
        <is>
          <t xml:space="preserve">user</t>
        </is>
      </c>
      <c r="F66" t="inlineStr">
        <is>
          <t xml:space="preserve">Общее время, которое специалист затрачивает на выполнение всех съёмочных проектов в течение определённого периода, включая съёмочное время, время на постпродакшн и проектное клиентское время.</t>
        </is>
      </c>
    </row>
    <row r="67">
      <c r="A66" t="inlineStr">
        <is>
          <t xml:space="preserve">66</t>
        </is>
      </c>
      <c r="B67" t="inlineStr">
        <is>
          <t xml:space="preserve">Съёмочный проект</t>
        </is>
      </c>
      <c r="D67" t="inlineStr">
        <is>
          <t xml:space="preserve">user</t>
        </is>
      </c>
      <c r="F67" t="inlineStr">
        <is>
          <t xml:space="preserve">Отдельный проект, предусматривающий выполнение съёмочных работ для клиента и включающий все связанные с ним процессы — подготовку, коммуникацию, съёмку, пост-продакшн и завершение проекта. Сокращённо может называться съёмкой.</t>
        </is>
      </c>
    </row>
    <row r="68">
      <c r="A67" t="inlineStr">
        <is>
          <t xml:space="preserve">67</t>
        </is>
      </c>
      <c r="B68" t="inlineStr">
        <is>
          <t xml:space="preserve">Операционное время</t>
        </is>
      </c>
      <c r="D68" t="inlineStr">
        <is>
          <t xml:space="preserve">user</t>
        </is>
      </c>
      <c r="F68"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row>
    <row r="69">
      <c r="A68" t="inlineStr">
        <is>
          <t xml:space="preserve">68</t>
        </is>
      </c>
      <c r="B69" t="inlineStr">
        <is>
          <t xml:space="preserve">Время на постпродакшн</t>
        </is>
      </c>
      <c r="D69" t="inlineStr">
        <is>
          <t xml:space="preserve">user</t>
        </is>
      </c>
      <c r="F69" t="inlineStr">
        <is>
          <t xml:space="preserve">Время, необходимое для обработки и подготовки отснятого материала к передаче заказчику.</t>
        </is>
      </c>
    </row>
    <row r="70">
      <c r="A69" t="inlineStr">
        <is>
          <t xml:space="preserve">69</t>
        </is>
      </c>
      <c r="B70" t="inlineStr">
        <is>
          <t xml:space="preserve">Клиентское время</t>
        </is>
      </c>
      <c r="D70" t="inlineStr">
        <is>
          <t xml:space="preserve">user</t>
        </is>
      </c>
      <c r="F70" t="inlineStr">
        <is>
          <t xml:space="preserve">Время, затрачиваемое специалистом на привлечение, коммуникацию и сопровождение клиента на всех этапах взаимодействия.</t>
        </is>
      </c>
    </row>
    <row r="71">
      <c r="A70" t="inlineStr">
        <is>
          <t xml:space="preserve">70</t>
        </is>
      </c>
      <c r="B71" t="inlineStr">
        <is>
          <t xml:space="preserve">Проектное клиентское время</t>
        </is>
      </c>
      <c r="D71" t="inlineStr">
        <is>
          <t xml:space="preserve">user</t>
        </is>
      </c>
      <c r="F71" t="inlineStr">
        <is>
          <t xml:space="preserve">Время, затрачиваемое специалистом на взаимодействие с клиентом в рамках конкретного проекта.</t>
        </is>
      </c>
    </row>
    <row r="72">
      <c r="A71" t="inlineStr">
        <is>
          <t xml:space="preserve">71</t>
        </is>
      </c>
      <c r="B72" t="inlineStr">
        <is>
          <t xml:space="preserve">Операционное клиентское время</t>
        </is>
      </c>
      <c r="D72" t="inlineStr">
        <is>
          <t xml:space="preserve">user</t>
        </is>
      </c>
      <c r="F72" t="inlineStr">
        <is>
          <t xml:space="preserve">Время, которое специалист затрачивает на коммуникацию с потенциальными и действующими клиентами вне рамок конкретного проекта, включая обработку обращений, ответы на вопросы, консультации, переписку, переговоры и другие действия, связанные с привлечением и обслуживанием клиентов.</t>
        </is>
      </c>
    </row>
    <row r="73">
      <c r="A72" t="inlineStr">
        <is>
          <t xml:space="preserve">72</t>
        </is>
      </c>
      <c r="B73" t="inlineStr">
        <is>
          <t xml:space="preserve">Инвестиционное время</t>
        </is>
      </c>
      <c r="D73" t="inlineStr">
        <is>
          <t xml:space="preserve">user</t>
        </is>
      </c>
      <c r="F73" t="inlineStr">
        <is>
          <t xml:space="preserve">Время, которое специалист дополнительно вкладывает в развитие, создание или улучшение ресурсов своего бизнеса и которое рассматривается как инвестиция, способная в дальнейшем приносить экономическую отдачу. Затраты такого времени могут учитываться в стоимости деятельности специалиста и компенсироваться за счёт будущих доходов.
Примеры: обучение и повышение квалификации, освоение нового оборудования или технологий, ремонт и переоборудование студии, разработка новых услуг, создание рабочих инструментов и другие вложения времени, направленные на развитие бизнеса.
В Счётикс инвестиционное время учитывается отдельно от годового рабочего времени, не имеет единой суммы в часах и компенсируется через денежный расчёт соответствующих вложений.</t>
        </is>
      </c>
    </row>
    <row r="74">
      <c r="A73" t="inlineStr">
        <is>
          <t xml:space="preserve">73</t>
        </is>
      </c>
      <c r="B74" t="inlineStr">
        <is>
          <t xml:space="preserve">Логистика</t>
        </is>
      </c>
      <c r="D74" t="inlineStr">
        <is>
          <t xml:space="preserve">user</t>
        </is>
      </c>
      <c r="F74" t="inlineStr">
        <is>
          <t xml:space="preserve">Совокупность временных и денежных затрат специалиста, связанных с перемещением к месту выполнения работы и обратно, а также с перевозкой необходимых для работы оборудования и материалов.
В Счётикс логистика вынесена за пределы расчёта базовой стоимости рабочего часа. Затраты на дорогу, проезд, топливо, парковку и другое перемещение специалист учитывает самостоятельно при формировании стоимости конкретного проекта с учётом фактических условий работы.</t>
        </is>
      </c>
    </row>
    <row r="75">
      <c r="A74" t="inlineStr">
        <is>
          <t xml:space="preserve">74</t>
        </is>
      </c>
      <c r="B75" t="inlineStr">
        <is>
          <t xml:space="preserve">Амортизация</t>
        </is>
      </c>
      <c r="D75" t="inlineStr">
        <is>
          <t xml:space="preserve">user</t>
        </is>
      </c>
      <c r="F75" t="inlineStr">
        <is>
          <t xml:space="preserve">Постепенное включение стоимости имущества в расходы бизнеса по мере его использования и износа.</t>
        </is>
      </c>
    </row>
    <row r="76">
      <c r="A75" t="inlineStr">
        <is>
          <t xml:space="preserve">75</t>
        </is>
      </c>
      <c r="B76" t="inlineStr">
        <is>
          <t xml:space="preserve">Банковское обслуживание</t>
        </is>
      </c>
      <c r="D76" t="inlineStr">
        <is>
          <t xml:space="preserve">user</t>
        </is>
      </c>
      <c r="F76"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77">
      <c r="A76" t="inlineStr">
        <is>
          <t xml:space="preserve">76</t>
        </is>
      </c>
      <c r="B77" t="inlineStr">
        <is>
          <t xml:space="preserve">Бухгалтерия</t>
        </is>
      </c>
      <c r="D77" t="inlineStr">
        <is>
          <t xml:space="preserve">user</t>
        </is>
      </c>
      <c r="F77"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78">
      <c r="A77" t="inlineStr">
        <is>
          <t xml:space="preserve">77</t>
        </is>
      </c>
      <c r="B78" t="inlineStr">
        <is>
          <t xml:space="preserve">Выработка ресурса</t>
        </is>
      </c>
      <c r="D78" t="inlineStr">
        <is>
          <t xml:space="preserve">user</t>
        </is>
      </c>
      <c r="F78"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79">
      <c r="A78" t="inlineStr">
        <is>
          <t xml:space="preserve">78</t>
        </is>
      </c>
      <c r="B79" t="inlineStr">
        <is>
          <t xml:space="preserve">Готовые кадры</t>
        </is>
      </c>
      <c r="D79" t="inlineStr">
        <is>
          <t xml:space="preserve">user</t>
        </is>
      </c>
      <c r="F79" t="inlineStr">
        <is>
          <t xml:space="preserve">Снимки, полученные в результате проведения съёмочных работ и прошедшие первичную обработку.</t>
        </is>
      </c>
    </row>
    <row r="80">
      <c r="A79" t="inlineStr">
        <is>
          <t xml:space="preserve">79</t>
        </is>
      </c>
      <c r="B80" t="inlineStr">
        <is>
          <t xml:space="preserve">Доля безналичных платежей</t>
        </is>
      </c>
      <c r="D80" t="inlineStr">
        <is>
          <t xml:space="preserve">user</t>
        </is>
      </c>
      <c r="F80"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81">
      <c r="A80" t="inlineStr">
        <is>
          <t xml:space="preserve">80</t>
        </is>
      </c>
      <c r="B81" t="inlineStr">
        <is>
          <t xml:space="preserve">Загрузка специалиста</t>
        </is>
      </c>
      <c r="D81" t="inlineStr">
        <is>
          <t xml:space="preserve">user</t>
        </is>
      </c>
      <c r="F81"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82">
      <c r="A81" t="inlineStr">
        <is>
          <t xml:space="preserve">81</t>
        </is>
      </c>
      <c r="B82" t="inlineStr">
        <is>
          <t xml:space="preserve">Запас на скидку</t>
        </is>
      </c>
      <c r="D82" t="inlineStr">
        <is>
          <t xml:space="preserve">user</t>
        </is>
      </c>
      <c r="F82"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83">
      <c r="A82" t="inlineStr">
        <is>
          <t xml:space="preserve">82</t>
        </is>
      </c>
      <c r="B83" t="inlineStr">
        <is>
          <t xml:space="preserve">Износ камеры</t>
        </is>
      </c>
      <c r="D83" t="inlineStr">
        <is>
          <t xml:space="preserve">user</t>
        </is>
      </c>
      <c r="F83"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84">
      <c r="A83" t="inlineStr">
        <is>
          <t xml:space="preserve">83</t>
        </is>
      </c>
      <c r="B84" t="inlineStr">
        <is>
          <t xml:space="preserve">Минимальный заказ</t>
        </is>
      </c>
      <c r="D84" t="inlineStr">
        <is>
          <t xml:space="preserve">user</t>
        </is>
      </c>
      <c r="F84" t="inlineStr">
        <is>
          <t xml:space="preserve">Минимальное количество часов съёмки, которое специалист принимает в рамках одного заказа и ниже которого не выполняет заказ на установленных условиях.</t>
        </is>
      </c>
    </row>
    <row r="85">
      <c r="A84" t="inlineStr">
        <is>
          <t xml:space="preserve">84</t>
        </is>
      </c>
      <c r="B85" t="inlineStr">
        <is>
          <t xml:space="preserve">Налоги</t>
        </is>
      </c>
      <c r="D85" t="inlineStr">
        <is>
          <t xml:space="preserve">user</t>
        </is>
      </c>
      <c r="F85"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86">
      <c r="A85" t="inlineStr">
        <is>
          <t xml:space="preserve">85</t>
        </is>
      </c>
      <c r="B86" t="inlineStr">
        <is>
          <t xml:space="preserve">Налоговый режим</t>
        </is>
      </c>
      <c r="D86" t="inlineStr">
        <is>
          <t xml:space="preserve">user</t>
        </is>
      </c>
      <c r="F86"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87">
      <c r="A86" t="inlineStr">
        <is>
          <t xml:space="preserve">86</t>
        </is>
      </c>
      <c r="B87" t="inlineStr">
        <is>
          <t xml:space="preserve">Наценка к себестоимости</t>
        </is>
      </c>
      <c r="D87" t="inlineStr">
        <is>
          <t xml:space="preserve">user</t>
        </is>
      </c>
      <c r="F87"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88">
      <c r="A87" t="inlineStr">
        <is>
          <t xml:space="preserve">87</t>
        </is>
      </c>
      <c r="B88" t="inlineStr">
        <is>
          <t xml:space="preserve">Обустройство рабочего места</t>
        </is>
      </c>
      <c r="D88" t="inlineStr">
        <is>
          <t xml:space="preserve">user</t>
        </is>
      </c>
      <c r="F88" t="inlineStr">
        <is>
          <t xml:space="preserve">Затраты на создание и оснащение пространства, необходимого специалисту для выполнения профессиональной деятельности.</t>
        </is>
      </c>
    </row>
    <row r="89">
      <c r="A88" t="inlineStr">
        <is>
          <t xml:space="preserve">88</t>
        </is>
      </c>
      <c r="B89" t="inlineStr">
        <is>
          <t xml:space="preserve">Обучение</t>
        </is>
      </c>
      <c r="D89" t="inlineStr">
        <is>
          <t xml:space="preserve">user</t>
        </is>
      </c>
      <c r="F89"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90">
      <c r="A89" t="inlineStr">
        <is>
          <t xml:space="preserve">89</t>
        </is>
      </c>
      <c r="B90" t="inlineStr">
        <is>
          <t xml:space="preserve">Остаток ресурса</t>
        </is>
      </c>
      <c r="D90" t="inlineStr">
        <is>
          <t xml:space="preserve">user</t>
        </is>
      </c>
      <c r="F90"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91">
      <c r="A90" t="inlineStr">
        <is>
          <t xml:space="preserve">90</t>
        </is>
      </c>
      <c r="B91" t="inlineStr">
        <is>
          <t xml:space="preserve">Отчётность</t>
        </is>
      </c>
      <c r="D91" t="inlineStr">
        <is>
          <t xml:space="preserve">user</t>
        </is>
      </c>
      <c r="F91"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92">
      <c r="A91" t="inlineStr">
        <is>
          <t xml:space="preserve">91</t>
        </is>
      </c>
      <c r="B92" t="inlineStr">
        <is>
          <t xml:space="preserve">Офисное оборудование</t>
        </is>
      </c>
      <c r="D92" t="inlineStr">
        <is>
          <t xml:space="preserve">user</t>
        </is>
      </c>
      <c r="F92"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93">
      <c r="A92" t="inlineStr">
        <is>
          <t xml:space="preserve">92</t>
        </is>
      </c>
      <c r="B93" t="inlineStr">
        <is>
          <t xml:space="preserve">Первичная обработка</t>
        </is>
      </c>
      <c r="D93" t="inlineStr">
        <is>
          <t xml:space="preserve">user</t>
        </is>
      </c>
      <c r="F93"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94">
      <c r="A93" t="inlineStr">
        <is>
          <t xml:space="preserve">93</t>
        </is>
      </c>
      <c r="B94" t="inlineStr">
        <is>
          <t xml:space="preserve">ПО</t>
        </is>
      </c>
      <c r="D94" t="inlineStr">
        <is>
          <t xml:space="preserve">user</t>
        </is>
      </c>
      <c r="F94"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95">
      <c r="A94" t="inlineStr">
        <is>
          <t xml:space="preserve">94</t>
        </is>
      </c>
      <c r="B95" t="inlineStr">
        <is>
          <t xml:space="preserve">Подарочный сертификат</t>
        </is>
      </c>
      <c r="D95" t="inlineStr">
        <is>
          <t xml:space="preserve">user</t>
        </is>
      </c>
      <c r="F95"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96">
      <c r="A95" t="inlineStr">
        <is>
          <t xml:space="preserve">95</t>
        </is>
      </c>
      <c r="B96" t="inlineStr">
        <is>
          <t xml:space="preserve">Подписки</t>
        </is>
      </c>
      <c r="D96" t="inlineStr">
        <is>
          <t xml:space="preserve">user</t>
        </is>
      </c>
      <c r="F96"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97">
      <c r="A96" t="inlineStr">
        <is>
          <t xml:space="preserve">96</t>
        </is>
      </c>
      <c r="B97" t="inlineStr">
        <is>
          <t xml:space="preserve">Поиск заказов</t>
        </is>
      </c>
      <c r="D97" t="inlineStr">
        <is>
          <t xml:space="preserve">user</t>
        </is>
      </c>
      <c r="F97" t="inlineStr">
        <is>
          <t xml:space="preserve">Действия специалиста по выявлению потенциальных клиентов и получению новых заказов на оказание услуг.</t>
        </is>
      </c>
    </row>
    <row r="98">
      <c r="A97" t="inlineStr">
        <is>
          <t xml:space="preserve">97</t>
        </is>
      </c>
      <c r="B98" t="inlineStr">
        <is>
          <t xml:space="preserve">Постпродакшн</t>
        </is>
      </c>
      <c r="D98" t="inlineStr">
        <is>
          <t xml:space="preserve">user</t>
        </is>
      </c>
      <c r="F98"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row>
    <row r="99">
      <c r="A98" t="inlineStr">
        <is>
          <t xml:space="preserve">98</t>
        </is>
      </c>
      <c r="B99" t="inlineStr">
        <is>
          <t xml:space="preserve">Прайс</t>
        </is>
      </c>
      <c r="D99" t="inlineStr">
        <is>
          <t xml:space="preserve">user</t>
        </is>
      </c>
      <c r="F99" t="inlineStr">
        <is>
          <t xml:space="preserve">Перечень услуг с указанием их стоимости и, при необходимости, основных условий их предоставления.</t>
        </is>
      </c>
    </row>
    <row r="100">
      <c r="A99" t="inlineStr">
        <is>
          <t xml:space="preserve">99</t>
        </is>
      </c>
      <c r="B100" t="inlineStr">
        <is>
          <t xml:space="preserve">Программа лояльности</t>
        </is>
      </c>
      <c r="D100" t="inlineStr">
        <is>
          <t xml:space="preserve">user</t>
        </is>
      </c>
      <c r="F100"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101">
      <c r="A100" t="inlineStr">
        <is>
          <t xml:space="preserve">100</t>
        </is>
      </c>
      <c r="B101" t="inlineStr">
        <is>
          <t xml:space="preserve">Продвижение</t>
        </is>
      </c>
      <c r="D101" t="inlineStr">
        <is>
          <t xml:space="preserve">user</t>
        </is>
      </c>
      <c r="F101"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row>
    <row r="102">
      <c r="A101" t="inlineStr">
        <is>
          <t xml:space="preserve">101</t>
        </is>
      </c>
      <c r="B102" t="inlineStr">
        <is>
          <t xml:space="preserve">Продолжительность съёмки</t>
        </is>
      </c>
      <c r="D102" t="inlineStr">
        <is>
          <t xml:space="preserve">user</t>
        </is>
      </c>
      <c r="F102" t="inlineStr">
        <is>
          <t xml:space="preserve">Время, затрачиваемое специалистом непосредственно на проведение съёмочных работ, от начала до завершения съёмки.</t>
        </is>
      </c>
    </row>
    <row r="103">
      <c r="A102" t="inlineStr">
        <is>
          <t xml:space="preserve">102</t>
        </is>
      </c>
      <c r="B103" t="inlineStr">
        <is>
          <t xml:space="preserve">Проектная работа с клиентами</t>
        </is>
      </c>
      <c r="D103" t="inlineStr">
        <is>
          <t xml:space="preserve">user</t>
        </is>
      </c>
      <c r="F103"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104">
      <c r="A103" t="inlineStr">
        <is>
          <t xml:space="preserve">103</t>
        </is>
      </c>
      <c r="B104" t="inlineStr">
        <is>
          <t xml:space="preserve">Прямые расходы</t>
        </is>
      </c>
      <c r="D104" t="inlineStr">
        <is>
          <t xml:space="preserve">user</t>
        </is>
      </c>
      <c r="F104" t="inlineStr">
        <is>
          <t xml:space="preserve">Расходы, непосредственно связанные с выполнением конкретного заказа или проекта и возникающие в процессе оказания услуги.</t>
        </is>
      </c>
    </row>
    <row r="105">
      <c r="A104" t="inlineStr">
        <is>
          <t xml:space="preserve">104</t>
        </is>
      </c>
      <c r="B105" t="inlineStr">
        <is>
          <t xml:space="preserve">Работа с клиентами</t>
        </is>
      </c>
      <c r="D105" t="inlineStr">
        <is>
          <t xml:space="preserve">user</t>
        </is>
      </c>
      <c r="F105"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106">
      <c r="A105" t="inlineStr">
        <is>
          <t xml:space="preserve">105</t>
        </is>
      </c>
      <c r="B106" t="inlineStr">
        <is>
          <t xml:space="preserve">Рабочее место</t>
        </is>
      </c>
      <c r="D106" t="inlineStr">
        <is>
          <t xml:space="preserve">user</t>
        </is>
      </c>
      <c r="F106"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row>
    <row r="107">
      <c r="A106" t="inlineStr">
        <is>
          <t xml:space="preserve">106</t>
        </is>
      </c>
      <c r="B107" t="inlineStr">
        <is>
          <t xml:space="preserve">Резерв на программу лояльности</t>
        </is>
      </c>
      <c r="D107" t="inlineStr">
        <is>
          <t xml:space="preserve">user</t>
        </is>
      </c>
      <c r="F107" t="inlineStr">
        <is>
          <t xml:space="preserve">Часть денежных средств, закладываемая в стоимость услуг для финансирования скидок, бонусов и других мероприятий программы лояльности. Дополнительный резерв, может быть отключён.</t>
        </is>
      </c>
    </row>
    <row r="108">
      <c r="A107" t="inlineStr">
        <is>
          <t xml:space="preserve">107</t>
        </is>
      </c>
      <c r="B108" t="inlineStr">
        <is>
          <t xml:space="preserve">Резерв на развитие</t>
        </is>
      </c>
      <c r="D108" t="inlineStr">
        <is>
          <t xml:space="preserve">user</t>
        </is>
      </c>
      <c r="F108" t="inlineStr">
        <is>
          <t xml:space="preserve">Часть денежных средств, закладываемая в стоимость услуг для последующего финансирования развития профессиональной деятельности. Дополнительный резерв, может быть отключён.</t>
        </is>
      </c>
    </row>
    <row r="109">
      <c r="A108" t="inlineStr">
        <is>
          <t xml:space="preserve">108</t>
        </is>
      </c>
      <c r="B109" t="inlineStr">
        <is>
          <t xml:space="preserve">Резерв времени на простой и форс-мажоры</t>
        </is>
      </c>
      <c r="D109" t="inlineStr">
        <is>
          <t xml:space="preserve">user</t>
        </is>
      </c>
      <c r="F109" t="inlineStr">
        <is>
          <t xml:space="preserve">Дополнительный запас рабочего времени, предусмотренный в расчёте для компенсации периодов отсутствия заказов, отмены или переноса съёмок, а также непредвиденных обстоятельств, временно влияющих на возможность специалиста работать. Дополнительный резерв, может быть отключён.</t>
        </is>
      </c>
    </row>
    <row r="110">
      <c r="A109" t="inlineStr">
        <is>
          <t xml:space="preserve">109</t>
        </is>
      </c>
      <c r="B110" t="inlineStr">
        <is>
          <t xml:space="preserve">Резерв на отпуск</t>
        </is>
      </c>
      <c r="D110" t="inlineStr">
        <is>
          <t xml:space="preserve">user</t>
        </is>
      </c>
      <c r="F110" t="inlineStr">
        <is>
          <t xml:space="preserve">Часть денежных средств, включаемая в стоимость каждого часа работы и предназначенная для сохранения дохода специалиста в период оплачиваемого отпуска. Обязательный резерв.</t>
        </is>
      </c>
    </row>
    <row r="111">
      <c r="A110" t="inlineStr">
        <is>
          <t xml:space="preserve">110</t>
        </is>
      </c>
      <c r="B111" t="inlineStr">
        <is>
          <t xml:space="preserve">Резервный фонд</t>
        </is>
      </c>
      <c r="D111" t="inlineStr">
        <is>
          <t xml:space="preserve">user</t>
        </is>
      </c>
      <c r="F111" t="inlineStr">
        <is>
          <t xml:space="preserve">Денежные средства, которые специалист заранее закладывает в стоимость своих услуг и накапливает для последующего использования в соответствии с предусмотренными целями.</t>
        </is>
      </c>
    </row>
    <row r="112">
      <c r="A111" t="inlineStr">
        <is>
          <t xml:space="preserve">111</t>
        </is>
      </c>
      <c r="B112" t="inlineStr">
        <is>
          <t xml:space="preserve">Реклама</t>
        </is>
      </c>
      <c r="D112" t="inlineStr">
        <is>
          <t xml:space="preserve">user</t>
        </is>
      </c>
      <c r="F112"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113">
      <c r="A112" t="inlineStr">
        <is>
          <t xml:space="preserve">112</t>
        </is>
      </c>
      <c r="B113" t="inlineStr">
        <is>
          <t xml:space="preserve">Ресурс затвора</t>
        </is>
      </c>
      <c r="D113" t="inlineStr">
        <is>
          <t xml:space="preserve">user</t>
        </is>
      </c>
      <c r="F113"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114">
      <c r="A113" t="inlineStr">
        <is>
          <t xml:space="preserve">113</t>
        </is>
      </c>
      <c r="B114" t="inlineStr">
        <is>
          <t xml:space="preserve">Сайт</t>
        </is>
      </c>
      <c r="D114" t="inlineStr">
        <is>
          <t xml:space="preserve">user</t>
        </is>
      </c>
      <c r="F114"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115">
      <c r="A114" t="inlineStr">
        <is>
          <t xml:space="preserve">114</t>
        </is>
      </c>
      <c r="B115" t="inlineStr">
        <is>
          <t xml:space="preserve">Себестоимость часа съёмки</t>
        </is>
      </c>
      <c r="D115" t="inlineStr">
        <is>
          <t xml:space="preserve">user</t>
        </is>
      </c>
      <c r="F115"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116">
      <c r="A115" t="inlineStr">
        <is>
          <t xml:space="preserve">115</t>
        </is>
      </c>
      <c r="B116" t="inlineStr">
        <is>
          <t xml:space="preserve">Скидка за объём</t>
        </is>
      </c>
      <c r="D116" t="inlineStr">
        <is>
          <t xml:space="preserve">user</t>
        </is>
      </c>
      <c r="F116" t="inlineStr">
        <is>
          <t xml:space="preserve">Снижение стоимости единицы услуги при увеличении объёма заказа или количества приобретаемых услуг.</t>
        </is>
      </c>
    </row>
    <row r="117">
      <c r="A116" t="inlineStr">
        <is>
          <t xml:space="preserve">116</t>
        </is>
      </c>
      <c r="B117" t="inlineStr">
        <is>
          <t xml:space="preserve">Содержание рабочего места</t>
        </is>
      </c>
      <c r="D117" t="inlineStr">
        <is>
          <t xml:space="preserve">user</t>
        </is>
      </c>
      <c r="F117"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row>
    <row r="118">
      <c r="A117" t="inlineStr">
        <is>
          <t xml:space="preserve">117</t>
        </is>
      </c>
      <c r="B118" t="inlineStr">
        <is>
          <t xml:space="preserve">Срабатывание затвора</t>
        </is>
      </c>
      <c r="D118" t="inlineStr">
        <is>
          <t xml:space="preserve">user</t>
        </is>
      </c>
      <c r="F118"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119">
      <c r="A118" t="inlineStr">
        <is>
          <t xml:space="preserve">118</t>
        </is>
      </c>
      <c r="B119" t="inlineStr">
        <is>
          <t xml:space="preserve">Средний чек съёмки</t>
        </is>
      </c>
      <c r="D119" t="inlineStr">
        <is>
          <t xml:space="preserve">user</t>
        </is>
      </c>
      <c r="F119" t="inlineStr">
        <is>
          <t xml:space="preserve">Средняя стоимость одной съёмки, рассчитанная на основе общей выручки от съёмок и их количества за определённый период.</t>
        </is>
      </c>
    </row>
    <row r="120">
      <c r="A119" t="inlineStr">
        <is>
          <t xml:space="preserve">119</t>
        </is>
      </c>
      <c r="B120" t="inlineStr">
        <is>
          <t xml:space="preserve">Срок службы</t>
        </is>
      </c>
      <c r="D120" t="inlineStr">
        <is>
          <t xml:space="preserve">user</t>
        </is>
      </c>
      <c r="F120"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121">
      <c r="A120" t="inlineStr">
        <is>
          <t xml:space="preserve">120</t>
        </is>
      </c>
      <c r="B121" t="inlineStr">
        <is>
          <t xml:space="preserve">Страховые взносы</t>
        </is>
      </c>
      <c r="D121" t="inlineStr">
        <is>
          <t xml:space="preserve">user</t>
        </is>
      </c>
      <c r="F121"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122">
      <c r="A121" t="inlineStr">
        <is>
          <t xml:space="preserve">121</t>
        </is>
      </c>
      <c r="B122" t="inlineStr">
        <is>
          <t xml:space="preserve">Съёмка</t>
        </is>
      </c>
      <c r="D122" t="inlineStr">
        <is>
          <t xml:space="preserve">user</t>
        </is>
      </c>
      <c r="F122"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123">
      <c r="A122" t="inlineStr">
        <is>
          <t xml:space="preserve">122</t>
        </is>
      </c>
      <c r="B123" t="inlineStr">
        <is>
          <t xml:space="preserve">Съёмочное оборудование</t>
        </is>
      </c>
      <c r="D123" t="inlineStr">
        <is>
          <t xml:space="preserve">user</t>
        </is>
      </c>
      <c r="F123"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124">
      <c r="A123" t="inlineStr">
        <is>
          <t xml:space="preserve">123</t>
        </is>
      </c>
      <c r="B124" t="inlineStr">
        <is>
          <t xml:space="preserve">Регулярные расходы специалиста</t>
        </is>
      </c>
      <c r="D124" t="inlineStr">
        <is>
          <t xml:space="preserve">user</t>
        </is>
      </c>
      <c r="F124" t="inlineStr">
        <is>
          <t xml:space="preserve">Расходы, возникающие регулярно и необходимые для поддержания профессиональной деятельности и выполнения работы в течение определённого периода.</t>
        </is>
      </c>
    </row>
    <row r="125">
      <c r="A124" t="inlineStr">
        <is>
          <t xml:space="preserve">124</t>
        </is>
      </c>
      <c r="B125" t="inlineStr">
        <is>
          <t xml:space="preserve">Учёт</t>
        </is>
      </c>
      <c r="D125" t="inlineStr">
        <is>
          <t xml:space="preserve">user</t>
        </is>
      </c>
      <c r="F125"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126">
      <c r="A125" t="inlineStr">
        <is>
          <t xml:space="preserve">125</t>
        </is>
      </c>
      <c r="B126" t="inlineStr">
        <is>
          <t xml:space="preserve">Фонд программы лояльности</t>
        </is>
      </c>
      <c r="D126" t="inlineStr">
        <is>
          <t xml:space="preserve">user</t>
        </is>
      </c>
      <c r="F126"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127">
      <c r="A126" t="inlineStr">
        <is>
          <t xml:space="preserve">126</t>
        </is>
      </c>
      <c r="B127" t="inlineStr">
        <is>
          <t xml:space="preserve">Фонд развития</t>
        </is>
      </c>
      <c r="D127" t="inlineStr">
        <is>
          <t xml:space="preserve">user</t>
        </is>
      </c>
      <c r="F127"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128">
      <c r="A127" t="inlineStr">
        <is>
          <t xml:space="preserve">127</t>
        </is>
      </c>
      <c r="B128" t="inlineStr">
        <is>
          <t xml:space="preserve">Эквайринг</t>
        </is>
      </c>
      <c r="D128" t="inlineStr">
        <is>
          <t xml:space="preserve">user</t>
        </is>
      </c>
      <c r="F128"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row>
    <row r="129">
      <c r="A128" t="inlineStr">
        <is>
          <t xml:space="preserve">128</t>
        </is>
      </c>
      <c r="B129" t="inlineStr">
        <is>
          <t xml:space="preserve">Юнит-экономика</t>
        </is>
      </c>
      <c r="D129" t="inlineStr">
        <is>
          <t xml:space="preserve">user</t>
        </is>
      </c>
      <c r="F129"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row r="130">
      <c r="A130" t="inlineStr">
        <is>
          <t xml:space="preserve">129</t>
        </is>
      </c>
      <c r="B130" t="inlineStr">
        <is>
          <t xml:space="preserve">Расходы</t>
        </is>
      </c>
      <c r="D130" t="inlineStr">
        <is>
          <t xml:space="preserve">user</t>
        </is>
      </c>
      <c r="F130" t="inlineStr">
        <is>
          <t xml:space="preserve">Всё, что специалист затрачивает для выполнения работы и ведения профессиональной деятельности, включая время и денежные средства.</t>
        </is>
      </c>
    </row>
    <row r="131">
      <c r="A131" t="inlineStr">
        <is>
          <t xml:space="preserve">130</t>
        </is>
      </c>
      <c r="B131" t="inlineStr">
        <is>
          <t xml:space="preserve">Временные расходы</t>
        </is>
      </c>
      <c r="D131" t="inlineStr">
        <is>
          <t xml:space="preserve">user</t>
        </is>
      </c>
      <c r="F131" t="inlineStr">
        <is>
          <t xml:space="preserve">Время, которое специалист затрачивает на выполнение работы, взаимодействие с клиентами, организационные задачи и другие действия, связанные с профессиональной деятельностью.</t>
        </is>
      </c>
    </row>
    <row r="132">
      <c r="A132" t="inlineStr">
        <is>
          <t xml:space="preserve">131</t>
        </is>
      </c>
      <c r="B132" t="inlineStr">
        <is>
          <t xml:space="preserve">Финансовые расходы</t>
        </is>
      </c>
      <c r="D132" t="inlineStr">
        <is>
          <t xml:space="preserve">user</t>
        </is>
      </c>
      <c r="F132" t="inlineStr">
        <is>
          <t xml:space="preserve">Денежные средства, которые специалист затрачивает на выполнение работы и обеспечение профессиональной деятельности.</t>
        </is>
      </c>
    </row>
    <row r="133">
      <c r="A133" t="inlineStr">
        <is>
          <t xml:space="preserve">132</t>
        </is>
      </c>
      <c r="B133" t="inlineStr">
        <is>
          <t xml:space="preserve">Финансовые вложения (инвестиции)</t>
        </is>
      </c>
      <c r="D133" t="inlineStr">
        <is>
          <t xml:space="preserve">user</t>
        </is>
      </c>
      <c r="F133" t="inlineStr">
        <is>
          <t xml:space="preserve">Денежные средства, которые специалист вкладывает в развитие и обеспечение своей профессиональной деятельности и рассчитывает использовать с целью получения будущей отдачи.</t>
        </is>
      </c>
    </row>
    <row r="134">
      <c r="A134" t="inlineStr">
        <is>
          <t xml:space="preserve">133</t>
        </is>
      </c>
      <c r="B134" t="inlineStr">
        <is>
          <t xml:space="preserve">Трудовой кодекс Российской Федерации (ТК РФ)</t>
        </is>
      </c>
      <c r="D134" t="inlineStr">
        <is>
          <t xml:space="preserve">user</t>
        </is>
      </c>
      <c r="F134" t="inlineStr">
        <is>
          <t xml:space="preserve">Основной нормативный правовой акт, регулирующий трудовые отношения в Российской Федерации и устанавливающий государственные гарантии в сфере труда, включая нормы рабочего времени, отдыха, отпусков и других условий труда. В расчёте используется как общепринятая нормативная точка отсчёта для определения объёма рабочего времени и базовых условий труда специалиста.</t>
        </is>
      </c>
    </row>
    <row r="135">
      <c r="A135" t="inlineStr">
        <is>
          <t xml:space="preserve">134</t>
        </is>
      </c>
      <c r="B135" t="inlineStr">
        <is>
          <t xml:space="preserve">Бюджет</t>
        </is>
      </c>
      <c r="D135" t="inlineStr">
        <is>
          <t xml:space="preserve">user</t>
        </is>
      </c>
      <c r="F135" t="inlineStr">
        <is>
          <t xml:space="preserve">План распределения денежных средств за определённый период по направлениям их использования и формирования дохода.</t>
        </is>
      </c>
    </row>
    <row r="136">
      <c r="A136" t="inlineStr">
        <is>
          <t xml:space="preserve">135</t>
        </is>
      </c>
      <c r="B136" t="inlineStr">
        <is>
          <t xml:space="preserve">Статья расходов</t>
        </is>
      </c>
      <c r="D136" t="inlineStr">
        <is>
          <t xml:space="preserve">user</t>
        </is>
      </c>
      <c r="F136" t="inlineStr">
        <is>
          <t xml:space="preserve">Отдельное направление денежных затрат, предусмотренное бюджетом специалиста.</t>
        </is>
      </c>
    </row>
    <row r="137">
      <c r="A137" t="inlineStr">
        <is>
          <t xml:space="preserve">136</t>
        </is>
      </c>
      <c r="B137" t="inlineStr">
        <is>
          <t xml:space="preserve">Статья доходов</t>
        </is>
      </c>
      <c r="D137" t="inlineStr">
        <is>
          <t xml:space="preserve">user</t>
        </is>
      </c>
      <c r="F137" t="inlineStr">
        <is>
          <t xml:space="preserve">Отдельное направление денежных поступлений, предусмотренное бюджетом специалиста.</t>
        </is>
      </c>
    </row>
    <row r="138">
      <c r="A138" t="inlineStr">
        <is>
          <t xml:space="preserve">137</t>
        </is>
      </c>
      <c r="B138" t="inlineStr">
        <is>
          <t xml:space="preserve">Всего расходов</t>
        </is>
      </c>
      <c r="D138" t="inlineStr">
        <is>
          <t xml:space="preserve">user</t>
        </is>
      </c>
      <c r="F138" t="inlineStr">
        <is>
          <t xml:space="preserve">Общая сумма денежных средств, которую специалист затрачивает на покрытие финансовых расходов, налогов и банковских комиссий, связанных с профессиональной деятельностью, за определённый период.</t>
        </is>
      </c>
    </row>
    <row r="139">
      <c r="A139" t="inlineStr">
        <is>
          <t xml:space="preserve">138</t>
        </is>
      </c>
      <c r="B139" t="inlineStr">
        <is>
          <t xml:space="preserve">Желаемая ставка</t>
        </is>
      </c>
      <c r="C139" t="inlineStr">
        <is>
          <t xml:space="preserve">rateHour</t>
        </is>
      </c>
      <c r="D139" t="inlineStr">
        <is>
          <t xml:space="preserve">user</t>
        </is>
      </c>
      <c r="E139" t="inlineStr">
        <is>
          <t xml:space="preserve">calc</t>
        </is>
      </c>
      <c r="F139" t="inlineStr">
        <is>
          <t xml:space="preserve">Стоимость одного часа съёмки, которая позволяет специалисту получать желаемый доход.</t>
        </is>
      </c>
    </row>
    <row r="140">
      <c r="A140" t="inlineStr">
        <is>
          <t xml:space="preserve">139</t>
        </is>
      </c>
      <c r="B140" t="inlineStr">
        <is>
          <t xml:space="preserve">Текущий доход</t>
        </is>
      </c>
      <c r="C140" t="inlineStr">
        <is>
          <t xml:space="preserve">currentResult</t>
        </is>
      </c>
      <c r="D140" t="inlineStr">
        <is>
          <t xml:space="preserve">user</t>
        </is>
      </c>
      <c r="E140" t="inlineStr">
        <is>
          <t xml:space="preserve">calc</t>
        </is>
      </c>
      <c r="F140" t="inlineStr">
        <is>
          <t xml:space="preserve">Сумма денежных средств, которую специалист может получать на руки при текущей ставке и условиях профессиональной деятельности, указанных в анкете, после покрытия всех расходов, налогов и обязательных платежей.</t>
        </is>
      </c>
    </row>
  </sheetData>
</worksheet>
</file>

<file path=xl/worksheets/sheet3.xml><?xml version="1.0" encoding="utf-8"?>
<worksheet xmlns="http://schemas.openxmlformats.org/spreadsheetml/2006/main">
  <sheetPr>
    <outlinePr summaryBelow="1" summaryRight="1"/>
    <pageSetUpPr/>
  </sheetPr>
  <dimension ref="A1:I141"/>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времени на простой и форс-мажоры</t>
        </is>
      </c>
      <c r="C32" s="34" t="inlineStr">
        <is>
          <t>Не закладывать</t>
        </is>
      </c>
      <c r="D32" s="28" t="inlineStr"/>
      <c r="E32" s="30" t="inlineStr"/>
      <c r="F32" s="7" t="inlineStr">
        <is>
          <t>default</t>
        </is>
      </c>
      <c r="G32" s="6" t="inlineStr"/>
      <c r="H32" s="30" t="inlineStr">
        <is>
          <t>Block14a</t>
        </is>
      </c>
      <c r="I32" s="286" t="inlineStr">
        <is>
          <t>Галочка «Учитывать резерв времени на простой и форс-мажоры» СНЯТА по умолчанию (06.08.2026). Поле % неактивно, пока не включена</t>
        </is>
      </c>
    </row>
    <row r="33">
      <c r="A33" s="27" t="inlineStr">
        <is>
          <t>fm_pct</t>
        </is>
      </c>
      <c r="B33" s="28" t="inlineStr">
        <is>
          <t>Резерв времени на простой и форс-мажоры, %</t>
        </is>
      </c>
      <c r="C33" s="35" t="n">
        <v>0.05</v>
      </c>
      <c r="D33" s="28" t="inlineStr">
        <is>
          <t>%</t>
        </is>
      </c>
      <c r="E33" s="30" t="inlineStr"/>
      <c r="F33" s="7" t="inlineStr">
        <is>
          <t>default</t>
        </is>
      </c>
      <c r="G33" s="6" t="inlineStr"/>
      <c r="H33" s="30" t="inlineStr">
        <is>
          <t>Периоды без заказов, перенос и отмена съёмок, срывы по вине клиента, повторные выезды. Редактируется</t>
        </is>
      </c>
      <c r="I33" s="286" t="inlineStr">
        <is>
          <t>Галочка «Учитывать резерв времени на простой и форс-мажоры» СНЯТА по умолчанию (06.08.2026). Поле % неактивно, пока не включена</t>
        </is>
      </c>
    </row>
    <row r="34">
      <c r="A34" s="27" t="inlineStr">
        <is>
          <t>fm_time</t>
        </is>
      </c>
      <c r="B34" s="28" t="inlineStr">
        <is>
          <t>Резерв времени на простой и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projects_year</t>
        </is>
      </c>
      <c r="B46" s="28" t="inlineStr">
        <is>
          <t>Проектов в год</t>
        </is>
      </c>
      <c r="C46" s="31">
        <f>IF(project_time=0,0,project_pool/project_time)</f>
        <v>216.6</v>
      </c>
      <c r="D46" s="28" t="inlineStr">
        <is>
          <t>шт/год</t>
        </is>
      </c>
      <c r="E46" s="30" t="inlineStr">
        <is>
          <t>IF(project_time=0,0,project_pool/project_time)</t>
        </is>
      </c>
      <c r="F46" s="7" t="inlineStr">
        <is>
          <t>calc</t>
        </is>
      </c>
      <c r="G46" s="6" t="inlineStr">
        <is>
          <t>project_pool, project_time</t>
        </is>
      </c>
      <c r="H46" s="30" t="inlineStr"/>
    </row>
    <row r="47">
      <c r="A47" s="27" t="inlineStr">
        <is>
          <t>projects_month</t>
        </is>
      </c>
      <c r="B47" s="28" t="inlineStr">
        <is>
          <t>Проектов в месяц</t>
        </is>
      </c>
      <c r="C47" s="31">
        <f>projects_year/months</f>
        <v>18.05</v>
      </c>
      <c r="D47" s="28" t="inlineStr">
        <is>
          <t>шт/мес</t>
        </is>
      </c>
      <c r="E47" s="30" t="inlineStr">
        <is>
          <t>projects_year/months</t>
        </is>
      </c>
      <c r="F47" s="7" t="inlineStr">
        <is>
          <t>calc</t>
        </is>
      </c>
      <c r="G47" s="6" t="inlineStr">
        <is>
          <t>projects_year, months</t>
        </is>
      </c>
      <c r="H47" s="30" t="inlineStr"/>
    </row>
    <row r="48">
      <c r="A48" s="27" t="inlineStr">
        <is>
          <t>projects_week</t>
        </is>
      </c>
      <c r="B48" s="28" t="inlineStr">
        <is>
          <t>Проектов в неделю</t>
        </is>
      </c>
      <c r="C48" s="31">
        <f>projects_year/net_weeks</f>
        <v>4.945205479452055</v>
      </c>
      <c r="D48" s="28" t="inlineStr">
        <is>
          <t>шт/нед</t>
        </is>
      </c>
      <c r="E48" s="30" t="inlineStr">
        <is>
          <t>projects_year/net_weeks</t>
        </is>
      </c>
      <c r="F48" s="7" t="inlineStr">
        <is>
          <t>calc</t>
        </is>
      </c>
      <c r="G48" s="6" t="inlineStr">
        <is>
          <t>projects_year, net_weeks</t>
        </is>
      </c>
      <c r="H48" s="30" t="inlineStr">
        <is>
          <t>При авторежиме равно week_target</t>
        </is>
      </c>
    </row>
    <row r="49">
      <c r="A49" s="27" t="inlineStr">
        <is>
          <t>shooting_time</t>
        </is>
      </c>
      <c r="B49" s="28" t="inlineStr">
        <is>
          <t>СЪЁМОЧНОЕ время</t>
        </is>
      </c>
      <c r="C49" s="31">
        <f>projects_year*shoot_duration</f>
        <v>216.6</v>
      </c>
      <c r="D49" s="28" t="inlineStr">
        <is>
          <t>ч/год</t>
        </is>
      </c>
      <c r="E49" s="30" t="inlineStr">
        <is>
          <t>projects_year*shoot_duration</t>
        </is>
      </c>
      <c r="F49" s="7" t="inlineStr">
        <is>
          <t>calc</t>
        </is>
      </c>
      <c r="G49" s="6" t="inlineStr">
        <is>
          <t>projects_year, shoot_duration</t>
        </is>
      </c>
      <c r="H49" s="30" t="inlineStr">
        <is>
          <t>ЦЕЛЬ РАСЧЁТА — знаменатель ставки</t>
        </is>
      </c>
    </row>
    <row r="50">
      <c r="A50" s="27" t="inlineStr">
        <is>
          <t>shooting_month</t>
        </is>
      </c>
      <c r="B50" s="28" t="inlineStr">
        <is>
          <t>Съёмочное время в месяц</t>
        </is>
      </c>
      <c r="C50" s="31">
        <f>shooting_time/months</f>
        <v>18.05</v>
      </c>
      <c r="D50" s="28" t="inlineStr">
        <is>
          <t>ч/мес</t>
        </is>
      </c>
      <c r="E50" s="30" t="inlineStr">
        <is>
          <t>shooting_time/months</t>
        </is>
      </c>
      <c r="F50" s="7" t="inlineStr">
        <is>
          <t>calc</t>
        </is>
      </c>
      <c r="G50" s="6" t="inlineStr">
        <is>
          <t>shooting_time, months</t>
        </is>
      </c>
      <c r="H50" s="30" t="inlineStr"/>
    </row>
    <row r="51">
      <c r="A51" s="27" t="inlineStr">
        <is>
          <t>shooting_week</t>
        </is>
      </c>
      <c r="B51" s="28" t="inlineStr">
        <is>
          <t>Съёмочное время в неделю</t>
        </is>
      </c>
      <c r="C51" s="31">
        <f>shooting_time/net_weeks</f>
        <v>4.945205479452055</v>
      </c>
      <c r="D51" s="28" t="inlineStr">
        <is>
          <t>ч/нед</t>
        </is>
      </c>
      <c r="E51" s="30" t="inlineStr">
        <is>
          <t>shooting_time/net_weeks</t>
        </is>
      </c>
      <c r="F51" s="7" t="inlineStr">
        <is>
          <t>calc</t>
        </is>
      </c>
      <c r="G51" s="6" t="inlineStr">
        <is>
          <t>shooting_time, net_weeks</t>
        </is>
      </c>
      <c r="H51" s="30" t="inlineStr"/>
    </row>
    <row r="52">
      <c r="A52" s="27" t="inlineStr">
        <is>
          <t>post_time</t>
        </is>
      </c>
      <c r="B52" s="28" t="inlineStr">
        <is>
          <t>Постпродакшн за год</t>
        </is>
      </c>
      <c r="C52" s="31">
        <f>shooting_time*post_ratio</f>
        <v>649.8</v>
      </c>
      <c r="D52" s="28" t="inlineStr">
        <is>
          <t>ч/год</t>
        </is>
      </c>
      <c r="E52" s="30" t="inlineStr">
        <is>
          <t>shooting_time*post_ratio</t>
        </is>
      </c>
      <c r="F52" s="7" t="inlineStr">
        <is>
          <t>calc</t>
        </is>
      </c>
      <c r="G52" s="6" t="inlineStr">
        <is>
          <t>shooting_time, post_ratio</t>
        </is>
      </c>
      <c r="H52" s="30" t="inlineStr">
        <is>
          <t>S × коэффициент на каждый проект</t>
        </is>
      </c>
    </row>
    <row r="53">
      <c r="A53" s="27" t="inlineStr">
        <is>
          <t>core_time</t>
        </is>
      </c>
      <c r="B53" s="28" t="inlineStr">
        <is>
          <t>ПРОФИЛЬНОЕ время</t>
        </is>
      </c>
      <c r="C53" s="31">
        <f>shooting_time*profile_multiplier</f>
        <v>866.4</v>
      </c>
      <c r="D53" s="28" t="inlineStr">
        <is>
          <t>ч/год</t>
        </is>
      </c>
      <c r="E53" s="30" t="inlineStr">
        <is>
          <t>shooting_time*profile_multiplier</t>
        </is>
      </c>
      <c r="F53" s="7" t="inlineStr">
        <is>
          <t>calc</t>
        </is>
      </c>
      <c r="G53" s="6" t="inlineStr">
        <is>
          <t>shooting_time, profile_multiplier</t>
        </is>
      </c>
      <c r="H53" s="30" t="inlineStr">
        <is>
          <t>Съёмка + обработка = S × (1 + коэффициент). БЕЗ работы с клиентом</t>
        </is>
      </c>
    </row>
    <row r="54">
      <c r="A54" s="27" t="inlineStr">
        <is>
          <t>client_total</t>
        </is>
      </c>
      <c r="B54" s="28" t="inlineStr">
        <is>
          <t>Работа с клиентом за год</t>
        </is>
      </c>
      <c r="C54" s="31">
        <f>projects_year*client_time</f>
        <v>216.6</v>
      </c>
      <c r="D54" s="28" t="inlineStr">
        <is>
          <t>ч/год</t>
        </is>
      </c>
      <c r="E54" s="30" t="inlineStr">
        <is>
          <t>projects_year*client_time</t>
        </is>
      </c>
      <c r="F54" s="7" t="inlineStr">
        <is>
          <t>calc</t>
        </is>
      </c>
      <c r="G54" s="6" t="inlineStr">
        <is>
          <t>projects_year, client_time</t>
        </is>
      </c>
      <c r="H54" s="30" t="inlineStr"/>
    </row>
    <row r="55">
      <c r="A55" s="27" t="inlineStr">
        <is>
          <t>ops_per_shoot</t>
        </is>
      </c>
      <c r="B55" s="28" t="inlineStr">
        <is>
          <t>Операционных часов на час съёмки</t>
        </is>
      </c>
      <c r="C55" s="31">
        <f>IF(shooting_time=0,0,side_time/shooting_time)</f>
        <v>2.0775623268698062</v>
      </c>
      <c r="D55" s="28" t="inlineStr">
        <is>
          <t>ч</t>
        </is>
      </c>
      <c r="E55" s="30" t="inlineStr">
        <is>
          <t>IF(shooting_time=0,0,side_time/shooting_time)</t>
        </is>
      </c>
      <c r="F55" s="7" t="inlineStr">
        <is>
          <t>calc</t>
        </is>
      </c>
      <c r="G55" s="6" t="inlineStr">
        <is>
          <t>side_time, shooting_time</t>
        </is>
      </c>
      <c r="H55" s="30" t="inlineStr"/>
    </row>
    <row r="56">
      <c r="A56" s="3" t="inlineStr">
        <is>
          <t>4 · ДОХОД</t>
        </is>
      </c>
    </row>
    <row r="57" ht="26" customHeight="1">
      <c r="A57" s="26" t="inlineStr">
        <is>
          <t>ID</t>
        </is>
      </c>
      <c r="B57" s="26" t="inlineStr">
        <is>
          <t>Название</t>
        </is>
      </c>
      <c r="C57" s="26" t="inlineStr">
        <is>
          <t>Значение</t>
        </is>
      </c>
      <c r="D57" s="26" t="inlineStr">
        <is>
          <t>Ед.</t>
        </is>
      </c>
      <c r="E57" s="26" t="inlineStr">
        <is>
          <t>Формула / как получено</t>
        </is>
      </c>
      <c r="F57" s="26" t="inlineStr">
        <is>
          <t>Тип</t>
        </is>
      </c>
      <c r="G57" s="26" t="inlineStr">
        <is>
          <t>Зависит от</t>
        </is>
      </c>
      <c r="H57" s="26" t="inlineStr">
        <is>
          <t>Источник / форма</t>
        </is>
      </c>
    </row>
    <row r="58">
      <c r="A58" s="27" t="inlineStr">
        <is>
          <t>income_month</t>
        </is>
      </c>
      <c r="B58" s="28" t="inlineStr">
        <is>
          <t>Желаемый доход на руки</t>
        </is>
      </c>
      <c r="C58" s="37" t="n">
        <v>110216</v>
      </c>
      <c r="D58" s="28" t="inlineStr">
        <is>
          <t>₽/мес</t>
        </is>
      </c>
      <c r="E58" s="30" t="inlineStr"/>
      <c r="F58" s="7" t="inlineStr">
        <is>
          <t>default</t>
        </is>
      </c>
      <c r="G58" s="6" t="inlineStr"/>
      <c r="H58" s="30" t="inlineStr">
        <is>
          <t>Block1 · Росстат 2026</t>
        </is>
      </c>
    </row>
    <row r="59">
      <c r="A59" s="27" t="inlineStr">
        <is>
          <t>target_income</t>
        </is>
      </c>
      <c r="B59" s="28" t="inlineStr">
        <is>
          <t>Желаемый доход за год</t>
        </is>
      </c>
      <c r="C59" s="38">
        <f>income_month*months</f>
        <v>1322592.0</v>
      </c>
      <c r="D59" s="28" t="inlineStr">
        <is>
          <t>₽/год</t>
        </is>
      </c>
      <c r="E59" s="30" t="inlineStr">
        <is>
          <t>income_month*months</t>
        </is>
      </c>
      <c r="F59" s="7" t="inlineStr">
        <is>
          <t>calc</t>
        </is>
      </c>
      <c r="G59" s="6" t="inlineStr">
        <is>
          <t>income_month, months</t>
        </is>
      </c>
      <c r="H59" s="30" t="inlineStr">
        <is>
          <t>N — на руки после всех платежей</t>
        </is>
      </c>
    </row>
    <row r="60">
      <c r="A60" s="27" t="inlineStr">
        <is>
          <t>current_rate</t>
        </is>
      </c>
      <c r="B60" s="28" t="inlineStr">
        <is>
          <t>Текущая ставка часа</t>
        </is>
      </c>
      <c r="C60" s="37" t="n">
        <v>6000</v>
      </c>
      <c r="D60" s="28" t="inlineStr">
        <is>
          <t>₽/ч</t>
        </is>
      </c>
      <c r="E60" s="30" t="inlineStr"/>
      <c r="F60" s="7" t="inlineStr">
        <is>
          <t>default</t>
        </is>
      </c>
      <c r="G60" s="6" t="inlineStr"/>
      <c r="H60" s="30" t="inlineStr">
        <is>
          <t>Block2 · для сравнения</t>
        </is>
      </c>
    </row>
    <row r="61">
      <c r="A61" s="3" t="inlineStr">
        <is>
          <t>5 · РАБОЧЕЕ МЕСТО · ПЕРЕКЛЮЧАТЕЛЬ (Form005/013 · Block9)</t>
        </is>
      </c>
    </row>
    <row r="62" ht="26" customHeight="1">
      <c r="A62" s="26" t="inlineStr">
        <is>
          <t>ID</t>
        </is>
      </c>
      <c r="B62" s="26" t="inlineStr">
        <is>
          <t>Название</t>
        </is>
      </c>
      <c r="C62" s="26" t="inlineStr">
        <is>
          <t>Значение</t>
        </is>
      </c>
      <c r="D62" s="26" t="inlineStr">
        <is>
          <t>Ед.</t>
        </is>
      </c>
      <c r="E62" s="26" t="inlineStr">
        <is>
          <t>Формула / как получено</t>
        </is>
      </c>
      <c r="F62" s="26" t="inlineStr">
        <is>
          <t>Тип</t>
        </is>
      </c>
      <c r="G62" s="26" t="inlineStr">
        <is>
          <t>Зависит от</t>
        </is>
      </c>
      <c r="H62" s="26" t="inlineStr">
        <is>
          <t>Источник / форма</t>
        </is>
      </c>
    </row>
    <row r="63">
      <c r="A63" s="27" t="inlineStr">
        <is>
          <t>ws_mode</t>
        </is>
      </c>
      <c r="B63" s="28" t="inlineStr">
        <is>
          <t>ПЕРЕКЛЮЧАТЕЛЬ · рабочее место</t>
        </is>
      </c>
      <c r="C63" s="34" t="inlineStr">
        <is>
          <t>Работаю из дома</t>
        </is>
      </c>
      <c r="D63" s="28" t="inlineStr"/>
      <c r="E63" s="30" t="inlineStr"/>
      <c r="F63" s="7" t="inlineStr">
        <is>
          <t>default</t>
        </is>
      </c>
      <c r="G63" s="6" t="inlineStr"/>
      <c r="H63" s="30" t="inlineStr">
        <is>
          <t>Form005 · A111</t>
        </is>
      </c>
    </row>
    <row r="64">
      <c r="A64" s="27" t="inlineStr">
        <is>
          <t>own_home</t>
        </is>
      </c>
      <c r="B64" s="28" t="inlineStr">
        <is>
          <t>ДОМА · живу в своём, ипотеки нет</t>
        </is>
      </c>
      <c r="C64" s="34" t="inlineStr">
        <is>
          <t>нет</t>
        </is>
      </c>
      <c r="D64" s="28" t="inlineStr"/>
      <c r="E64" s="30" t="inlineStr"/>
      <c r="F64" s="7" t="inlineStr">
        <is>
          <t>default</t>
        </is>
      </c>
      <c r="G64" s="6" t="inlineStr"/>
      <c r="H64" s="30" t="inlineStr">
        <is>
          <t>Контекстная галочка: показывает рекомендацию, но не обнуляет стоимость жилья</t>
        </is>
      </c>
    </row>
    <row r="65">
      <c r="A65" s="27" t="inlineStr">
        <is>
          <t>home_rent</t>
        </is>
      </c>
      <c r="B65" s="28" t="inlineStr">
        <is>
          <t>ДОМА · аренда или ипотека</t>
        </is>
      </c>
      <c r="C65" s="37" t="n">
        <v>40000</v>
      </c>
      <c r="D65" s="28" t="inlineStr">
        <is>
          <t>₽/мес</t>
        </is>
      </c>
      <c r="E65" s="30" t="inlineStr"/>
      <c r="F65" s="7" t="inlineStr">
        <is>
          <t>default</t>
        </is>
      </c>
      <c r="G65" s="6" t="inlineStr"/>
      <c r="H65" s="30" t="inlineStr">
        <is>
          <t>По доле метров; поле остаётся активным при own_home = да</t>
        </is>
      </c>
    </row>
    <row r="66">
      <c r="A66" s="27" t="inlineStr">
        <is>
          <t>home_util</t>
        </is>
      </c>
      <c r="B66" s="28" t="inlineStr">
        <is>
          <t>ДОМА · коммунальные и связь</t>
        </is>
      </c>
      <c r="C66" s="37" t="n">
        <v>7000</v>
      </c>
      <c r="D66" s="28" t="inlineStr">
        <is>
          <t>₽/мес</t>
        </is>
      </c>
      <c r="E66" s="30" t="inlineStr"/>
      <c r="F66" s="7" t="inlineStr">
        <is>
          <t>default</t>
        </is>
      </c>
      <c r="G66" s="6" t="inlineStr"/>
      <c r="H66" s="30" t="inlineStr">
        <is>
          <t>По доле метров рабочего места</t>
        </is>
      </c>
    </row>
    <row r="67">
      <c r="A67" s="27" t="inlineStr">
        <is>
          <t>home_area</t>
        </is>
      </c>
      <c r="B67" s="28" t="inlineStr">
        <is>
          <t>ДОМА · общая площадь жилья</t>
        </is>
      </c>
      <c r="C67" s="33" t="n">
        <v>50</v>
      </c>
      <c r="D67" s="28" t="inlineStr">
        <is>
          <t>м²</t>
        </is>
      </c>
      <c r="E67" s="30" t="inlineStr"/>
      <c r="F67" s="7" t="inlineStr">
        <is>
          <t>default</t>
        </is>
      </c>
      <c r="G67" s="6" t="inlineStr"/>
      <c r="H67" s="30" t="inlineStr"/>
    </row>
    <row r="68">
      <c r="A68" s="27" t="inlineStr">
        <is>
          <t>cab_area</t>
        </is>
      </c>
      <c r="B68" s="28" t="inlineStr">
        <is>
          <t>ДОМА · площадь под кабинет</t>
        </is>
      </c>
      <c r="C68" s="33" t="n">
        <v>6</v>
      </c>
      <c r="D68" s="28" t="inlineStr">
        <is>
          <t>м²</t>
        </is>
      </c>
      <c r="E68" s="30" t="inlineStr"/>
      <c r="F68" s="7" t="inlineStr">
        <is>
          <t>default</t>
        </is>
      </c>
      <c r="G68" s="6" t="inlineStr"/>
      <c r="H68" s="30" t="inlineStr"/>
    </row>
    <row r="69">
      <c r="A69" s="27" t="inlineStr">
        <is>
          <t>cab_share</t>
        </is>
      </c>
      <c r="B69" s="28" t="inlineStr">
        <is>
          <t>ДОМА · доля кабинета</t>
        </is>
      </c>
      <c r="C69" s="39">
        <f>IF(home_area=0,0,cab_area/home_area)</f>
        <v>0.12</v>
      </c>
      <c r="D69" s="28" t="inlineStr">
        <is>
          <t>%</t>
        </is>
      </c>
      <c r="E69" s="30" t="inlineStr">
        <is>
          <t>IF(home_area=0,0,cab_area/home_area)</t>
        </is>
      </c>
      <c r="F69" s="7" t="inlineStr">
        <is>
          <t>calc</t>
        </is>
      </c>
      <c r="G69" s="6" t="inlineStr">
        <is>
          <t>cab_area, home_area</t>
        </is>
      </c>
      <c r="H69" s="30" t="inlineStr"/>
    </row>
    <row r="70">
      <c r="A70" s="27" t="inlineStr">
        <is>
          <t>office_rent</t>
        </is>
      </c>
      <c r="B70" s="28" t="inlineStr">
        <is>
          <t>АРЕНДА · стоимость помещения</t>
        </is>
      </c>
      <c r="C70" s="37" t="n">
        <v>15000</v>
      </c>
      <c r="D70" s="28" t="inlineStr">
        <is>
          <t>₽/мес</t>
        </is>
      </c>
      <c r="E70" s="30" t="inlineStr"/>
      <c r="F70" s="7" t="inlineStr">
        <is>
          <t>default</t>
        </is>
      </c>
      <c r="G70" s="6" t="inlineStr"/>
      <c r="H70" s="30" t="inlineStr">
        <is>
          <t>ЦЕЛИКОМ</t>
        </is>
      </c>
    </row>
    <row r="71">
      <c r="A71" s="27" t="inlineStr">
        <is>
          <t>office_util</t>
        </is>
      </c>
      <c r="B71" s="28" t="inlineStr">
        <is>
          <t>АРЕНДА · коммунальные и связь</t>
        </is>
      </c>
      <c r="C71" s="37" t="n">
        <v>7000</v>
      </c>
      <c r="D71" s="28" t="inlineStr">
        <is>
          <t>₽/мес</t>
        </is>
      </c>
      <c r="E71" s="30" t="inlineStr"/>
      <c r="F71" s="7" t="inlineStr">
        <is>
          <t>default</t>
        </is>
      </c>
      <c r="G71" s="6" t="inlineStr"/>
      <c r="H71" s="30" t="inlineStr">
        <is>
          <t>ЦЕЛИКОМ</t>
        </is>
      </c>
    </row>
    <row r="72">
      <c r="A72" s="27" t="inlineStr">
        <is>
          <t>var_workspace</t>
        </is>
      </c>
      <c r="B72" s="28" t="inlineStr">
        <is>
          <t>Содержание рабочего места</t>
        </is>
      </c>
      <c r="C72" s="36">
        <f>IF(ws_mode="Работаю из дома",(home_rent+home_util)*cab_share*months,(office_rent+office_util)*months)</f>
        <v>67680.0</v>
      </c>
      <c r="D72" s="28" t="inlineStr">
        <is>
          <t>₽/год</t>
        </is>
      </c>
      <c r="E72" s="30" t="inlineStr">
        <is>
          <t>IF(ws_mode="Работаю из дома",(home_rent+home_util)*cab_share*months,(office_rent+office_util)*months)</t>
        </is>
      </c>
      <c r="F72" s="7" t="inlineStr">
        <is>
          <t>calc</t>
        </is>
      </c>
      <c r="G72" s="6" t="inlineStr">
        <is>
          <t>ws_mode, home_rent, cab_share, home_util, office_rent, office_util</t>
        </is>
      </c>
      <c r="H72" s="30" t="inlineStr"/>
    </row>
    <row r="73">
      <c r="A73" s="3" t="inlineStr">
        <is>
          <t>6 · ОБУЧЕНИЕ И САЙТ · ПЕРЕКЛЮЧАТЕЛИ</t>
        </is>
      </c>
    </row>
    <row r="74" ht="26" customHeight="1">
      <c r="A74" s="26" t="inlineStr">
        <is>
          <t>ID</t>
        </is>
      </c>
      <c r="B74" s="26" t="inlineStr">
        <is>
          <t>Название</t>
        </is>
      </c>
      <c r="C74" s="26" t="inlineStr">
        <is>
          <t>Значение</t>
        </is>
      </c>
      <c r="D74" s="26" t="inlineStr">
        <is>
          <t>Ед.</t>
        </is>
      </c>
      <c r="E74" s="26" t="inlineStr">
        <is>
          <t>Формула / как получено</t>
        </is>
      </c>
      <c r="F74" s="26" t="inlineStr">
        <is>
          <t>Тип</t>
        </is>
      </c>
      <c r="G74" s="26" t="inlineStr">
        <is>
          <t>Зависит от</t>
        </is>
      </c>
      <c r="H74" s="26" t="inlineStr">
        <is>
          <t>Источник / форма</t>
        </is>
      </c>
    </row>
    <row r="75">
      <c r="A75" s="27" t="inlineStr">
        <is>
          <t>edu_cost</t>
        </is>
      </c>
      <c r="B75" s="28" t="inlineStr">
        <is>
          <t>Обучение · стоимость курса</t>
        </is>
      </c>
      <c r="C75" s="37" t="n">
        <v>80000</v>
      </c>
      <c r="D75" s="28" t="inlineStr">
        <is>
          <t>₽</t>
        </is>
      </c>
      <c r="E75" s="30" t="inlineStr"/>
      <c r="F75" s="7" t="inlineStr">
        <is>
          <t>default</t>
        </is>
      </c>
      <c r="G75" s="6" t="inlineStr"/>
      <c r="H75" s="30" t="inlineStr">
        <is>
          <t>Form006 · Block10</t>
        </is>
      </c>
    </row>
    <row r="76">
      <c r="A76" s="27" t="inlineStr">
        <is>
          <t>edu_months</t>
        </is>
      </c>
      <c r="B76" s="28" t="inlineStr">
        <is>
          <t>Обучение · месяцев без дохода</t>
        </is>
      </c>
      <c r="C76" s="40" t="n">
        <v>4</v>
      </c>
      <c r="D76" s="28" t="inlineStr">
        <is>
          <t>мес</t>
        </is>
      </c>
      <c r="E76" s="30" t="inlineStr"/>
      <c r="F76" s="7" t="inlineStr">
        <is>
          <t>default</t>
        </is>
      </c>
      <c r="G76" s="6" t="inlineStr"/>
      <c r="H76" s="30" t="inlineStr"/>
    </row>
    <row r="77">
      <c r="A77" s="27" t="inlineStr">
        <is>
          <t>edu_life</t>
        </is>
      </c>
      <c r="B77" s="28" t="inlineStr">
        <is>
          <t>Обучение · срок амортизации</t>
        </is>
      </c>
      <c r="C77" s="40" t="n">
        <v>7</v>
      </c>
      <c r="D77" s="28" t="inlineStr">
        <is>
          <t>лет</t>
        </is>
      </c>
      <c r="E77" s="30" t="inlineStr"/>
      <c r="F77" s="7" t="inlineStr">
        <is>
          <t>default</t>
        </is>
      </c>
      <c r="G77" s="6" t="inlineStr"/>
      <c r="H77" s="30" t="inlineStr"/>
    </row>
    <row r="78">
      <c r="A78" s="27" t="n"/>
      <c r="B78" s="28" t="n"/>
      <c r="C78" s="34" t="n"/>
      <c r="D78" s="28" t="n"/>
      <c r="E78" s="30" t="n"/>
      <c r="F78" s="7" t="n"/>
      <c r="G78" s="6" t="n"/>
      <c r="H78" s="30" t="n"/>
    </row>
    <row r="79">
      <c r="A79" s="27" t="inlineStr">
        <is>
          <t>edu_opportunity</t>
        </is>
      </c>
      <c r="B79" s="28" t="inlineStr">
        <is>
          <t>Обучение · упущенная выгода</t>
        </is>
      </c>
      <c r="C79" s="38">
        <f>edu_months*income_month</f>
        <v>440864.0</v>
      </c>
      <c r="D79" s="28" t="inlineStr">
        <is>
          <t>₽</t>
        </is>
      </c>
      <c r="E79" s="30" t="inlineStr">
        <is>
          <t>edu_months*income_month</t>
        </is>
      </c>
      <c r="F79" s="7" t="inlineStr">
        <is>
          <t>calc</t>
        </is>
      </c>
      <c r="G79" s="6" t="inlineStr">
        <is>
          <t>edu_months, income_month</t>
        </is>
      </c>
      <c r="H79" s="30" t="inlineStr"/>
    </row>
    <row r="80">
      <c r="A80" s="27" t="inlineStr">
        <is>
          <t>dep_education</t>
        </is>
      </c>
      <c r="B80" s="28" t="inlineStr">
        <is>
          <t>Амортизация · обучение</t>
        </is>
      </c>
      <c r="C80" s="36">
        <f>IF(edu_life=0,0,(edu_cost+edu_opportunity)/edu_life)</f>
        <v>74409.14285714286</v>
      </c>
      <c r="D80" s="28" t="inlineStr">
        <is>
          <t>₽/год</t>
        </is>
      </c>
      <c r="E80" s="30" t="inlineStr">
        <is>
          <t>IF(edu_life=0,0,(edu_cost+edu_opportunity)/edu_life)</t>
        </is>
      </c>
      <c r="F80" s="7" t="inlineStr">
        <is>
          <t>calc</t>
        </is>
      </c>
      <c r="G80" s="6" t="inlineStr">
        <is>
          <t>edu_cost, edu_opportunity, edu_life</t>
        </is>
      </c>
      <c r="H80" s="30" t="inlineStr"/>
    </row>
    <row r="81">
      <c r="A81" s="27" t="inlineStr">
        <is>
          <t>site_mode</t>
        </is>
      </c>
      <c r="B81" s="28" t="inlineStr">
        <is>
          <t>ПЕРЕКЛЮЧАТЕЛЬ · создание сайта</t>
        </is>
      </c>
      <c r="C81" s="34" t="inlineStr">
        <is>
          <t>Нанимал (а) специалиста</t>
        </is>
      </c>
      <c r="D81" s="28" t="inlineStr"/>
      <c r="E81" s="30" t="inlineStr"/>
      <c r="F81" s="7" t="inlineStr">
        <is>
          <t>default</t>
        </is>
      </c>
      <c r="G81" s="6" t="inlineStr"/>
      <c r="H81" s="30" t="inlineStr">
        <is>
          <t>Form014 · A123 · Block12</t>
        </is>
      </c>
    </row>
    <row r="82">
      <c r="A82" s="27" t="inlineStr">
        <is>
          <t>site_cost</t>
        </is>
      </c>
      <c r="B82" s="28" t="inlineStr">
        <is>
          <t>Сайт · стоимость подрядчика</t>
        </is>
      </c>
      <c r="C82" s="37" t="n">
        <v>70000</v>
      </c>
      <c r="D82" s="28" t="inlineStr">
        <is>
          <t>₽</t>
        </is>
      </c>
      <c r="E82" s="30" t="inlineStr"/>
      <c r="F82" s="7" t="inlineStr">
        <is>
          <t>default</t>
        </is>
      </c>
      <c r="G82" s="6" t="inlineStr"/>
      <c r="H82" s="30" t="inlineStr"/>
    </row>
    <row r="83">
      <c r="A83" s="27" t="inlineStr">
        <is>
          <t>site_hours</t>
        </is>
      </c>
      <c r="B83" s="28" t="inlineStr">
        <is>
          <t>Сайт · часов своими руками</t>
        </is>
      </c>
      <c r="C83" s="33" t="n">
        <v>80</v>
      </c>
      <c r="D83" s="28" t="inlineStr">
        <is>
          <t>ч</t>
        </is>
      </c>
      <c r="E83" s="30" t="inlineStr"/>
      <c r="F83" s="7" t="inlineStr">
        <is>
          <t>default</t>
        </is>
      </c>
      <c r="G83" s="6" t="inlineStr"/>
      <c r="H83" s="30" t="inlineStr">
        <is>
          <t>при варианте «делал сам»</t>
        </is>
      </c>
    </row>
    <row r="84">
      <c r="A84" s="27" t="inlineStr">
        <is>
          <t>site_life</t>
        </is>
      </c>
      <c r="B84" s="28" t="inlineStr">
        <is>
          <t>Сайт · срок амортизации</t>
        </is>
      </c>
      <c r="C84" s="40" t="n">
        <v>7</v>
      </c>
      <c r="D84" s="28" t="inlineStr">
        <is>
          <t>лет</t>
        </is>
      </c>
      <c r="E84" s="30" t="inlineStr"/>
      <c r="F84" s="7" t="inlineStr">
        <is>
          <t>default</t>
        </is>
      </c>
      <c r="G84" s="6" t="inlineStr"/>
      <c r="H84" s="30" t="inlineStr"/>
    </row>
    <row r="85">
      <c r="A85" s="27" t="inlineStr">
        <is>
          <t>dep_website</t>
        </is>
      </c>
      <c r="B85" s="28" t="inlineStr">
        <is>
          <t>Амортизация · сайт</t>
        </is>
      </c>
      <c r="C85" s="36">
        <f>IF(site_mode="Нанимал (а) специалиста",IF(site_life=0,0,site_cost/site_life),0)</f>
        <v>10000.0</v>
      </c>
      <c r="D85" s="28" t="inlineStr">
        <is>
          <t>₽/год</t>
        </is>
      </c>
      <c r="E85" s="30" t="inlineStr">
        <is>
          <t>IF(site_mode="Нанимал (а) специалиста",IF(site_life=0,0,site_cost/site_life),0)</t>
        </is>
      </c>
      <c r="F85" s="7" t="inlineStr">
        <is>
          <t>calc</t>
        </is>
      </c>
      <c r="G85" s="6" t="inlineStr">
        <is>
          <t>site_mode, site_cost, site_life</t>
        </is>
      </c>
      <c r="H85" s="30" t="inlineStr">
        <is>
          <t>при «делал сам» уходит в site_divisor</t>
        </is>
      </c>
    </row>
    <row r="86">
      <c r="A86" s="27" t="inlineStr">
        <is>
          <t>site_divisor</t>
        </is>
      </c>
      <c r="B86" s="28" t="inlineStr">
        <is>
          <t>Сайт · поправка знаменателя</t>
        </is>
      </c>
      <c r="C86" s="41">
        <f>IF(site_mode="Нанимал (а) специалиста",0,IF(site_life*net_time=0,0,site_hours/(site_life*net_time)))</f>
        <v>0.0</v>
      </c>
      <c r="D86" s="28" t="inlineStr"/>
      <c r="E86" s="30" t="inlineStr">
        <is>
          <t>IF(site_mode="Нанимал (а) специалиста",0,IF(site_life*net_time=0,0,site_hours/(site_life*net_time)))</t>
        </is>
      </c>
      <c r="F86" s="7" t="inlineStr">
        <is>
          <t>calc</t>
        </is>
      </c>
      <c r="G86" s="6" t="inlineStr">
        <is>
          <t>site_mode, site_hours, site_life, net_time</t>
        </is>
      </c>
      <c r="H86" s="30" t="inlineStr">
        <is>
          <t>Свой труд по ПОЛНОЙ ставке рабочего часа (выручка / чистое время), а не по съёмочной</t>
        </is>
      </c>
    </row>
    <row r="87">
      <c r="A87" s="3" t="inlineStr">
        <is>
          <t>7 · РАСХОДЫ · итоги из 03_Каталоги по КОДУ ФОРМЫ</t>
        </is>
      </c>
    </row>
    <row r="88" ht="26" customHeight="1">
      <c r="A88" s="26" t="inlineStr">
        <is>
          <t>ID</t>
        </is>
      </c>
      <c r="B88" s="26" t="inlineStr">
        <is>
          <t>Название</t>
        </is>
      </c>
      <c r="C88" s="26" t="inlineStr">
        <is>
          <t>Значение</t>
        </is>
      </c>
      <c r="D88" s="26" t="inlineStr">
        <is>
          <t>Ед.</t>
        </is>
      </c>
      <c r="E88" s="26" t="inlineStr">
        <is>
          <t>Формула / как получено</t>
        </is>
      </c>
      <c r="F88" s="26" t="inlineStr">
        <is>
          <t>Тип</t>
        </is>
      </c>
      <c r="G88" s="26" t="inlineStr">
        <is>
          <t>Зависит от</t>
        </is>
      </c>
      <c r="H88" s="26" t="inlineStr">
        <is>
          <t>Источник / форма</t>
        </is>
      </c>
    </row>
    <row r="89">
      <c r="A89" s="27" t="inlineStr">
        <is>
          <t>dep_shoot</t>
        </is>
      </c>
      <c r="B89" s="28" t="inlineStr">
        <is>
          <t>Амортизация · съёмочное оборудование</t>
        </is>
      </c>
      <c r="C89" s="36">
        <f>SUMIF(cat_form,"Form001",cat_year)</f>
        <v>107759.99047619046</v>
      </c>
      <c r="D89" s="28" t="inlineStr">
        <is>
          <t>₽/год</t>
        </is>
      </c>
      <c r="E89" s="30" t="inlineStr">
        <is>
          <t>SUMIF(cat_form,"Form001",cat_year)</t>
        </is>
      </c>
      <c r="F89" s="7" t="inlineStr">
        <is>
          <t>calc</t>
        </is>
      </c>
      <c r="G89" s="6" t="inlineStr">
        <is>
          <t>Form001</t>
        </is>
      </c>
      <c r="H89" s="30" t="inlineStr">
        <is>
          <t>Block6</t>
        </is>
      </c>
    </row>
    <row r="90">
      <c r="A90" s="27" t="inlineStr">
        <is>
          <t>dep_office</t>
        </is>
      </c>
      <c r="B90" s="28" t="inlineStr">
        <is>
          <t>Амортизация · офисное оборудование</t>
        </is>
      </c>
      <c r="C90" s="36">
        <f>SUMIF(cat_form,"Form002",cat_year)</f>
        <v>65732.93333333333</v>
      </c>
      <c r="D90" s="28" t="inlineStr">
        <is>
          <t>₽/год</t>
        </is>
      </c>
      <c r="E90" s="30" t="inlineStr">
        <is>
          <t>SUMIF(cat_form,"Form002",cat_year)</t>
        </is>
      </c>
      <c r="F90" s="7" t="inlineStr">
        <is>
          <t>calc</t>
        </is>
      </c>
      <c r="G90" s="6" t="inlineStr">
        <is>
          <t>Form002</t>
        </is>
      </c>
      <c r="H90" s="30" t="inlineStr">
        <is>
          <t>Block7</t>
        </is>
      </c>
    </row>
    <row r="91">
      <c r="A91" s="27" t="inlineStr">
        <is>
          <t>dep_software</t>
        </is>
      </c>
      <c r="B91" s="28" t="inlineStr">
        <is>
          <t>Амортизация · ПО разовые покупки</t>
        </is>
      </c>
      <c r="C91" s="36">
        <f>SUMIF(cat_form,"Form004",cat_year)</f>
        <v>11500.0</v>
      </c>
      <c r="D91" s="28" t="inlineStr">
        <is>
          <t>₽/год</t>
        </is>
      </c>
      <c r="E91" s="30" t="inlineStr">
        <is>
          <t>SUMIF(cat_form,"Form004",cat_year)</t>
        </is>
      </c>
      <c r="F91" s="7" t="inlineStr">
        <is>
          <t>calc</t>
        </is>
      </c>
      <c r="G91" s="6" t="inlineStr">
        <is>
          <t>Form004</t>
        </is>
      </c>
      <c r="H91" s="30" t="inlineStr">
        <is>
          <t>Block8</t>
        </is>
      </c>
    </row>
    <row r="92">
      <c r="A92" s="27" t="inlineStr">
        <is>
          <t>dep_workspace</t>
        </is>
      </c>
      <c r="B92" s="28" t="inlineStr">
        <is>
          <t>Амортизация · обустройство места</t>
        </is>
      </c>
      <c r="C92" s="36">
        <f>SUMIF(cat_form,"Form013",cat_year)</f>
        <v>9285.714285714286</v>
      </c>
      <c r="D92" s="28" t="inlineStr">
        <is>
          <t>₽/год</t>
        </is>
      </c>
      <c r="E92" s="30" t="inlineStr">
        <is>
          <t>SUMIF(cat_form,"Form013",cat_year)</t>
        </is>
      </c>
      <c r="F92" s="7" t="inlineStr">
        <is>
          <t>calc</t>
        </is>
      </c>
      <c r="G92" s="6" t="inlineStr">
        <is>
          <t>Form013</t>
        </is>
      </c>
      <c r="H92" s="30" t="inlineStr">
        <is>
          <t>Block9</t>
        </is>
      </c>
    </row>
    <row r="93">
      <c r="A93" s="27" t="inlineStr">
        <is>
          <t>investment</t>
        </is>
      </c>
      <c r="B93" s="28" t="inlineStr">
        <is>
          <t>ИТОГО амортизация</t>
        </is>
      </c>
      <c r="C93" s="36">
        <f>dep_shoot+dep_office+dep_software+dep_workspace+dep_education+dep_website</f>
        <v>278687.78095238097</v>
      </c>
      <c r="D93" s="28" t="inlineStr">
        <is>
          <t>₽/год</t>
        </is>
      </c>
      <c r="E93" s="30" t="inlineStr">
        <is>
          <t>dep_shoot+dep_office+dep_software+dep_workspace+dep_education+dep_website</t>
        </is>
      </c>
      <c r="F93" s="7" t="inlineStr">
        <is>
          <t>calc</t>
        </is>
      </c>
      <c r="G93" s="6" t="inlineStr">
        <is>
          <t>dep_*</t>
        </is>
      </c>
      <c r="H93" s="30" t="inlineStr"/>
    </row>
    <row r="94">
      <c r="A94" s="27" t="inlineStr">
        <is>
          <t>var_software</t>
        </is>
      </c>
      <c r="B94" s="28" t="inlineStr">
        <is>
          <t>Переменные · подписки ПО</t>
        </is>
      </c>
      <c r="C94" s="36">
        <f>SUMIF(cat_form,"Form003",cat_year)</f>
        <v>27000.0</v>
      </c>
      <c r="D94" s="28" t="inlineStr">
        <is>
          <t>₽/год</t>
        </is>
      </c>
      <c r="E94" s="30" t="inlineStr">
        <is>
          <t>SUMIF(cat_form,"Form003",cat_year)</t>
        </is>
      </c>
      <c r="F94" s="7" t="inlineStr">
        <is>
          <t>calc</t>
        </is>
      </c>
      <c r="G94" s="6" t="inlineStr">
        <is>
          <t>Form003</t>
        </is>
      </c>
      <c r="H94" s="30" t="inlineStr">
        <is>
          <t>Block8</t>
        </is>
      </c>
    </row>
    <row r="95">
      <c r="A95" s="27" t="inlineStr">
        <is>
          <t>var_ads</t>
        </is>
      </c>
      <c r="B95" s="28" t="inlineStr">
        <is>
          <t>Переменные · реклама и продвижение</t>
        </is>
      </c>
      <c r="C95" s="36">
        <f>SUMIF(cat_form,"Form010",cat_year)</f>
        <v>187500.0</v>
      </c>
      <c r="D95" s="28" t="inlineStr">
        <is>
          <t>₽/год</t>
        </is>
      </c>
      <c r="E95" s="30" t="inlineStr">
        <is>
          <t>SUMIF(cat_form,"Form010",cat_year)</t>
        </is>
      </c>
      <c r="F95" s="7" t="inlineStr">
        <is>
          <t>calc</t>
        </is>
      </c>
      <c r="G95" s="6" t="inlineStr">
        <is>
          <t>Form010</t>
        </is>
      </c>
      <c r="H95" s="30" t="inlineStr">
        <is>
          <t>Block11</t>
        </is>
      </c>
    </row>
    <row r="96">
      <c r="A96" s="27" t="inlineStr">
        <is>
          <t>var_bank</t>
        </is>
      </c>
      <c r="B96" s="28" t="inlineStr">
        <is>
          <t>Переменные · банк РКО и СМС</t>
        </is>
      </c>
      <c r="C96" s="36">
        <f>SUMIF(cat_form,"Form007",cat_year)</f>
        <v>1800.0</v>
      </c>
      <c r="D96" s="28" t="inlineStr">
        <is>
          <t>₽/год</t>
        </is>
      </c>
      <c r="E96" s="30" t="inlineStr">
        <is>
          <t>SUMIF(cat_form,"Form007",cat_year)</t>
        </is>
      </c>
      <c r="F96" s="7" t="inlineStr">
        <is>
          <t>calc</t>
        </is>
      </c>
      <c r="G96" s="6" t="inlineStr">
        <is>
          <t>Form007</t>
        </is>
      </c>
      <c r="H96" s="30" t="inlineStr">
        <is>
          <t>Block15</t>
        </is>
      </c>
    </row>
    <row r="97">
      <c r="A97" s="27" t="inlineStr">
        <is>
          <t>acc_cost_month</t>
        </is>
      </c>
      <c r="B97" s="28" t="inlineStr">
        <is>
          <t>Специалист по учёту · стоимость в месяц</t>
        </is>
      </c>
      <c r="C97" s="37" t="n">
        <v>10000</v>
      </c>
      <c r="D97" s="28" t="inlineStr">
        <is>
          <t>₽/мес</t>
        </is>
      </c>
      <c r="E97" s="30" t="inlineStr"/>
      <c r="F97" s="7" t="inlineStr">
        <is>
          <t>default</t>
        </is>
      </c>
      <c r="G97" s="6" t="inlineStr"/>
      <c r="H97" s="30" t="inlineStr">
        <is>
          <t>Form011</t>
        </is>
      </c>
    </row>
    <row r="98">
      <c r="A98" s="27" t="inlineStr">
        <is>
          <t>var_accounting</t>
        </is>
      </c>
      <c r="B98" s="28" t="inlineStr">
        <is>
          <t>Переменные · специалист по учёту</t>
        </is>
      </c>
      <c r="C98" s="36">
        <f>IF(acc_mode="Нанимаю специалиста",acc_cost_month*months,0)</f>
        <v>0.0</v>
      </c>
      <c r="D98" s="28" t="inlineStr">
        <is>
          <t>₽/год</t>
        </is>
      </c>
      <c r="E98" s="30" t="inlineStr">
        <is>
          <t>IF(acc_mode="Нанимаю специалиста",acc_cost_month*months,0)</t>
        </is>
      </c>
      <c r="F98" s="7" t="inlineStr">
        <is>
          <t>calc</t>
        </is>
      </c>
      <c r="G98" s="6" t="inlineStr">
        <is>
          <t>acc_mode, acc_cost_month, months</t>
        </is>
      </c>
      <c r="H98" s="30" t="inlineStr">
        <is>
          <t>Если веду сам — 0, но растёт время</t>
        </is>
      </c>
    </row>
    <row r="99">
      <c r="A99" s="27" t="inlineStr">
        <is>
          <t>variable_costs</t>
        </is>
      </c>
      <c r="B99" s="28" t="inlineStr">
        <is>
          <t>ИТОГО переменные</t>
        </is>
      </c>
      <c r="C99" s="36">
        <f>var_software+var_ads+var_bank+var_accounting+var_workspace</f>
        <v>283980.0</v>
      </c>
      <c r="D99" s="28" t="inlineStr">
        <is>
          <t>₽/год</t>
        </is>
      </c>
      <c r="E99" s="30" t="inlineStr">
        <is>
          <t>var_software+var_ads+var_bank+var_accounting+var_workspace</t>
        </is>
      </c>
      <c r="F99" s="7" t="inlineStr">
        <is>
          <t>calc</t>
        </is>
      </c>
      <c r="G99" s="6" t="inlineStr">
        <is>
          <t>var_*</t>
        </is>
      </c>
      <c r="H99" s="30" t="inlineStr"/>
    </row>
    <row r="100">
      <c r="A100" s="27" t="inlineStr">
        <is>
          <t>total_costs</t>
        </is>
      </c>
      <c r="B100" s="28" t="inlineStr">
        <is>
          <t>ВСЕГО РАСХОДОВ (C)</t>
        </is>
      </c>
      <c r="C100" s="36">
        <f>investment+variable_costs</f>
        <v>562667.780952381</v>
      </c>
      <c r="D100" s="28" t="inlineStr">
        <is>
          <t>₽/год</t>
        </is>
      </c>
      <c r="E100" s="30" t="inlineStr">
        <is>
          <t>investment+variable_costs</t>
        </is>
      </c>
      <c r="F100" s="7" t="inlineStr">
        <is>
          <t>calc</t>
        </is>
      </c>
      <c r="G100" s="6" t="inlineStr">
        <is>
          <t>investment, variable_costs</t>
        </is>
      </c>
      <c r="H100" s="30" t="inlineStr">
        <is>
          <t>Без эквайринга</t>
        </is>
      </c>
    </row>
    <row r="101">
      <c r="A101" s="27" t="inlineStr">
        <is>
          <t>revenue_base</t>
        </is>
      </c>
      <c r="B101" s="28" t="inlineStr">
        <is>
          <t>База для выручки</t>
        </is>
      </c>
      <c r="C101" s="38">
        <f>target_income+total_costs</f>
        <v>1885259.780952381</v>
      </c>
      <c r="D101" s="28" t="inlineStr">
        <is>
          <t>₽/год</t>
        </is>
      </c>
      <c r="E101" s="30" t="inlineStr">
        <is>
          <t>target_income+total_costs</t>
        </is>
      </c>
      <c r="F101" s="7" t="inlineStr">
        <is>
          <t>calc</t>
        </is>
      </c>
      <c r="G101" s="6" t="inlineStr">
        <is>
          <t>target_income, total_costs</t>
        </is>
      </c>
      <c r="H101" s="30" t="inlineStr">
        <is>
          <t>N + C</t>
        </is>
      </c>
    </row>
    <row r="102">
      <c r="A102" s="3" t="inlineStr">
        <is>
          <t>8 · НАЛОГИ И ВЗНОСЫ 2026</t>
        </is>
      </c>
    </row>
    <row r="103" ht="26" customHeight="1">
      <c r="A103" s="26" t="inlineStr">
        <is>
          <t>ID</t>
        </is>
      </c>
      <c r="B103" s="26" t="inlineStr">
        <is>
          <t>Название</t>
        </is>
      </c>
      <c r="C103" s="26" t="inlineStr">
        <is>
          <t>Значение</t>
        </is>
      </c>
      <c r="D103" s="26" t="inlineStr">
        <is>
          <t>Ед.</t>
        </is>
      </c>
      <c r="E103" s="26" t="inlineStr">
        <is>
          <t>Формула / как получено</t>
        </is>
      </c>
      <c r="F103" s="26" t="inlineStr">
        <is>
          <t>Тип</t>
        </is>
      </c>
      <c r="G103" s="26" t="inlineStr">
        <is>
          <t>Зависит от</t>
        </is>
      </c>
      <c r="H103" s="26" t="inlineStr">
        <is>
          <t>Источник / форма</t>
        </is>
      </c>
    </row>
    <row r="104">
      <c r="A104" s="27" t="inlineStr">
        <is>
          <t>regime</t>
        </is>
      </c>
      <c r="B104" s="28" t="inlineStr">
        <is>
          <t>ПЕРЕКЛЮЧАТЕЛЬ · режим налогообложения</t>
        </is>
      </c>
      <c r="C104" s="34" t="inlineStr">
        <is>
          <t>Самозанятый (НПД), средняя ставка</t>
        </is>
      </c>
      <c r="D104" s="28" t="inlineStr"/>
      <c r="E104" s="30" t="inlineStr"/>
      <c r="F104" s="7" t="inlineStr">
        <is>
          <t>default</t>
        </is>
      </c>
      <c r="G104" s="6" t="inlineStr"/>
      <c r="H104" s="30" t="inlineStr">
        <is>
          <t>Form015 · A137 · Block4</t>
        </is>
      </c>
    </row>
    <row r="105">
      <c r="A105" s="27" t="inlineStr">
        <is>
          <t>rate_npd_avg</t>
        </is>
      </c>
      <c r="B105" s="28" t="inlineStr">
        <is>
          <t>НПД · средняя ставка</t>
        </is>
      </c>
      <c r="C105" s="35" t="n">
        <v>0.05</v>
      </c>
      <c r="D105" s="28" t="inlineStr">
        <is>
          <t>%</t>
        </is>
      </c>
      <c r="E105" s="30" t="inlineStr"/>
      <c r="F105" s="7" t="inlineStr">
        <is>
          <t>default</t>
        </is>
      </c>
      <c r="G105" s="6" t="inlineStr"/>
      <c r="H105" s="30" t="inlineStr">
        <is>
          <t>и физлица, и юрлица</t>
        </is>
      </c>
    </row>
    <row r="106">
      <c r="A106" s="27" t="inlineStr">
        <is>
          <t>rate_npd_fiz</t>
        </is>
      </c>
      <c r="B106" s="28" t="inlineStr">
        <is>
          <t>НПД · физлица</t>
        </is>
      </c>
      <c r="C106" s="42" t="n">
        <v>0.04</v>
      </c>
      <c r="D106" s="28" t="inlineStr">
        <is>
          <t>%</t>
        </is>
      </c>
      <c r="E106" s="30" t="inlineStr"/>
      <c r="F106" s="7" t="inlineStr">
        <is>
          <t>const</t>
        </is>
      </c>
      <c r="G106" s="6" t="inlineStr"/>
      <c r="H106" s="30" t="inlineStr">
        <is>
          <t>ФЗ-422</t>
        </is>
      </c>
    </row>
    <row r="107">
      <c r="A107" s="27" t="inlineStr">
        <is>
          <t>rate_npd_ur</t>
        </is>
      </c>
      <c r="B107" s="28" t="inlineStr">
        <is>
          <t>НПД · юрлица</t>
        </is>
      </c>
      <c r="C107" s="42" t="n">
        <v>0.06</v>
      </c>
      <c r="D107" s="28" t="inlineStr">
        <is>
          <t>%</t>
        </is>
      </c>
      <c r="E107" s="30" t="inlineStr"/>
      <c r="F107" s="7" t="inlineStr">
        <is>
          <t>const</t>
        </is>
      </c>
      <c r="G107" s="6" t="inlineStr"/>
      <c r="H107" s="30" t="inlineStr">
        <is>
          <t>ФЗ-422</t>
        </is>
      </c>
    </row>
    <row r="108">
      <c r="A108" s="27" t="inlineStr">
        <is>
          <t>rate_usn_inc</t>
        </is>
      </c>
      <c r="B108" s="28" t="inlineStr">
        <is>
          <t>УСН доходы</t>
        </is>
      </c>
      <c r="C108" s="35" t="n">
        <v>0.06</v>
      </c>
      <c r="D108" s="28" t="inlineStr">
        <is>
          <t>%</t>
        </is>
      </c>
      <c r="E108" s="30" t="inlineStr"/>
      <c r="F108" s="7" t="inlineStr">
        <is>
          <t>default</t>
        </is>
      </c>
      <c r="G108" s="6" t="inlineStr"/>
      <c r="H108" s="30" t="inlineStr">
        <is>
          <t>регион до 1%</t>
        </is>
      </c>
    </row>
    <row r="109">
      <c r="A109" s="27" t="inlineStr">
        <is>
          <t>rate_usn_prof</t>
        </is>
      </c>
      <c r="B109" s="28" t="inlineStr">
        <is>
          <t>УСН доходы минус расходы</t>
        </is>
      </c>
      <c r="C109" s="35" t="n">
        <v>0.15</v>
      </c>
      <c r="D109" s="28" t="inlineStr">
        <is>
          <t>%</t>
        </is>
      </c>
      <c r="E109" s="30" t="inlineStr"/>
      <c r="F109" s="7" t="inlineStr">
        <is>
          <t>default</t>
        </is>
      </c>
      <c r="G109" s="6" t="inlineStr"/>
      <c r="H109" s="30" t="inlineStr">
        <is>
          <t>регион до 5%</t>
        </is>
      </c>
    </row>
    <row r="110">
      <c r="A110" s="27" t="inlineStr">
        <is>
          <t>rate_ausn_inc</t>
        </is>
      </c>
      <c r="B110" s="28" t="inlineStr">
        <is>
          <t>АУСН доходы</t>
        </is>
      </c>
      <c r="C110" s="42" t="n">
        <v>0.08</v>
      </c>
      <c r="D110" s="28" t="inlineStr">
        <is>
          <t>%</t>
        </is>
      </c>
      <c r="E110" s="30" t="inlineStr"/>
      <c r="F110" s="7" t="inlineStr">
        <is>
          <t>const</t>
        </is>
      </c>
      <c r="G110" s="6" t="inlineStr"/>
      <c r="H110" s="30" t="inlineStr">
        <is>
          <t>ФЗ-17</t>
        </is>
      </c>
    </row>
    <row r="111">
      <c r="A111" s="27" t="inlineStr">
        <is>
          <t>rate_ausn_prof</t>
        </is>
      </c>
      <c r="B111" s="28" t="inlineStr">
        <is>
          <t>АУСН доходы минус расходы</t>
        </is>
      </c>
      <c r="C111" s="42" t="n">
        <v>0.2</v>
      </c>
      <c r="D111" s="28" t="inlineStr">
        <is>
          <t>%</t>
        </is>
      </c>
      <c r="E111" s="30" t="inlineStr"/>
      <c r="F111" s="7" t="inlineStr">
        <is>
          <t>const</t>
        </is>
      </c>
      <c r="G111" s="6" t="inlineStr"/>
      <c r="H111" s="30" t="inlineStr">
        <is>
          <t>ФЗ-17</t>
        </is>
      </c>
    </row>
    <row r="112">
      <c r="A112" s="27" t="inlineStr">
        <is>
          <t>regime_no</t>
        </is>
      </c>
      <c r="B112" s="28" t="inlineStr">
        <is>
          <t>Номер режима (1–7)</t>
        </is>
      </c>
      <c r="C112"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2" s="28" t="inlineStr">
        <is>
          <t>№</t>
        </is>
      </c>
      <c r="E112"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2" s="7" t="inlineStr">
        <is>
          <t>calc</t>
        </is>
      </c>
      <c r="G112" s="6" t="inlineStr">
        <is>
          <t>regime</t>
        </is>
      </c>
      <c r="H112" s="30" t="inlineStr"/>
    </row>
    <row r="113">
      <c r="A113" s="27" t="inlineStr">
        <is>
          <t>rate_current</t>
        </is>
      </c>
      <c r="B113" s="28" t="inlineStr">
        <is>
          <t>Ставка выбранного режима</t>
        </is>
      </c>
      <c r="C113" s="39">
        <f>CHOOSE(regime_no,rate_npd_avg,rate_npd_fiz,rate_npd_ur,rate_usn_inc,rate_usn_prof,rate_ausn_inc,rate_ausn_prof)</f>
        <v>0.05</v>
      </c>
      <c r="D113" s="28" t="inlineStr">
        <is>
          <t>%</t>
        </is>
      </c>
      <c r="E113" s="30" t="inlineStr">
        <is>
          <t>CHOOSE(regime_no,rate_npd_avg,rate_npd_fiz,rate_npd_ur,rate_usn_inc,rate_usn_prof,rate_ausn_inc,rate_ausn_prof)</t>
        </is>
      </c>
      <c r="F113" s="7" t="inlineStr">
        <is>
          <t>calc</t>
        </is>
      </c>
      <c r="G113" s="6" t="inlineStr">
        <is>
          <t>regime_no</t>
        </is>
      </c>
      <c r="H113" s="30" t="inlineStr"/>
    </row>
    <row r="114">
      <c r="A114" s="27" t="inlineStr">
        <is>
          <t>fixed_contrib</t>
        </is>
      </c>
      <c r="B114" s="28" t="inlineStr">
        <is>
          <t>Фиксированные взносы ИП</t>
        </is>
      </c>
      <c r="C114" s="43" t="n">
        <v>57390</v>
      </c>
      <c r="D114" s="28" t="inlineStr">
        <is>
          <t>₽/год</t>
        </is>
      </c>
      <c r="E114" s="30" t="inlineStr"/>
      <c r="F114" s="7" t="inlineStr">
        <is>
          <t>const</t>
        </is>
      </c>
      <c r="G114" s="6" t="inlineStr"/>
      <c r="H114" s="30" t="inlineStr">
        <is>
          <t>п. 1.2 ст. 430 НК</t>
        </is>
      </c>
    </row>
    <row r="115">
      <c r="A115" s="27" t="inlineStr">
        <is>
          <t>extra_contrib</t>
        </is>
      </c>
      <c r="B115" s="28" t="inlineStr">
        <is>
          <t>Дополнительный взнос</t>
        </is>
      </c>
      <c r="C115" s="42" t="n">
        <v>0.01</v>
      </c>
      <c r="D115" s="28" t="inlineStr">
        <is>
          <t>%</t>
        </is>
      </c>
      <c r="E115" s="30" t="inlineStr"/>
      <c r="F115" s="7" t="inlineStr">
        <is>
          <t>const</t>
        </is>
      </c>
      <c r="G115" s="6" t="inlineStr"/>
      <c r="H115" s="30" t="inlineStr">
        <is>
          <t>п. 1.2 ст. 430 НК</t>
        </is>
      </c>
    </row>
    <row r="116">
      <c r="A116" s="27" t="inlineStr">
        <is>
          <t>contrib_threshold</t>
        </is>
      </c>
      <c r="B116" s="28" t="inlineStr">
        <is>
          <t>Предельная величина дохода</t>
        </is>
      </c>
      <c r="C116" s="43" t="n">
        <v>300000</v>
      </c>
      <c r="D116" s="28" t="inlineStr">
        <is>
          <t>₽/год</t>
        </is>
      </c>
      <c r="E116" s="30" t="inlineStr"/>
      <c r="F116" s="7" t="inlineStr">
        <is>
          <t>const</t>
        </is>
      </c>
      <c r="G116" s="6" t="inlineStr"/>
      <c r="H116" s="30" t="inlineStr">
        <is>
          <t>ЗА ГОД</t>
        </is>
      </c>
    </row>
    <row r="117">
      <c r="A117" s="27" t="inlineStr">
        <is>
          <t>contrib_cap</t>
        </is>
      </c>
      <c r="B117" s="28" t="inlineStr">
        <is>
          <t>Максимум допвзноса</t>
        </is>
      </c>
      <c r="C117" s="43" t="n">
        <v>321818</v>
      </c>
      <c r="D117" s="28" t="inlineStr">
        <is>
          <t>₽/год</t>
        </is>
      </c>
      <c r="E117" s="30" t="inlineStr"/>
      <c r="F117" s="7" t="inlineStr">
        <is>
          <t>const</t>
        </is>
      </c>
      <c r="G117" s="6" t="inlineStr"/>
      <c r="H117" s="30" t="inlineStr">
        <is>
          <t>п. 1.2 ст. 430 НК</t>
        </is>
      </c>
    </row>
    <row r="118">
      <c r="A118" s="27" t="inlineStr">
        <is>
          <t>threshold_credit</t>
        </is>
      </c>
      <c r="B118" s="28" t="inlineStr">
        <is>
          <t>Поправка на порог</t>
        </is>
      </c>
      <c r="C118" s="38">
        <f>contrib_threshold*extra_contrib</f>
        <v>3000.0</v>
      </c>
      <c r="D118" s="28" t="inlineStr">
        <is>
          <t>₽</t>
        </is>
      </c>
      <c r="E118" s="30" t="inlineStr">
        <is>
          <t>contrib_threshold*extra_contrib</t>
        </is>
      </c>
      <c r="F118" s="7" t="inlineStr">
        <is>
          <t>calc</t>
        </is>
      </c>
      <c r="G118" s="6" t="inlineStr">
        <is>
          <t>contrib_threshold, extra_contrib</t>
        </is>
      </c>
      <c r="H118" s="30" t="inlineStr">
        <is>
          <t>300 000 × 1% = 3 000</t>
        </is>
      </c>
    </row>
    <row r="119">
      <c r="A119" s="27" t="inlineStr">
        <is>
          <t>min_tax_usn</t>
        </is>
      </c>
      <c r="B119" s="28" t="inlineStr">
        <is>
          <t>Минимальный налог УСН Д−Р</t>
        </is>
      </c>
      <c r="C119" s="42" t="n">
        <v>0.01</v>
      </c>
      <c r="D119" s="28" t="inlineStr">
        <is>
          <t>%</t>
        </is>
      </c>
      <c r="E119" s="30" t="inlineStr"/>
      <c r="F119" s="7" t="inlineStr">
        <is>
          <t>const</t>
        </is>
      </c>
      <c r="G119" s="6" t="inlineStr"/>
      <c r="H119" s="30" t="inlineStr">
        <is>
          <t>ст. 346.18 НК</t>
        </is>
      </c>
    </row>
    <row r="120">
      <c r="A120" s="27" t="inlineStr">
        <is>
          <t>min_tax_ausn</t>
        </is>
      </c>
      <c r="B120" s="28" t="inlineStr">
        <is>
          <t>Минимальный налог АУСН Д−Р</t>
        </is>
      </c>
      <c r="C120" s="42" t="n">
        <v>0.03</v>
      </c>
      <c r="D120" s="28" t="inlineStr">
        <is>
          <t>%</t>
        </is>
      </c>
      <c r="E120" s="30" t="inlineStr"/>
      <c r="F120" s="7" t="inlineStr">
        <is>
          <t>const</t>
        </is>
      </c>
      <c r="G120" s="6" t="inlineStr"/>
      <c r="H120" s="30" t="inlineStr">
        <is>
          <t>ФЗ-17</t>
        </is>
      </c>
    </row>
    <row r="121">
      <c r="A121" s="27" t="inlineStr">
        <is>
          <t>injury_contrib</t>
        </is>
      </c>
      <c r="B121" s="28" t="inlineStr">
        <is>
          <t>Взнос на травматизм (АУСН)</t>
        </is>
      </c>
      <c r="C121" s="37" t="n">
        <v>0</v>
      </c>
      <c r="D121" s="28" t="inlineStr">
        <is>
          <t>₽/год</t>
        </is>
      </c>
      <c r="E121" s="30" t="inlineStr"/>
      <c r="F121" s="7" t="inlineStr">
        <is>
          <t>default</t>
        </is>
      </c>
      <c r="G121" s="6" t="inlineStr"/>
      <c r="H121" s="30" t="inlineStr">
        <is>
          <t>соло — 0</t>
        </is>
      </c>
    </row>
    <row r="122">
      <c r="A122" s="27" t="inlineStr">
        <is>
          <t>acq_rate</t>
        </is>
      </c>
      <c r="B122" s="28" t="inlineStr">
        <is>
          <t>Эквайринг · ставка</t>
        </is>
      </c>
      <c r="C122" s="35" t="n">
        <v>0.027</v>
      </c>
      <c r="D122" s="28" t="inlineStr">
        <is>
          <t>%</t>
        </is>
      </c>
      <c r="E122" s="30" t="inlineStr"/>
      <c r="F122" s="7" t="inlineStr">
        <is>
          <t>default</t>
        </is>
      </c>
      <c r="G122" s="6" t="inlineStr"/>
      <c r="H122" s="30" t="inlineStr">
        <is>
          <t>Базовая 2,7%; добавленные банковские проценты учитываются отдельно</t>
        </is>
      </c>
    </row>
    <row r="123">
      <c r="A123" s="27" t="inlineStr">
        <is>
          <t>acq_share</t>
        </is>
      </c>
      <c r="B123" s="28" t="inlineStr">
        <is>
          <t>Эквайринг · доля безналичных оплат</t>
        </is>
      </c>
      <c r="C123" s="35" t="n">
        <v>1</v>
      </c>
      <c r="D123" s="28" t="inlineStr">
        <is>
          <t>%</t>
        </is>
      </c>
      <c r="E123" s="30" t="inlineStr"/>
      <c r="F123" s="7" t="inlineStr">
        <is>
          <t>default</t>
        </is>
      </c>
      <c r="G123" s="6" t="inlineStr"/>
      <c r="H123" s="30" t="inlineStr"/>
    </row>
    <row r="124">
      <c r="A124" s="27" t="inlineStr">
        <is>
          <t>acquiring</t>
        </is>
      </c>
      <c r="B124" s="28" t="inlineStr">
        <is>
          <t>Эквайринг · эффективно</t>
        </is>
      </c>
      <c r="C124" s="39">
        <f>acq_rate*acq_share</f>
        <v>0.027</v>
      </c>
      <c r="D124" s="28" t="inlineStr">
        <is>
          <t>%</t>
        </is>
      </c>
      <c r="E124" s="30" t="inlineStr">
        <is>
          <t>acq_rate*acq_share</t>
        </is>
      </c>
      <c r="F124" s="7" t="inlineStr">
        <is>
          <t>calc</t>
        </is>
      </c>
      <c r="G124" s="6" t="inlineStr">
        <is>
          <t>acq_rate, acq_share</t>
        </is>
      </c>
      <c r="H124" s="30" t="inlineStr">
        <is>
          <t>В ЗНАМЕНАТЕЛЬ, не в расходы</t>
        </is>
      </c>
    </row>
    <row r="125">
      <c r="A125" s="27" t="inlineStr">
        <is>
          <t>vat_threshold</t>
        </is>
      </c>
      <c r="B125" s="28" t="inlineStr">
        <is>
          <t>Порог освобождения от НДС</t>
        </is>
      </c>
      <c r="C125" s="43" t="n">
        <v>20000000</v>
      </c>
      <c r="D125" s="28" t="inlineStr">
        <is>
          <t>₽/год</t>
        </is>
      </c>
      <c r="E125" s="30" t="inlineStr"/>
      <c r="F125" s="7" t="inlineStr">
        <is>
          <t>const</t>
        </is>
      </c>
      <c r="G125" s="6" t="inlineStr"/>
      <c r="H125" s="30" t="inlineStr">
        <is>
          <t>ФЗ-228</t>
        </is>
      </c>
    </row>
    <row r="126">
      <c r="A126" s="27" t="inlineStr">
        <is>
          <t>limit_npd</t>
        </is>
      </c>
      <c r="B126" s="28" t="inlineStr">
        <is>
          <t>Лимит НПД</t>
        </is>
      </c>
      <c r="C126" s="43" t="n">
        <v>2400000</v>
      </c>
      <c r="D126" s="28" t="inlineStr">
        <is>
          <t>₽/год</t>
        </is>
      </c>
      <c r="E126" s="30" t="inlineStr"/>
      <c r="F126" s="7" t="inlineStr">
        <is>
          <t>const</t>
        </is>
      </c>
      <c r="G126" s="6" t="inlineStr"/>
      <c r="H126" s="30" t="inlineStr">
        <is>
          <t>ФЗ-422</t>
        </is>
      </c>
    </row>
    <row r="127">
      <c r="A127" s="27" t="inlineStr">
        <is>
          <t>limit_ausn</t>
        </is>
      </c>
      <c r="B127" s="28" t="inlineStr">
        <is>
          <t>Лимит АУСН</t>
        </is>
      </c>
      <c r="C127" s="43" t="n">
        <v>60000000</v>
      </c>
      <c r="D127" s="28" t="inlineStr">
        <is>
          <t>₽/год</t>
        </is>
      </c>
      <c r="E127" s="30" t="inlineStr"/>
      <c r="F127" s="7" t="inlineStr">
        <is>
          <t>const</t>
        </is>
      </c>
      <c r="G127" s="6" t="inlineStr"/>
      <c r="H127" s="30" t="inlineStr">
        <is>
          <t>ФЗ-17</t>
        </is>
      </c>
    </row>
    <row r="128">
      <c r="A128" s="3" t="inlineStr">
        <is>
          <t>9 · СПРАВОЧНЫЕ СТАВКИ</t>
        </is>
      </c>
    </row>
    <row r="129" ht="26" customHeight="1">
      <c r="A129" s="26" t="inlineStr">
        <is>
          <t>ID</t>
        </is>
      </c>
      <c r="B129" s="26" t="inlineStr">
        <is>
          <t>Название</t>
        </is>
      </c>
      <c r="C129" s="26" t="inlineStr">
        <is>
          <t>Значение</t>
        </is>
      </c>
      <c r="D129" s="26" t="inlineStr">
        <is>
          <t>Ед.</t>
        </is>
      </c>
      <c r="E129" s="26" t="inlineStr">
        <is>
          <t>Формула / как получено</t>
        </is>
      </c>
      <c r="F129" s="26" t="inlineStr">
        <is>
          <t>Тип</t>
        </is>
      </c>
      <c r="G129" s="26" t="inlineStr">
        <is>
          <t>Зависит от</t>
        </is>
      </c>
      <c r="H129" s="26" t="inlineStr">
        <is>
          <t>Источник / форма</t>
        </is>
      </c>
    </row>
    <row r="132">
      <c r="A132" s="27" t="inlineStr">
        <is>
          <t>base_rate</t>
        </is>
      </c>
      <c r="B132" s="28" t="inlineStr">
        <is>
          <t>Базовая ставка</t>
        </is>
      </c>
      <c r="C132" s="36">
        <f>IF(net_time=0,0,CHOOSE(regime_no,'05_Расчёт'!B4,'05_Расчёт'!C4,'05_Расчёт'!D4,'05_Расчёт'!E4,'05_Расчёт'!F4,'05_Расчёт'!G4,'05_Расчёт'!H4)/net_time)</f>
        <v>1332.3776738070721</v>
      </c>
      <c r="D132" s="28" t="inlineStr">
        <is>
          <t>₽/ч</t>
        </is>
      </c>
      <c r="E132" t="inlineStr">
        <is>
          <t>Выручка за год ÷ эффективное рабочее время. Ставка выгодности для услуг вне съёмочной площадки: покрывает доход (включая отпускной месяц), расходы и налоги, без повышающего коэффициента съёмочного часа</t>
        </is>
      </c>
      <c r="F132" s="7" t="inlineStr">
        <is>
          <t>calc</t>
        </is>
      </c>
      <c r="G132" s="6" t="inlineStr">
        <is>
          <t>выручка, net_time</t>
        </is>
      </c>
      <c r="H132" s="30" t="inlineStr">
        <is>
          <t>Выручка / чистое время. Реальная цена ЛЮБОГО рабочего часа, с налогами и расходами</t>
        </is>
      </c>
    </row>
    <row r="133">
      <c r="A133" s="27" t="inlineStr">
        <is>
          <t>site_value</t>
        </is>
      </c>
      <c r="B133" s="28" t="inlineStr">
        <is>
          <t>Сайт · оценка своего труда</t>
        </is>
      </c>
      <c r="C133" s="38">
        <f>IF(site_mode="Нанимал (а) специалиста",site_cost,site_hours*base_rate)</f>
        <v>70000.0</v>
      </c>
      <c r="D133" s="28" t="inlineStr">
        <is>
          <t>₽</t>
        </is>
      </c>
      <c r="E133" s="30" t="inlineStr">
        <is>
          <t>IF(site_mode="Нанимал (а) специалиста",site_cost,site_hours*base_rate)</t>
        </is>
      </c>
      <c r="F133" s="7" t="inlineStr">
        <is>
          <t>calc</t>
        </is>
      </c>
      <c r="G133" s="6" t="inlineStr">
        <is>
          <t>site_mode, site_cost, site_hours, base_rate</t>
        </is>
      </c>
      <c r="H133" s="30" t="inlineStr">
        <is>
          <t>Цена подрядчика или ваши часы по полной ставке</t>
        </is>
      </c>
    </row>
    <row r="134">
      <c r="A134" s="3" t="inlineStr">
        <is>
          <t>10 · ДОБАВЛЕНО ПОД HTML-ОТЧЁТ</t>
        </is>
      </c>
    </row>
    <row r="135">
      <c r="A135" s="26" t="inlineStr">
        <is>
          <t>ID</t>
        </is>
      </c>
      <c r="B135" s="26" t="inlineStr">
        <is>
          <t>Название</t>
        </is>
      </c>
      <c r="C135" s="26" t="inlineStr">
        <is>
          <t>Значение</t>
        </is>
      </c>
      <c r="D135" s="26" t="inlineStr">
        <is>
          <t>Ед.</t>
        </is>
      </c>
      <c r="E135" s="26" t="inlineStr">
        <is>
          <t>Формула / как получено</t>
        </is>
      </c>
      <c r="F135" s="26" t="inlineStr">
        <is>
          <t>Тип</t>
        </is>
      </c>
      <c r="G135" s="26" t="inlineStr">
        <is>
          <t>Зависит от</t>
        </is>
      </c>
    </row>
    <row r="136">
      <c r="A136" s="27" t="inlineStr">
        <is>
          <t>idle_time</t>
        </is>
      </c>
      <c r="B136" s="28" t="inlineStr">
        <is>
          <t>РАБОЧИЕ ПАУЗЫ за год</t>
        </is>
      </c>
      <c r="C136" s="36">
        <f>net_days*(nominal_hours-eff_hours)</f>
        <v>219.0</v>
      </c>
      <c r="D136" s="28" t="inlineStr">
        <is>
          <t>ч/год</t>
        </is>
      </c>
      <c r="E136" s="30" t="inlineStr">
        <is>
          <t>1 час в день: подготовка и уборка места, зарядка техники, размяться, отойти</t>
        </is>
      </c>
      <c r="F136" s="7" t="inlineStr">
        <is>
          <t>calc</t>
        </is>
      </c>
      <c r="G136" s="6" t="inlineStr">
        <is>
          <t>net_days, nominal_hours, eff_hours</t>
        </is>
      </c>
    </row>
    <row r="137">
      <c r="A137" s="27" t="inlineStr">
        <is>
          <t>idle_week</t>
        </is>
      </c>
      <c r="B137" s="28" t="inlineStr">
        <is>
          <t>Неэффективное рабочее время в неделю</t>
        </is>
      </c>
      <c r="C137" s="36">
        <f>IF(net_weeks=0,0,idle_time/net_weeks)</f>
        <v>5.0</v>
      </c>
      <c r="D137" s="28" t="inlineStr">
        <is>
          <t>ч/нед</t>
        </is>
      </c>
      <c r="E137" s="30" t="inlineStr"/>
      <c r="F137" s="7" t="inlineStr">
        <is>
          <t>calc</t>
        </is>
      </c>
      <c r="G137" s="6" t="inlineStr">
        <is>
          <t>idle_time, net_weeks</t>
        </is>
      </c>
    </row>
    <row r="138">
      <c r="A138" s="27" t="inlineStr">
        <is>
          <t>hour_all</t>
        </is>
      </c>
      <c r="B138" s="28" t="inlineStr">
        <is>
          <t>Доход в час на руки</t>
        </is>
      </c>
      <c r="C138" s="36">
        <f>(target_income*11/12)/(net_days*8)</f>
        <v>691.9954337899543</v>
      </c>
      <c r="D138" s="28" t="inlineStr">
        <is>
          <t>₽/ч</t>
        </is>
      </c>
      <c r="E138" t="inlineStr">
        <is>
          <t>Доход за 11 месяцев ÷ рабочее время (рабочие дни × 8). 12-й месяц — отпускные: дополнительная оплата, не плата за рабочий месяц</t>
        </is>
      </c>
      <c r="F138" s="7" t="inlineStr">
        <is>
          <t>calc</t>
        </is>
      </c>
      <c r="G138" s="6" t="inlineStr">
        <is>
          <t>target_income, net_time, idle_time</t>
        </is>
      </c>
    </row>
    <row r="139">
      <c r="A139" s="27" t="inlineStr">
        <is>
          <t>frames_out</t>
        </is>
      </c>
      <c r="B139" s="28" t="inlineStr">
        <is>
          <t>Обработанных кадров с часа съёмки</t>
        </is>
      </c>
      <c r="C139" s="33" t="n">
        <v>80</v>
      </c>
      <c r="D139" s="28" t="inlineStr">
        <is>
          <t>шт/ч</t>
        </is>
      </c>
      <c r="E139" s="30" t="inlineStr">
        <is>
          <t>Задаёт пользователь в форме</t>
        </is>
      </c>
      <c r="F139" s="7" t="inlineStr">
        <is>
          <t>default</t>
        </is>
      </c>
      <c r="G139" s="6" t="inlineStr"/>
    </row>
    <row r="140">
      <c r="A140" s="27" t="inlineStr">
        <is>
          <t>frames_total</t>
        </is>
      </c>
      <c r="B140" s="28" t="inlineStr">
        <is>
          <t>Кадров за одну съёмку</t>
        </is>
      </c>
      <c r="C140" s="36">
        <f>frames_out*shoot_duration</f>
        <v>80.0</v>
      </c>
      <c r="D140" s="28" t="inlineStr">
        <is>
          <t>шт</t>
        </is>
      </c>
      <c r="E140" s="30" t="inlineStr"/>
      <c r="F140" s="7" t="inlineStr">
        <is>
          <t>calc</t>
        </is>
      </c>
      <c r="G140" s="6" t="inlineStr">
        <is>
          <t>frames_out, shoot_duration</t>
        </is>
      </c>
    </row>
    <row r="141">
      <c r="A141" s="27" t="inlineStr">
        <is>
          <t>equip_only</t>
        </is>
      </c>
      <c r="B141" s="28" t="inlineStr">
        <is>
          <t>Оборудование и ПО без обучения</t>
        </is>
      </c>
      <c r="C141" s="36">
        <f>dep_shoot+dep_office+dep_software</f>
        <v>184992.9238095238</v>
      </c>
      <c r="D141" s="28" t="inlineStr">
        <is>
          <t>₽/год</t>
        </is>
      </c>
      <c r="E141" s="30" t="inlineStr">
        <is>
          <t>Только железо и ПО, для блока 09</t>
        </is>
      </c>
      <c r="F141" s="7" t="inlineStr">
        <is>
          <t>calc</t>
        </is>
      </c>
      <c r="G141" s="6" t="inlineStr">
        <is>
          <t>dep_shoot, dep_office, dep_software</t>
        </is>
      </c>
    </row>
  </sheetData>
  <mergeCells count="11">
    <mergeCell ref="A4:H4"/>
    <mergeCell ref="A61:H61"/>
    <mergeCell ref="A56:H56"/>
    <mergeCell ref="A2:H2"/>
    <mergeCell ref="A128:H128"/>
    <mergeCell ref="A102:H102"/>
    <mergeCell ref="A19:H19"/>
    <mergeCell ref="A1:H1"/>
    <mergeCell ref="A37:H37"/>
    <mergeCell ref="A73:H73"/>
    <mergeCell ref="A87:H87"/>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3" showDropDown="0" showInputMessage="0" showErrorMessage="0" allowBlank="1" type="list">
      <formula1>"Работаю из дома,Арендую помещение"</formula1>
    </dataValidation>
    <dataValidation sqref="C64" showDropDown="0" showInputMessage="0" showErrorMessage="0" allowBlank="1" type="list">
      <formula1>"нет,да"</formula1>
    </dataValidation>
    <dataValidation sqref="C78" showDropDown="0" showInputMessage="0" showErrorMessage="0" allowBlank="1" type="list">
      <formula1>"Учитывать упущенную выгоду,Учитывать только стоимость обучения"</formula1>
    </dataValidation>
    <dataValidation sqref="C81" showDropDown="0" showInputMessage="0" showErrorMessage="0" allowBlank="1" type="list">
      <formula1>"Нанимал (а) специалиста,Делал (а) самостоятельно"</formula1>
    </dataValidation>
    <dataValidation sqref="C104"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6"/>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calc → regime</t>
        </is>
      </c>
    </row>
    <row r="5">
      <c r="A5" s="2" t="inlineStr">
        <is>
          <t>Ставка часа съёмки,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Базовая ставка, ₽/час</t>
        </is>
      </c>
      <c r="B7" s="49">
        <f>base_rate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ВРЕМЕНИ на простой и форс-мажоры</t>
        </is>
      </c>
      <c r="B16" s="31">
        <f>fm_time</f>
        <v>0.0</v>
      </c>
      <c r="C16" s="25" t="inlineStr">
        <is>
          <t>периоды без заказов, 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8">
      <c r="A38" t="inlineStr">
        <is>
          <t>Ваша текущая ставка, ₽/час</t>
        </is>
      </c>
      <c r="B38" s="54">
        <f>current_rate</f>
        <v>6000.0</v>
      </c>
    </row>
    <row r="39">
      <c r="A39" s="3" t="inlineStr">
        <is>
          <t>СКОЛЬКО ВЫ ТЕРЯЕТЕ</t>
        </is>
      </c>
    </row>
    <row r="41">
      <c r="A41" t="inlineStr">
        <is>
          <t>Остаётся на руки за год при текущей ставке, ₽</t>
        </is>
      </c>
      <c r="B41" s="54">
        <f>(current_rate*shooting_time)*(1-rate_current-acquiring)-total_costs</f>
        <v>636863.0190476188</v>
      </c>
    </row>
    <row r="42">
      <c r="A42" t="inlineStr">
        <is>
          <t>Ваша расчётная ставка, ₽/час</t>
        </is>
      </c>
      <c r="B42" s="55">
        <f>B5</f>
        <v>9429.986029299362</v>
      </c>
    </row>
    <row r="43">
      <c r="A43" t="inlineStr">
        <is>
          <t>Разница с текущей, ₽/час</t>
        </is>
      </c>
      <c r="B43" s="54">
        <f>B5-current_rate</f>
        <v>3429.9860292993617</v>
      </c>
    </row>
    <row r="44">
      <c r="A44" t="inlineStr">
        <is>
          <t>Недополучено за год, ₽</t>
        </is>
      </c>
      <c r="B44" s="54">
        <f>target_income-B41</f>
        <v>685728.9809523812</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Резерв времени на простой и форс-мажоры не больше 30%</t>
        </is>
      </c>
      <c r="B55" s="53" t="str">
        <f>IF(fm_pct&lt;=0.3,"OK","СЛИШКОМ БОЛЬШОЙ")</f>
        <v>OK</v>
      </c>
    </row>
    <row r="56">
      <c r="A56" t="inlineStr">
        <is>
          <t>Сайт: либо сумма, либо часы</t>
        </is>
      </c>
      <c r="B56"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простоя и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calc</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заказ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времени на простой и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заказ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времени на простой и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Учитывать резерв времени на простой и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calc</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желаемая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неэффективное рабочее время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Время, необходимое для выполнения самого заказа, а также для работы, без которой заказы просто не появятся: поиск клиентов, закрытие сделок, ведение учёта и другие рабочие задачи.</t>
        </is>
      </c>
    </row>
    <row r="584">
      <c r="A584" s="27" t="inlineStr">
        <is>
          <t>rbd_h2d</t>
        </is>
      </c>
      <c r="B584" s="112" t="inlineStr">
        <is>
          <t>Полный отчёт</t>
        </is>
      </c>
      <c r="C584" s="113" t="inlineStr">
        <is>
          <t>Денежные средства, которые уже были вложены в вашу профессиональную деятельность — оборудование, обучение и другие инвестиции, — а также регулярные расходы, необходимые для обеспечения рабочего процесса.</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В соответствии с базовыми условиями труда ТК РФ время и расходы на дорогу до места работы относятся к личным расходам работника и не включаются в расчёт. Совет от Счётикс: определите зону, в пределах которой вы работаете по базовой стоимости, а за её пределами добавляйте к смете стоимость логистики в обе стороны и время в пути. Час в пути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текущий</t>
        </is>
      </c>
    </row>
    <row r="628">
      <c r="A628" t="inlineStr">
        <is>
          <t>rsc_t1</t>
        </is>
      </c>
      <c r="B628" t="inlineStr">
        <is>
          <t>Полный отчёт, блок 05</t>
        </is>
      </c>
      <c r="C628" t="inlineStr">
        <is>
          <t>Текущий доход</t>
        </is>
      </c>
    </row>
    <row r="629">
      <c r="A629" t="inlineStr">
        <is>
          <t>rsc_n2</t>
        </is>
      </c>
      <c r="B629" t="inlineStr">
        <is>
          <t>Полный отчёт, блок 05</t>
        </is>
      </c>
      <c r="C629" t="inlineStr">
        <is>
          <t>желаемый</t>
        </is>
      </c>
    </row>
    <row r="630">
      <c r="A630" t="inlineStr">
        <is>
          <t>rsc_t2</t>
        </is>
      </c>
      <c r="B630" t="inlineStr">
        <is>
          <t>Полный отчёт, блок 05</t>
        </is>
      </c>
      <c r="C630" t="inlineStr">
        <is>
          <t>Желаемый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calc.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Доход в час на руки</t>
        </is>
      </c>
      <c r="C6" s="150" t="inlineStr">
        <is>
          <t>692 ₽/ч</t>
        </is>
      </c>
      <c r="D6" s="151" t="inlineStr">
        <is>
          <t>'=target_income*11/12/(net_days*8)</t>
        </is>
      </c>
      <c r="E6" s="152" t="inlineStr">
        <is>
          <t>Желаемый доход за 11 месяцев (отпускной уже внутри года как месяц без работы) делится на рабочее время 219 × 8 = 1 752 ч: 1 212 376 / 1 752 = 692 ₽/ч. Это сравнение с наймом: как зарплата за 11 месяцев при восьмичасовом дне.</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берётся неэффективное время</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неэффективное рабочее время — потому что оно оплачивается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простой и форс-мажор 1,2 + неэффективное время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 xml:space="preserve">Решается уравнение V − costY − V×0,027 −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 xml:space="preserve">V = 609 608 ₽ = расходы 562 668 + эквайринг 16 459 + налог 30 480. Невязка нетто 1e-10 ₽. Ставка 2 814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неэффективное время, простой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 xml:space="preserve">Полная цепочка расчёта по шагам — ровно так, как считает калькулятор. Все ID в колонке «Формула» ссылаются на лист calc. Цифры в колонке «Результат» — для демо-набора (доход 110 216 ₽/мес, съёмка 1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времени на простой и форс-мажоры</t>
        </is>
      </c>
      <c r="C8" s="152" t="inlineStr">
        <is>
          <t>5% времени уходит на периоды без заказов,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 xml:space="preserve">по умолчанию выключен
1083 − 0 =
1 083 часа</t>
        </is>
      </c>
    </row>
    <row r="9" ht="92" customHeight="1">
      <c r="A9" s="236" t="inlineStr">
        <is>
          <t>5</t>
        </is>
      </c>
      <c r="B9" s="149" t="inlineStr">
        <is>
          <t>Считаем, сколько часов съедает один заказ</t>
        </is>
      </c>
      <c r="C9" s="152" t="inlineStr">
        <is>
          <t xml:space="preserve">Пользователь задаёт три величины: типовая длительность съёмки (1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 xml:space="preserve">1 × (1+3) + 1 =
5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 xml:space="preserve">1083 / 5 =
216,6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неэффективное время в его счёт не попадают. Из 1 752 часов вашей работы в году продаётся только 229 — это 13%.</t>
        </is>
      </c>
      <c r="D11" s="237" t="inlineStr">
        <is>
          <t>shooting_time =
projects_year × shoot_duration</t>
        </is>
      </c>
      <c r="E11" s="238" t="inlineStr">
        <is>
          <t xml:space="preserve">216,6 × 1 =
216,6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 xml:space="preserve">1 322 592 ₽ доход
562 668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 xml:space="preserve">(1 322 592 + 562 668)
/ (1 − 0,027 − 0,05) =
2 042 535 ₽</t>
        </is>
      </c>
    </row>
    <row r="14" ht="66" customHeight="1">
      <c r="A14" s="236" t="inlineStr">
        <is>
          <t>10</t>
        </is>
      </c>
      <c r="B14" s="149" t="inlineStr">
        <is>
          <t>Делим выручку на оплачиваемые часы</t>
        </is>
      </c>
      <c r="C14" s="152" t="inlineStr">
        <is>
          <t xml:space="preserve">Вся годовая выручка должна собраться с тех самых 216,6 съёмочных часов, потому что больше клиент ничего не покупает. Это и есть ставка часа.</t>
        </is>
      </c>
      <c r="D14" s="237" t="inlineStr">
        <is>
          <t>СТАВКА = R / shooting_time</t>
        </is>
      </c>
      <c r="E14" s="238" t="inlineStr">
        <is>
          <t xml:space="preserve">2 042 535 / 216,6 =
9 430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 xml:space="preserve">2 042 535 − 562 668 расходов − 55 148 эквайринга − 102 127 налога</t>
        </is>
      </c>
      <c r="D17" s="240" t="inlineStr">
        <is>
          <t xml:space="preserve">'= 1 322 592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9 430 ₽</t>
        </is>
      </c>
      <c r="E18" s="152" t="inlineStr">
        <is>
          <t>совпало со ставкой часа</t>
        </is>
      </c>
    </row>
    <row r="19" ht="30" customHeight="1">
      <c r="B19" s="149" t="inlineStr">
        <is>
          <t>Шапка отчёта</t>
        </is>
      </c>
      <c r="C19" s="152" t="inlineStr">
        <is>
          <t xml:space="preserve">110 216 доход + 46 889 расходы</t>
        </is>
      </c>
      <c r="D19" s="240" t="inlineStr">
        <is>
          <t xml:space="preserve">'= 170 211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9 430 ₽</t>
        </is>
      </c>
    </row>
    <row r="23" ht="42" customHeight="1">
      <c r="B23" s="149" t="inlineStr">
        <is>
          <t>Доход в час на руки</t>
        </is>
      </c>
      <c r="C23" t="inlineStr">
        <is>
          <t>Сколько вы реально получаете за час ЛЮБОЙ работы — с камерой или за компьютером. Из годового дохода выключен отпускной месяц: отпускные — дополнительная оплата, не плата за рабочий месяц</t>
        </is>
      </c>
      <c r="D23" s="237" t="inlineStr">
        <is>
          <t>'=(target_income*11/12)/(net_days*8)</t>
        </is>
      </c>
      <c r="E23" s="238" t="inlineStr">
        <is>
          <t>692 ₽</t>
        </is>
      </c>
    </row>
    <row r="24" ht="30" customHeight="1">
      <c r="B24" s="241" t="inlineStr">
        <is>
          <t>Разница в 13,6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 xml:space="preserve">2 042 535</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заказ»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резервы времени</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неэффективное время</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Неэффективное рабочее время · Резерв времени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calc</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 customWidth="1" min="1" max="1"/>
    <col width="34" customWidth="1" min="2" max="2"/>
    <col width="46" customWidth="1" min="3" max="6"/>
  </cols>
  <sheetData>
    <row r="1">
      <c r="A1" t="inlineStr">
        <is>
          <t>Дата</t>
        </is>
      </c>
      <c r="B1" t="inlineStr">
        <is>
          <t>Что изменили</t>
        </is>
      </c>
      <c r="C1" t="inlineStr">
        <is>
          <t>Как считается теперь</t>
        </is>
      </c>
      <c r="D1" t="inlineStr">
        <is>
          <t>Почему</t>
        </is>
      </c>
      <c r="E1" t="inlineStr">
        <is>
          <t>Где отражено</t>
        </is>
      </c>
      <c r="F1" t="inlineStr">
        <is>
          <t>Статус</t>
        </is>
      </c>
    </row>
    <row r="2">
      <c r="A2" t="inlineStr">
        <is>
          <t>18.08.2026</t>
        </is>
      </c>
      <c r="B2" t="inlineStr">
        <is>
          <t>Окупаемость камеры</t>
        </is>
      </c>
      <c r="C2" t="inlineStr">
        <is>
          <t>Цена камеры ÷ ((доход на руки за год + амортизация камеры) ÷ проектов за год) = 166 999 ÷ 6 363 = 26,2 съёмки (1,5 мес)</t>
        </is>
      </c>
      <c r="D2" t="inlineStr">
        <is>
          <t>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Детализация, таблица 03; справочник — статьи «Окупаемость», «Денежный поток»</t>
        </is>
      </c>
      <c r="F2" t="inlineStr">
        <is>
          <t>в книгу не внесено</t>
        </is>
      </c>
    </row>
    <row r="3">
      <c r="A3" t="inlineStr">
        <is>
          <t>18.08.2026</t>
        </is>
      </c>
      <c r="B3" t="inlineStr">
        <is>
          <t>Цена камеры / выручка за съёмку</t>
        </is>
      </c>
      <c r="C3" t="inlineStr">
        <is>
          <t>Цена камеры ÷ (выручка ÷ проектов за год) = 17,7 съёмки</t>
        </is>
      </c>
      <c r="D3" t="inlineStr">
        <is>
          <t>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Детализация, таблица 03</t>
        </is>
      </c>
      <c r="F3" t="inlineStr">
        <is>
          <t>в книгу не внесено</t>
        </is>
      </c>
    </row>
    <row r="4">
      <c r="A4" t="inlineStr">
        <is>
          <t>18.08.2026</t>
        </is>
      </c>
      <c r="B4" t="inlineStr">
        <is>
          <t>Срабатываний затвора за 1 час</t>
        </is>
      </c>
      <c r="C4" t="inlineStr">
        <is>
          <t>Новое поле анкеты, по умолчанию 350 (Canon EOS R6 Mark II)</t>
        </is>
      </c>
      <c r="D4" t="inlineStr">
        <is>
          <t>Позволяет считать износ камеры и выработку ресурса затвора</t>
        </is>
      </c>
      <c r="E4" t="inlineStr">
        <is>
          <t>Анкета блок 04; детализация, таблицы 01 и 03</t>
        </is>
      </c>
      <c r="F4" t="inlineStr">
        <is>
          <t>в анкету не внесено</t>
        </is>
      </c>
    </row>
    <row r="5">
      <c r="A5" t="inlineStr">
        <is>
          <t>18.08.2026</t>
        </is>
      </c>
      <c r="B5" t="inlineStr">
        <is>
          <t>Ресурс затвора</t>
        </is>
      </c>
      <c r="C5" t="inlineStr">
        <is>
          <t>Новое поле анкеты, по умолчанию 300 000 срабатываний</t>
        </is>
      </c>
      <c r="D5" t="inlineStr">
        <is>
          <t>Заявленный ресурс у каждой камеры свой, зашивать в код нельзя</t>
        </is>
      </c>
      <c r="E5" t="inlineStr">
        <is>
          <t>Анкета блок 04; детализация, таблицы 01 и 03</t>
        </is>
      </c>
      <c r="F5" t="inlineStr">
        <is>
          <t>в анкету не внесено</t>
        </is>
      </c>
    </row>
    <row r="6">
      <c r="A6" t="inlineStr">
        <is>
          <t>18.08.2026</t>
        </is>
      </c>
      <c r="B6" t="inlineStr">
        <is>
          <t>Износ камеры</t>
        </is>
      </c>
      <c r="C6" t="inlineStr">
        <is>
          <t>Амортизация тушки за год ÷ срабатываний за год = 55 666 ÷ 75 810 = 0,73 ₽ за срабатывание; 257 ₽ за съёмку</t>
        </is>
      </c>
      <c r="D6" t="inlineStr">
        <is>
          <t>Показывает износ в деньгах на одну съёмку</t>
        </is>
      </c>
      <c r="E6" t="inlineStr">
        <is>
          <t>Детализация, таблица 03</t>
        </is>
      </c>
      <c r="F6" t="inlineStr">
        <is>
          <t>в книгу не внесено</t>
        </is>
      </c>
    </row>
    <row r="7">
      <c r="A7" t="inlineStr">
        <is>
          <t>18.08.2026</t>
        </is>
      </c>
      <c r="B7" t="inlineStr">
        <is>
          <t>Выработка ресурса затвора</t>
        </is>
      </c>
      <c r="C7" t="inlineStr">
        <is>
          <t>Срабатываний за год ÷ ресурс = 75 810 ÷ 300 000 = 25,3 % в год, ресурса хватит на 4 года</t>
        </is>
      </c>
      <c r="D7" t="inlineStr">
        <is>
          <t>Проверка срока амортизации камеры: разносим на 3 года, ресурс кончится через 4 — срок взят осторожно</t>
        </is>
      </c>
      <c r="E7" t="inlineStr">
        <is>
          <t>Детализация, таблица 03</t>
        </is>
      </c>
      <c r="F7" t="inlineStr">
        <is>
          <t>в книгу не внесено</t>
        </is>
      </c>
    </row>
    <row r="8">
      <c r="A8" t="inlineStr">
        <is>
          <t>18.08.2026</t>
        </is>
      </c>
      <c r="B8" t="inlineStr">
        <is>
          <t>Себестоимость часа съёмки</t>
        </is>
      </c>
      <c r="C8" t="inlineStr">
        <is>
          <t>(расходы дела + налог + комиссия) ÷ съёмочных часов = 3 324 ₽</t>
        </is>
      </c>
      <c r="D8" t="inlineStr">
        <is>
          <t>Нужна, чтобы показать наценку и границу цены</t>
        </is>
      </c>
      <c r="E8" t="inlineStr">
        <is>
          <t>Детализация, таблица 08</t>
        </is>
      </c>
      <c r="F8" t="inlineStr">
        <is>
          <t>в книгу не внесено</t>
        </is>
      </c>
    </row>
    <row r="9">
      <c r="A9" t="inlineStr">
        <is>
          <t>18.08.2026</t>
        </is>
      </c>
      <c r="B9" t="inlineStr">
        <is>
          <t>Наценка к себестоимости</t>
        </is>
      </c>
      <c r="C9" t="inlineStr">
        <is>
          <t>Ставка ÷ себестоимость − 1 = 183,7 %</t>
        </is>
      </c>
      <c r="D9" t="inlineStr">
        <is>
          <t>—</t>
        </is>
      </c>
      <c r="E9" t="inlineStr">
        <is>
          <t>Детализация, таблица 08</t>
        </is>
      </c>
      <c r="F9" t="inlineStr">
        <is>
          <t>в книгу не внесено</t>
        </is>
      </c>
    </row>
    <row r="10">
      <c r="A10" t="inlineStr">
        <is>
          <t>18.08.2026</t>
        </is>
      </c>
      <c r="B10" t="inlineStr">
        <is>
          <t>Запас прочности</t>
        </is>
      </c>
      <c r="C10" t="inlineStr">
        <is>
          <t>1 − выручка в ноль ÷ выручка = 70,2 %</t>
        </is>
      </c>
      <c r="D10" t="inlineStr">
        <is>
          <t>На столько может упасть выручка, прежде чем доход станет нулевым</t>
        </is>
      </c>
      <c r="E10" t="inlineStr">
        <is>
          <t>Детализация, таблица 08</t>
        </is>
      </c>
      <c r="F10" t="inlineStr">
        <is>
          <t>в книгу не внесено</t>
        </is>
      </c>
    </row>
    <row r="11">
      <c r="A11" t="inlineStr">
        <is>
          <t>18.08.2026</t>
        </is>
      </c>
      <c r="B11" t="inlineStr">
        <is>
          <t>Съёмок / выход в ноль</t>
        </is>
      </c>
      <c r="C11" t="inlineStr">
        <is>
          <t>Выручка в ноль ÷ цена проекта. При текущей ставке 101,6; при желаемой 64,6</t>
        </is>
      </c>
      <c r="D11" t="inlineStr">
        <is>
          <t>Понятнее, чем проценты: сколько съёмок уходит только на покрытие расходов</t>
        </is>
      </c>
      <c r="E11" t="inlineStr">
        <is>
          <t>Детализация, таблица 08</t>
        </is>
      </c>
      <c r="F11" t="inlineStr">
        <is>
          <t>в книгу не внесено</t>
        </is>
      </c>
    </row>
    <row r="12">
      <c r="A12" t="inlineStr">
        <is>
          <t>18.08.2026</t>
        </is>
      </c>
      <c r="B12" t="inlineStr">
        <is>
          <t>Календарь года развёрнут</t>
        </is>
      </c>
      <c r="C12" t="inlineStr">
        <is>
          <t>365 календарных = 104 выходных + 14 праздничных + 247 рабочих; 247 − 20 (отпуск) − 8 (больничные) = 219</t>
        </is>
      </c>
      <c r="D12" t="inlineStr">
        <is>
          <t>Раньше в отчёте было только 247/20/8, и цепочка не сходилась на глаз. Отпуск 28 календарных дней = 20 рабочих, больничные 10 = 8 рабочих</t>
        </is>
      </c>
      <c r="E12" t="inlineStr">
        <is>
          <t>Детализация, таблица 02</t>
        </is>
      </c>
      <c r="F12" t="inlineStr">
        <is>
          <t>в книгу не внесено</t>
        </is>
      </c>
    </row>
    <row r="13">
      <c r="A13" t="inlineStr">
        <is>
          <t>18.08.2026</t>
        </is>
      </c>
      <c r="B13" t="inlineStr">
        <is>
          <t>Демо-набор отчёта</t>
        </is>
      </c>
      <c r="C13" t="inlineStr">
        <is>
          <t>Пересобирается скриптом web/части/демо.py из настоящего calc()</t>
        </is>
      </c>
      <c r="D13" t="inlineStr">
        <is>
          <t>Вручную вписанные числа отстали от анкеты: ставка в ноль показывалась 3 331 ₽ вместо 2 814 ₽</t>
        </is>
      </c>
      <c r="E13" t="inlineStr">
        <is>
          <t>report.html, части/каркас.html, проверка в проверить.py</t>
        </is>
      </c>
      <c r="F13" t="inlineStr">
        <is>
          <t>сделано</t>
        </is>
      </c>
    </row>
    <row r="14">
      <c r="A14" t="inlineStr">
        <is>
          <t>18.08.2026</t>
        </is>
      </c>
      <c r="B14" t="inlineStr">
        <is>
          <t>Налоги внутри расходов</t>
        </is>
      </c>
      <c r="C14" t="inlineStr">
        <is>
          <t>Всего расходов = расходы дела + налог + взносы + комиссия = 719 943 ₽</t>
        </is>
      </c>
      <c r="D14" t="inlineStr">
        <is>
          <t>Налог и комиссия — такие же траты; выручка − расходы = доход на руки одной строкой</t>
        </is>
      </c>
      <c r="E14" t="inlineStr">
        <is>
          <t>Детализация, таблицы 04 и 05</t>
        </is>
      </c>
      <c r="F14" t="inlineStr">
        <is>
          <t>в книгу не внесено</t>
        </is>
      </c>
    </row>
  </sheetData>
  <pageMargins left="0.75" right="0.75" top="1" bottom="1" header="0.5" footer="0.5"/>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Желаемая ставка</t>
        </is>
      </c>
      <c r="D7">
        <f>'04_Итог'!B5</f>
        <v>9429.986029299362</v>
      </c>
      <c r="E7" t="inlineStr">
        <is>
          <t xml:space="preserve">₽/ч</t>
        </is>
      </c>
      <c r="F7" t="inlineStr">
        <is>
          <t xml:space="preserve">Выручка за год делится на Съёмочное время. Это рассчитанная стоимость часа съёмки, которая позволяет специалисту получать Желаемый доход.</t>
        </is>
      </c>
      <c r="G7">
        <v>9429.99</v>
      </c>
      <c r="H7" t="str">
        <f>IF(D7="","—",IF(ABS(D7-G7)&lt;1,"да","НЕТ"))</f>
        <v>да</v>
      </c>
    </row>
    <row r="8">
      <c r="A8" t="inlineStr">
        <is>
          <t xml:space="preserve">2</t>
        </is>
      </c>
      <c r="B8" t="inlineStr">
        <is>
          <t xml:space="preserve">Первый экран</t>
        </is>
      </c>
      <c r="C8" t="inlineStr">
        <is>
          <t xml:space="preserve">Доход в час на руки</t>
        </is>
      </c>
      <c r="D8">
        <f>(target_income*11/12)/(net_days*8)</f>
        <v>691.9954337899543</v>
      </c>
      <c r="E8" t="inlineStr">
        <is>
          <t xml:space="preserve">₽/ч</t>
        </is>
      </c>
      <c r="F8" t="inlineStr">
        <is>
          <t xml:space="preserve">Желаемый доход за 11 месяцев делится на рабочее время (рабочие дни × 8). Отпускной месяц — дополнительная оплата, не плата за рабочий месяц.</t>
        </is>
      </c>
      <c r="G8">
        <v>692.0</v>
      </c>
      <c r="H8" t="str">
        <f>IF(D8="","—",IF(ABS(D8-G8)&lt;1,"да","НЕТ"))</f>
        <v>да</v>
      </c>
    </row>
    <row r="9">
      <c r="A9" t="inlineStr">
        <is>
          <t xml:space="preserve">3</t>
        </is>
      </c>
      <c r="B9" t="inlineStr">
        <is>
          <t xml:space="preserve">Первый экран</t>
        </is>
      </c>
      <c r="C9" t="inlineStr">
        <is>
          <t xml:space="preserve">Базовая ставка</t>
        </is>
      </c>
      <c r="D9">
        <f>base_rate</f>
        <v>1332.3776738070721</v>
      </c>
      <c r="E9" t="inlineStr">
        <is>
          <t xml:space="preserve">₽/ч</t>
        </is>
      </c>
      <c r="F9" t="inlineStr">
        <is>
          <t xml:space="preserve">Вся выручка за год делится на эффективное рабочее время. Ставка выгодности для услуг вне съёмочной площадки: покрывает доход (включая отпускной месяц), расходы и налоги, без повышающего коэффициента съёмочного часа.</t>
        </is>
      </c>
      <c r="G9">
        <v>1332.38</v>
      </c>
      <c r="H9" t="str">
        <f>IF(D9="","—",IF(ABS(D9-G9)&lt;1,"да","НЕТ"))</f>
        <v>да</v>
      </c>
    </row>
    <row r="10">
      <c r="A10" t="inlineStr">
        <is>
          <t xml:space="preserve">4</t>
        </is>
      </c>
      <c r="B10" t="inlineStr">
        <is>
          <t xml:space="preserve">Первый экран</t>
        </is>
      </c>
      <c r="C10" t="inlineStr">
        <is>
          <t xml:space="preserve">Доход на руки</t>
        </is>
      </c>
      <c r="D10">
        <f>target_income</f>
        <v>1322592.0</v>
      </c>
      <c r="E10" t="inlineStr">
        <is>
          <t xml:space="preserve">₽/год</t>
        </is>
      </c>
      <c r="F10" t="inlineStr">
        <is>
          <t xml:space="preserve">Желаемый доход в месяц × 12. Точка отсчёта всего расчёта.</t>
        </is>
      </c>
      <c r="G10">
        <v>1322592</v>
      </c>
      <c r="H10" t="str">
        <f>IF(D10="","—",IF(ABS(D10-G10)&lt;1,"да","НЕТ"))</f>
        <v>да</v>
      </c>
    </row>
    <row r="11">
      <c r="A11" t="inlineStr">
        <is>
          <t xml:space="preserve">5</t>
        </is>
      </c>
      <c r="B11" t="inlineStr">
        <is>
          <t xml:space="preserve">Первый экран</t>
        </is>
      </c>
      <c r="C11" t="inlineStr">
        <is>
          <t xml:space="preserve">Доход на руки</t>
        </is>
      </c>
      <c r="D11">
        <f>target_income/months</f>
        <v>110216.0</v>
      </c>
      <c r="E11" t="inlineStr">
        <is>
          <t xml:space="preserve">₽/мес</t>
        </is>
      </c>
      <c r="F11" t="inlineStr">
        <is>
          <t xml:space="preserve">Сумма, которую человек указал в анкете.</t>
        </is>
      </c>
      <c r="G11">
        <v>110216.0</v>
      </c>
      <c r="H11" t="str">
        <f>IF(D11="","—",IF(ABS(D11-G11)&lt;1,"да","НЕТ"))</f>
        <v>да</v>
      </c>
    </row>
    <row r="12">
      <c r="A12" t="inlineStr">
        <is>
          <t xml:space="preserve">6</t>
        </is>
      </c>
      <c r="B12" t="inlineStr">
        <is>
          <t xml:space="preserve">Первый экран</t>
        </is>
      </c>
      <c r="C12" t="inlineStr">
        <is>
          <t xml:space="preserve">Выручка</t>
        </is>
      </c>
      <c r="D12">
        <f>'04_Итог'!B8</f>
        <v>2042534.9739462417</v>
      </c>
      <c r="E12" t="inlineStr">
        <is>
          <t xml:space="preserve">₽/год</t>
        </is>
      </c>
      <c r="F12" t="inlineStr">
        <is>
          <t xml:space="preserve">Сколько нужно выставить клиентам, чтобы после расходов, налогов и эквайринга остался желаемый доход.</t>
        </is>
      </c>
      <c r="G12">
        <v>2042534.97</v>
      </c>
      <c r="H12" t="str">
        <f>IF(D12="","—",IF(ABS(D12-G12)&lt;1,"да","НЕТ"))</f>
        <v>да</v>
      </c>
    </row>
    <row r="13">
      <c r="A13" t="inlineStr">
        <is>
          <t xml:space="preserve">7</t>
        </is>
      </c>
      <c r="B13" t="inlineStr">
        <is>
          <t xml:space="preserve">Первый экран</t>
        </is>
      </c>
      <c r="C13" t="inlineStr">
        <is>
          <t xml:space="preserve">Выручка</t>
        </is>
      </c>
      <c r="D13">
        <f>'04_Итог'!B9</f>
        <v>170211.24782885346</v>
      </c>
      <c r="E13" t="inlineStr">
        <is>
          <t xml:space="preserve">₽/мес</t>
        </is>
      </c>
      <c r="F13" t="inlineStr">
        <is>
          <t xml:space="preserve">Выручка за год ÷ 12.</t>
        </is>
      </c>
      <c r="G13">
        <v>170211.25</v>
      </c>
      <c r="H13" t="str">
        <f>IF(D13="","—",IF(ABS(D13-G13)&lt;1,"да","НЕТ"))</f>
        <v>да</v>
      </c>
    </row>
    <row r="14">
      <c r="A14" t="inlineStr">
        <is>
          <t xml:space="preserve">8</t>
        </is>
      </c>
      <c r="B14" t="inlineStr">
        <is>
          <t xml:space="preserve">Первый экран</t>
        </is>
      </c>
      <c r="C14" t="inlineStr">
        <is>
          <t xml:space="preserve">Всего расходов</t>
        </is>
      </c>
      <c r="D14">
        <f>total_costs+CHOOSE(regime_no,'05_Расчёт'!B15,'05_Расчёт'!C15,'05_Расчёт'!D15,'05_Расчёт'!E15,'05_Расчёт'!F15,'05_Расчёт'!G15,'05_Расчёт'!H15)+'04_Итог'!B8*acquiring</f>
        <v>719942.9739462415</v>
      </c>
      <c r="E14" t="inlineStr">
        <is>
          <t xml:space="preserve">₽/год</t>
        </is>
      </c>
      <c r="F14" t="inlineStr">
        <is>
          <t xml:space="preserve">Финансовые расходы плюс Налоги и Эквайринг. Резервный фонд и компенсация Инвестиционного времени не входят. calc() передаёт готовое поле totalExpenses; главный экран и детализация используют одно значение.</t>
        </is>
      </c>
      <c r="G14">
        <v>719942.97</v>
      </c>
      <c r="H14" t="str">
        <f>IF(D14="","—",IF(ABS(D14-G14)&lt;1,"да","НЕТ"))</f>
        <v>да</v>
      </c>
    </row>
    <row r="15"/>
    <row r="16">
      <c r="A16" t="inlineStr">
        <is>
          <t xml:space="preserve">ВРЕМЯ</t>
        </is>
      </c>
    </row>
    <row r="17">
      <c r="A17" t="inlineStr">
        <is>
          <t xml:space="preserve">9</t>
        </is>
      </c>
      <c r="B17" t="inlineStr">
        <is>
          <t xml:space="preserve">Время</t>
        </is>
      </c>
      <c r="C17" t="inlineStr">
        <is>
          <t xml:space="preserve">Рабочее время</t>
        </is>
      </c>
      <c r="D17">
        <f>work_days*nominal_hours</f>
        <v>1976.0</v>
      </c>
      <c r="E17" t="inlineStr">
        <is>
          <t xml:space="preserve">ч/год</t>
        </is>
      </c>
      <c r="F17" t="inlineStr">
        <is>
          <t xml:space="preserve">Рабочие дни производственного календаря × 8 часов. Верхняя граница: всё время, которое человек проводит в работе.</t>
        </is>
      </c>
      <c r="G17">
        <v>1752</v>
      </c>
      <c r="H17" t="str">
        <f>IF(D17="","—",IF(ABS(D17-G17)&lt;1,"да","НЕТ"))</f>
        <v>НЕТ</v>
      </c>
    </row>
    <row r="18">
      <c r="A18" t="inlineStr">
        <is>
          <t xml:space="preserve">10</t>
        </is>
      </c>
      <c r="B18" t="inlineStr">
        <is>
          <t xml:space="preserve">Время</t>
        </is>
      </c>
      <c r="C18" t="inlineStr">
        <is>
          <t xml:space="preserve">Эффективное рабочее время</t>
        </is>
      </c>
      <c r="D18">
        <f>net_time</f>
        <v>1533.0</v>
      </c>
      <c r="E18" t="inlineStr">
        <is>
          <t xml:space="preserve">ч/год</t>
        </is>
      </c>
      <c r="F18" t="inlineStr">
        <is>
          <t xml:space="preserve">Рабочие дни минус отпуск и больничный, умноженные на 7 эффективных часов.</t>
        </is>
      </c>
      <c r="G18">
        <v>1533</v>
      </c>
      <c r="H18" t="str">
        <f>IF(D18="","—",IF(ABS(D18-G18)&lt;1,"да","НЕТ"))</f>
        <v>да</v>
      </c>
    </row>
    <row r="19">
      <c r="A19" t="inlineStr">
        <is>
          <t xml:space="preserve">11</t>
        </is>
      </c>
      <c r="B19" t="inlineStr">
        <is>
          <t xml:space="preserve">Время</t>
        </is>
      </c>
      <c r="C19" t="inlineStr">
        <is>
          <t xml:space="preserve">Съёмочное время</t>
        </is>
      </c>
      <c r="D19">
        <f>shooting_time</f>
        <v>216.6</v>
      </c>
      <c r="E19" t="inlineStr">
        <is>
          <t xml:space="preserve">ч/год</t>
        </is>
      </c>
      <c r="F19" t="inlineStr">
        <is>
          <t xml:space="preserve">Общее время непосредственной съёмки на съёмочной площадке.</t>
        </is>
      </c>
      <c r="G19">
        <v>216.6</v>
      </c>
      <c r="H19" t="str">
        <f>IF(D19="","—",IF(ABS(D19-G19)&lt;1,"да","НЕТ"))</f>
        <v>да</v>
      </c>
    </row>
    <row r="20">
      <c r="A20" t="inlineStr">
        <is>
          <t xml:space="preserve">12</t>
        </is>
      </c>
      <c r="B20" t="inlineStr">
        <is>
          <t xml:space="preserve">Время</t>
        </is>
      </c>
      <c r="C20" t="inlineStr">
        <is>
          <t xml:space="preserve">Время на постпродакшн</t>
        </is>
      </c>
      <c r="D20">
        <f>post_time</f>
        <v>649.8</v>
      </c>
      <c r="E20" t="inlineStr">
        <is>
          <t xml:space="preserve">ч/год</t>
        </is>
      </c>
      <c r="F20" t="inlineStr">
        <is>
          <t xml:space="preserve">Время обработки и подготовки отснятого материала к передаче заказчику.</t>
        </is>
      </c>
      <c r="G20">
        <v>649.8</v>
      </c>
      <c r="H20" t="str">
        <f>IF(D20="","—",IF(ABS(D20-G20)&lt;1,"да","НЕТ"))</f>
        <v>да</v>
      </c>
    </row>
    <row r="21">
      <c r="A21" t="inlineStr">
        <is>
          <t xml:space="preserve">13</t>
        </is>
      </c>
      <c r="B21" t="inlineStr">
        <is>
          <t xml:space="preserve">Время</t>
        </is>
      </c>
      <c r="C21" t="inlineStr">
        <is>
          <t xml:space="preserve">Проектное клиентское время</t>
        </is>
      </c>
      <c r="D21">
        <f>client_total</f>
        <v>216.6</v>
      </c>
      <c r="E21" t="inlineStr">
        <is>
          <t xml:space="preserve">ч/год</t>
        </is>
      </c>
      <c r="F21" t="inlineStr">
        <is>
          <t xml:space="preserve">Время взаимодействия с клиентами в рамках конкретных съёмочных проектов.</t>
        </is>
      </c>
      <c r="G21">
        <v>216.6</v>
      </c>
      <c r="H21" t="str">
        <f>IF(D21="","—",IF(ABS(D21-G21)&lt;1,"да","НЕТ"))</f>
        <v>да</v>
      </c>
    </row>
    <row r="22">
      <c r="A22" t="inlineStr">
        <is>
          <t xml:space="preserve">14</t>
        </is>
      </c>
      <c r="B22" t="inlineStr">
        <is>
          <t xml:space="preserve">Время</t>
        </is>
      </c>
      <c r="C22" t="inlineStr">
        <is>
          <t xml:space="preserve">Поиск заказов</t>
        </is>
      </c>
      <c r="D22">
        <f>promo_time</f>
        <v>438.0</v>
      </c>
      <c r="E22" t="inlineStr">
        <is>
          <t xml:space="preserve">ч/год</t>
        </is>
      </c>
      <c r="F22" t="inlineStr">
        <is>
          <t xml:space="preserve">Часов в день на поиск заказов × рабочие дни.</t>
        </is>
      </c>
      <c r="G22">
        <v>438</v>
      </c>
      <c r="H22" t="str">
        <f>IF(D22="","—",IF(ABS(D22-G22)&lt;1,"да","НЕТ"))</f>
        <v>да</v>
      </c>
    </row>
    <row r="23">
      <c r="A23" t="inlineStr">
        <is>
          <t xml:space="preserve">15</t>
        </is>
      </c>
      <c r="B23" t="inlineStr">
        <is>
          <t xml:space="preserve">Время</t>
        </is>
      </c>
      <c r="C23" t="inlineStr">
        <is>
          <t xml:space="preserve">Учёт</t>
        </is>
      </c>
      <c r="D23">
        <f>accounting_time</f>
        <v>12.0</v>
      </c>
      <c r="E23" t="inlineStr">
        <is>
          <t xml:space="preserve">ч/год</t>
        </is>
      </c>
      <c r="F23" t="inlineStr">
        <is>
          <t xml:space="preserve">Часов в квартал × 4. Если нанят специалист — ноль, вместо часов появляются деньги.</t>
        </is>
      </c>
      <c r="G23">
        <v>12</v>
      </c>
      <c r="H23" t="str">
        <f>IF(D23="","—",IF(ABS(D23-G23)&lt;1,"да","НЕТ"))</f>
        <v>да</v>
      </c>
    </row>
    <row r="24">
      <c r="A24" t="inlineStr">
        <is>
          <t xml:space="preserve">16</t>
        </is>
      </c>
      <c r="B24" t="inlineStr">
        <is>
          <t xml:space="preserve">Время</t>
        </is>
      </c>
      <c r="C24" t="inlineStr">
        <is>
          <t xml:space="preserve">Неэффективное рабочее время</t>
        </is>
      </c>
      <c r="D24">
        <f>idle_time</f>
        <v>219.0</v>
      </c>
      <c r="E24" t="inlineStr">
        <is>
          <t xml:space="preserve">ч/год</t>
        </is>
      </c>
      <c r="F24" t="inlineStr">
        <is>
          <t xml:space="preserve">Разница между рабочим днём и эффективным: рабочие дни × 1 час.</t>
        </is>
      </c>
      <c r="G24">
        <v>219</v>
      </c>
      <c r="H24" t="str">
        <f>IF(D24="","—",IF(ABS(D24-G24)&lt;1,"да","НЕТ"))</f>
        <v>да</v>
      </c>
    </row>
    <row r="25">
      <c r="A25" t="inlineStr">
        <is>
          <t xml:space="preserve">17</t>
        </is>
      </c>
      <c r="B25" t="inlineStr">
        <is>
          <t xml:space="preserve">Время</t>
        </is>
      </c>
      <c r="C25" t="inlineStr">
        <is>
          <t xml:space="preserve">Резерв времени на простой и форс-мажоры</t>
        </is>
      </c>
      <c r="D25">
        <f>fm_time</f>
        <v>0.0</v>
      </c>
      <c r="E25" t="inlineStr">
        <is>
          <t xml:space="preserve">ч/год</t>
        </is>
      </c>
      <c r="F25" t="inlineStr">
        <is>
          <t xml:space="preserve">Процент от времени на заказы. По умолчанию выключен.</t>
        </is>
      </c>
      <c r="G25">
        <v>0</v>
      </c>
      <c r="H25" t="str">
        <f>IF(D25="","—",IF(ABS(D25-G25)&lt;1,"да","НЕТ"))</f>
        <v>да</v>
      </c>
    </row>
    <row r="26">
      <c r="A26" t="inlineStr">
        <is>
          <t xml:space="preserve">18</t>
        </is>
      </c>
      <c r="B26" t="inlineStr">
        <is>
          <t xml:space="preserve">Время</t>
        </is>
      </c>
      <c r="C26" t="inlineStr">
        <is>
          <t xml:space="preserve">Проектное время</t>
        </is>
      </c>
      <c r="D26">
        <f>project_pool</f>
        <v>1083.0</v>
      </c>
      <c r="E26" t="inlineStr">
        <is>
          <t xml:space="preserve">ч/год</t>
        </is>
      </c>
      <c r="F26" t="inlineStr">
        <is>
          <t xml:space="preserve">Эффективное рабочее время минус операционное время и резерв времени на простой и форс-мажоры.</t>
        </is>
      </c>
      <c r="G26">
        <v>1083</v>
      </c>
      <c r="H26" t="str">
        <f>IF(D26="","—",IF(ABS(D26-G26)&lt;1,"да","НЕТ"))</f>
        <v>да</v>
      </c>
    </row>
    <row r="27">
      <c r="A27" t="inlineStr">
        <is>
          <t xml:space="preserve">19</t>
        </is>
      </c>
      <c r="B27" t="inlineStr">
        <is>
          <t xml:space="preserve">Время</t>
        </is>
      </c>
      <c r="C27" t="inlineStr">
        <is>
          <t xml:space="preserve">Съёмочных проектов</t>
        </is>
      </c>
      <c r="D27">
        <f>projects_year</f>
        <v>216.6</v>
      </c>
      <c r="E27" t="inlineStr">
        <is>
          <t xml:space="preserve">шт/год</t>
        </is>
      </c>
      <c r="F27" t="inlineStr">
        <is>
          <t xml:space="preserve">Проектное время ÷ время на один проект.</t>
        </is>
      </c>
      <c r="G27">
        <v>216.6</v>
      </c>
      <c r="H27" t="str">
        <f>IF(D27="","—",IF(ABS(D27-G27)&lt;1,"да","НЕТ"))</f>
        <v>да</v>
      </c>
    </row>
    <row r="28"/>
    <row r="29">
      <c r="A29" t="inlineStr">
        <is>
          <t xml:space="preserve">ДЕНЬГИ</t>
        </is>
      </c>
    </row>
    <row r="30">
      <c r="A30" t="inlineStr">
        <is>
          <t xml:space="preserve">20</t>
        </is>
      </c>
      <c r="B30" t="inlineStr">
        <is>
          <t xml:space="preserve">Деньги</t>
        </is>
      </c>
      <c r="C30" t="inlineStr">
        <is>
          <t xml:space="preserve">Финансовые вложения (инвестиции)</t>
        </is>
      </c>
      <c r="D30">
        <f>investment</f>
        <v>278687.78095238097</v>
      </c>
      <c r="E30" t="inlineStr">
        <is>
          <t xml:space="preserve">₽/год</t>
        </is>
      </c>
      <c r="F30" t="inlineStr">
        <is>
          <t xml:space="preserve">Годовая часть денежных вложений: Съёмочное оборудование, Офисное оборудование, ПО, Обустройство рабочего места, Обучение и Сайт.</t>
        </is>
      </c>
      <c r="G30">
        <v>278687.78</v>
      </c>
      <c r="H30" t="str">
        <f>IF(D30="","—",IF(ABS(D30-G30)&lt;1,"да","НЕТ"))</f>
        <v>да</v>
      </c>
    </row>
    <row r="31">
      <c r="A31" t="inlineStr">
        <is>
          <t xml:space="preserve">21</t>
        </is>
      </c>
      <c r="B31" t="inlineStr">
        <is>
          <t xml:space="preserve">Деньги</t>
        </is>
      </c>
      <c r="C31" t="inlineStr">
        <is>
          <t xml:space="preserve">Регулярные расходы специалиста</t>
        </is>
      </c>
      <c r="D31">
        <f>variable_costs</f>
        <v>283980.0</v>
      </c>
      <c r="E31" t="inlineStr">
        <is>
          <t xml:space="preserve">₽/год</t>
        </is>
      </c>
      <c r="F31" t="inlineStr">
        <is>
          <t xml:space="preserve">Регулярные платежи за год: Подписки, Реклама, Банковское обслуживание, Бухгалтерия и Содержание рабочего места.</t>
        </is>
      </c>
      <c r="G31">
        <v>283980</v>
      </c>
      <c r="H31" t="str">
        <f>IF(D31="","—",IF(ABS(D31-G31)&lt;1,"да","НЕТ"))</f>
        <v>да</v>
      </c>
    </row>
    <row r="32">
      <c r="A32" t="inlineStr">
        <is>
          <t xml:space="preserve">22</t>
        </is>
      </c>
      <c r="B32" t="inlineStr">
        <is>
          <t xml:space="preserve">Деньги</t>
        </is>
      </c>
      <c r="C32" t="inlineStr">
        <is>
          <t xml:space="preserve">Финансовые расходы</t>
        </is>
      </c>
      <c r="D32">
        <f>total_costs</f>
        <v>562667.780952381</v>
      </c>
      <c r="E32" t="inlineStr">
        <is>
          <t xml:space="preserve">₽/год</t>
        </is>
      </c>
      <c r="F32" t="inlineStr">
        <is>
          <t xml:space="preserve">Финансовые вложения (инвестиции) плюс Регулярные расходы специалиста. Без Налогов и Эквайринга.</t>
        </is>
      </c>
      <c r="G32">
        <v>562667.78</v>
      </c>
      <c r="H32" t="str">
        <f>IF(D32="","—",IF(ABS(D32-G32)&lt;1,"да","НЕТ"))</f>
        <v>да</v>
      </c>
    </row>
    <row r="33">
      <c r="A33" t="inlineStr">
        <is>
          <t xml:space="preserve">23</t>
        </is>
      </c>
      <c r="B33" t="inlineStr">
        <is>
          <t xml:space="preserve">Деньги</t>
        </is>
      </c>
      <c r="C33" t="inlineStr">
        <is>
          <t xml:space="preserve">Налоги и взносы</t>
        </is>
      </c>
      <c r="D33">
        <f>CHOOSE(regime_no,'05_Расчёт'!B15,'05_Расчёт'!C15,'05_Расчёт'!D15,'05_Расчёт'!E15,'05_Расчёт'!F15,'05_Расчёт'!G15,'05_Расчёт'!H15)</f>
        <v>102126.74869731208</v>
      </c>
      <c r="E33" t="inlineStr">
        <is>
          <t xml:space="preserve">₽/год</t>
        </is>
      </c>
      <c r="F33" t="inlineStr">
        <is>
          <t xml:space="preserve">По выбранному режиму: налог плюс страховые взносы.</t>
        </is>
      </c>
      <c r="G33">
        <v>102126.75</v>
      </c>
      <c r="H33" t="str">
        <f>IF(D33="","—",IF(ABS(D33-G33)&lt;1,"да","НЕТ"))</f>
        <v>да</v>
      </c>
    </row>
    <row r="34">
      <c r="A34" t="inlineStr">
        <is>
          <t xml:space="preserve">24</t>
        </is>
      </c>
      <c r="B34" t="inlineStr">
        <is>
          <t xml:space="preserve">Деньги</t>
        </is>
      </c>
      <c r="C34" t="inlineStr">
        <is>
          <t xml:space="preserve">Эквайринг</t>
        </is>
      </c>
      <c r="D34">
        <f>'04_Итог'!B8*acquiring</f>
        <v>55148.44429654852</v>
      </c>
      <c r="E34" t="inlineStr">
        <is>
          <t xml:space="preserve">₽/год</t>
        </is>
      </c>
      <c r="F34" t="inlineStr">
        <is>
          <t xml:space="preserve">Ставка эквайринга × доля безналичных платежей × выручка.</t>
        </is>
      </c>
      <c r="G34">
        <v>55148.44</v>
      </c>
      <c r="H34" t="str">
        <f>IF(D34="","—",IF(ABS(D34-G34)&lt;1,"да","НЕТ"))</f>
        <v>да</v>
      </c>
    </row>
    <row r="35">
      <c r="A35" t="inlineStr">
        <is>
          <t xml:space="preserve">25</t>
        </is>
      </c>
      <c r="B35" t="inlineStr">
        <is>
          <t xml:space="preserve">Деньги</t>
        </is>
      </c>
      <c r="C35" t="inlineStr">
        <is>
          <t xml:space="preserve">Себестоимость часа съёмки</t>
        </is>
      </c>
      <c r="E35" t="inlineStr">
        <is>
          <t xml:space="preserve">₽/ч</t>
        </is>
      </c>
      <c r="F35" t="inlineStr">
        <is>
          <t xml:space="preserve">Все затраты дела, налоги и эквайринг ÷ съёмочные часы. в книге нет параметра — достроить.</t>
        </is>
      </c>
      <c r="G35">
        <v>3323.84</v>
      </c>
    </row>
    <row r="36">
      <c r="A36" t="inlineStr">
        <is>
          <t xml:space="preserve">26</t>
        </is>
      </c>
      <c r="B36" t="inlineStr">
        <is>
          <t xml:space="preserve">Деньги</t>
        </is>
      </c>
      <c r="C36" t="inlineStr">
        <is>
          <t xml:space="preserve">Наценка к себестоимости</t>
        </is>
      </c>
      <c r="E36" t="inlineStr">
        <is>
          <t xml:space="preserve">%</t>
        </is>
      </c>
      <c r="F36" t="inlineStr">
        <is>
          <t xml:space="preserve">На сколько процентов ставка часа выше себестоимости часа. в книге нет параметра — достроить.</t>
        </is>
      </c>
      <c r="G36">
        <v>183.71</v>
      </c>
    </row>
    <row r="37">
      <c r="A37" t="inlineStr">
        <is>
          <t xml:space="preserve">27</t>
        </is>
      </c>
      <c r="B37" t="inlineStr">
        <is>
          <t xml:space="preserve">Деньги</t>
        </is>
      </c>
      <c r="C37" t="inlineStr">
        <is>
          <t xml:space="preserve">Точка безубыточности</t>
        </is>
      </c>
      <c r="D37">
        <f>'04_Итог'!B12</f>
        <v>609607.5633286901</v>
      </c>
      <c r="E37" t="inlineStr">
        <is>
          <t xml:space="preserve">₽/год</t>
        </is>
      </c>
      <c r="F37" t="inlineStr">
        <is>
          <t xml:space="preserve">Выручка, при которой доход на руки равен нулю: покрыты только расходы и налоги.</t>
        </is>
      </c>
      <c r="G37">
        <v>609607.56</v>
      </c>
      <c r="H37" t="str">
        <f>IF(D37="","—",IF(ABS(D37-G37)&lt;1,"да","НЕТ"))</f>
        <v>да</v>
      </c>
    </row>
    <row r="38">
      <c r="A38" t="inlineStr">
        <is>
          <t xml:space="preserve">28</t>
        </is>
      </c>
      <c r="B38" t="inlineStr">
        <is>
          <t xml:space="preserve">Деньги</t>
        </is>
      </c>
      <c r="C38" t="inlineStr">
        <is>
          <t xml:space="preserve">Ставка в ноль</t>
        </is>
      </c>
      <c r="E38" t="inlineStr">
        <is>
          <t xml:space="preserve">₽/ч</t>
        </is>
      </c>
      <c r="F38" t="inlineStr">
        <is>
          <t xml:space="preserve">Точка безубыточности ÷ съёмочные часы. в книге нет параметра — достроить.</t>
        </is>
      </c>
      <c r="G38">
        <v>2814.44</v>
      </c>
    </row>
    <row r="39">
      <c r="A39" t="inlineStr">
        <is>
          <t xml:space="preserve">29</t>
        </is>
      </c>
      <c r="B39" t="inlineStr">
        <is>
          <t xml:space="preserve">Деньги</t>
        </is>
      </c>
      <c r="C39" t="inlineStr">
        <is>
          <t xml:space="preserve">Фонд развития</t>
        </is>
      </c>
      <c r="E39" t="inlineStr">
        <is>
          <t xml:space="preserve">₽/год</t>
        </is>
      </c>
      <c r="F39" t="inlineStr">
        <is>
          <t xml:space="preserve">Процент от выручки, откладываемый на развитие. в книге нет параметра — достроить.</t>
        </is>
      </c>
      <c r="G39">
        <v>0</v>
      </c>
    </row>
    <row r="40">
      <c r="A40" t="inlineStr">
        <is>
          <t xml:space="preserve">30</t>
        </is>
      </c>
      <c r="B40" t="inlineStr">
        <is>
          <t xml:space="preserve">Деньги</t>
        </is>
      </c>
      <c r="C40" t="inlineStr">
        <is>
          <t xml:space="preserve">Фонд программы лояльности</t>
        </is>
      </c>
      <c r="E40" t="inlineStr">
        <is>
          <t xml:space="preserve">₽/год</t>
        </is>
      </c>
      <c r="F40" t="inlineStr">
        <is>
          <t xml:space="preserve">Процент от выручки, заложенный на скидки и подарки клиентам. в книге нет параметра — достроить.</t>
        </is>
      </c>
      <c r="G40">
        <v>0</v>
      </c>
    </row>
    <row r="41"/>
    <row r="42">
      <c r="A42" t="inlineStr">
        <is>
          <t xml:space="preserve">ИЗНОС КАМЕРЫ</t>
        </is>
      </c>
    </row>
    <row r="43">
      <c r="A43" t="inlineStr">
        <is>
          <t xml:space="preserve">31</t>
        </is>
      </c>
      <c r="B43" t="inlineStr">
        <is>
          <t xml:space="preserve">Износ камеры</t>
        </is>
      </c>
      <c r="C43" t="inlineStr">
        <is>
          <t xml:space="preserve">Камера</t>
        </is>
      </c>
      <c r="E43" t="inlineStr">
        <is>
          <t xml:space="preserve">—</t>
        </is>
      </c>
      <c r="F43" t="inlineStr">
        <is>
          <t xml:space="preserve">Название камеры из анкеты. в книге нет параметра — достроить.</t>
        </is>
      </c>
      <c r="G43" t="inlineStr">
        <is>
          <t xml:space="preserve">Canon EOS R6 Mark II Body</t>
        </is>
      </c>
    </row>
    <row r="44">
      <c r="A44" t="inlineStr">
        <is>
          <t xml:space="preserve">32</t>
        </is>
      </c>
      <c r="B44" t="inlineStr">
        <is>
          <t xml:space="preserve">Износ камеры</t>
        </is>
      </c>
      <c r="C44" t="inlineStr">
        <is>
          <t xml:space="preserve">Стоимость камеры</t>
        </is>
      </c>
      <c r="E44" t="inlineStr">
        <is>
          <t xml:space="preserve">₽</t>
        </is>
      </c>
      <c r="F44" t="inlineStr">
        <is>
          <t xml:space="preserve">Цена покупки из анкеты. в книге нет параметра — достроить.</t>
        </is>
      </c>
      <c r="G44">
        <v>166999</v>
      </c>
    </row>
    <row r="45">
      <c r="A45" t="inlineStr">
        <is>
          <t xml:space="preserve">33</t>
        </is>
      </c>
      <c r="B45" t="inlineStr">
        <is>
          <t xml:space="preserve">Износ камеры</t>
        </is>
      </c>
      <c r="C45" t="inlineStr">
        <is>
          <t xml:space="preserve">Срок службы</t>
        </is>
      </c>
      <c r="E45" t="inlineStr">
        <is>
          <t xml:space="preserve">лет</t>
        </is>
      </c>
      <c r="F45" t="inlineStr">
        <is>
          <t xml:space="preserve">Срок из анкеты. в книге нет параметра — достроить.</t>
        </is>
      </c>
      <c r="G45">
        <v>3</v>
      </c>
    </row>
    <row r="46">
      <c r="A46" t="inlineStr">
        <is>
          <t xml:space="preserve">34</t>
        </is>
      </c>
      <c r="B46" t="inlineStr">
        <is>
          <t xml:space="preserve">Износ камеры</t>
        </is>
      </c>
      <c r="C46" t="inlineStr">
        <is>
          <t xml:space="preserve">Амортизация камеры</t>
        </is>
      </c>
      <c r="E46" t="inlineStr">
        <is>
          <t xml:space="preserve">₽/год</t>
        </is>
      </c>
      <c r="F46" t="inlineStr">
        <is>
          <t xml:space="preserve">Стоимость ÷ срок службы. в книге нет параметра — достроить.</t>
        </is>
      </c>
      <c r="G46">
        <v>55666.33</v>
      </c>
    </row>
    <row r="47">
      <c r="A47" t="inlineStr">
        <is>
          <t xml:space="preserve">35</t>
        </is>
      </c>
      <c r="B47" t="inlineStr">
        <is>
          <t xml:space="preserve">Износ камеры</t>
        </is>
      </c>
      <c r="C47" t="inlineStr">
        <is>
          <t xml:space="preserve">Ресурс затвора</t>
        </is>
      </c>
      <c r="E47" t="inlineStr">
        <is>
          <t xml:space="preserve">шт</t>
        </is>
      </c>
      <c r="F47" t="inlineStr">
        <is>
          <t xml:space="preserve">Расчётное число срабатываний по данным производителя. в книге нет параметра — достроить.</t>
        </is>
      </c>
      <c r="G47">
        <v>300000</v>
      </c>
    </row>
    <row r="48">
      <c r="A48" t="inlineStr">
        <is>
          <t xml:space="preserve">36</t>
        </is>
      </c>
      <c r="B48" t="inlineStr">
        <is>
          <t xml:space="preserve">Износ камеры</t>
        </is>
      </c>
      <c r="C48" t="inlineStr">
        <is>
          <t xml:space="preserve">Срабатываний за год</t>
        </is>
      </c>
      <c r="E48" t="inlineStr">
        <is>
          <t xml:space="preserve">шт/год</t>
        </is>
      </c>
      <c r="F48" t="inlineStr">
        <is>
          <t xml:space="preserve">Срабатываний за час съёмки × съёмочные часы. в книге нет параметра — достроить.</t>
        </is>
      </c>
      <c r="G48">
        <v>75810</v>
      </c>
    </row>
    <row r="49">
      <c r="A49" t="inlineStr">
        <is>
          <t xml:space="preserve">37</t>
        </is>
      </c>
      <c r="B49" t="inlineStr">
        <is>
          <t xml:space="preserve">Износ камеры</t>
        </is>
      </c>
      <c r="C49" t="inlineStr">
        <is>
          <t xml:space="preserve">Выработка ресурса</t>
        </is>
      </c>
      <c r="E49" t="inlineStr">
        <is>
          <t xml:space="preserve">%/год</t>
        </is>
      </c>
      <c r="F49" t="inlineStr">
        <is>
          <t xml:space="preserve">Срабатываний за год ÷ ресурс затвора. в книге нет параметра — достроить.</t>
        </is>
      </c>
      <c r="G49">
        <v>73.43</v>
      </c>
    </row>
    <row r="50"/>
    <row r="51">
      <c r="A51" t="inlineStr">
        <is>
          <t xml:space="preserve">ЗАГРУЗКА И СРАВНЕНИЕ СТАВОК</t>
        </is>
      </c>
    </row>
    <row r="52">
      <c r="A52" t="inlineStr">
        <is>
          <t xml:space="preserve">38</t>
        </is>
      </c>
      <c r="B52" t="inlineStr">
        <is>
          <t xml:space="preserve">Сравнение</t>
        </is>
      </c>
      <c r="C52" t="inlineStr">
        <is>
          <t xml:space="preserve">Текущая ставка</t>
        </is>
      </c>
      <c r="D52">
        <f>current_rate</f>
        <v>6000.0</v>
      </c>
      <c r="E52" t="inlineStr">
        <is>
          <t xml:space="preserve">₽/ч</t>
        </is>
      </c>
      <c r="F52" t="inlineStr">
        <is>
          <t xml:space="preserve">Ставка, по которой человек работает сейчас. Для сравнения.</t>
        </is>
      </c>
      <c r="G52">
        <v>6000</v>
      </c>
      <c r="H52" t="str">
        <f>IF(D52="","—",IF(ABS(D52-G52)&lt;1,"да","НЕТ"))</f>
        <v>да</v>
      </c>
    </row>
    <row r="53">
      <c r="A53" t="inlineStr">
        <is>
          <t xml:space="preserve">39</t>
        </is>
      </c>
      <c r="B53" t="inlineStr">
        <is>
          <t xml:space="preserve">Сравнение</t>
        </is>
      </c>
      <c r="C53" t="inlineStr">
        <is>
          <t xml:space="preserve">Съёмок в год при текущей ставке</t>
        </is>
      </c>
      <c r="E53" t="inlineStr">
        <is>
          <t xml:space="preserve">шт/год</t>
        </is>
      </c>
      <c r="F53" t="inlineStr">
        <is>
          <t xml:space="preserve">Сколько съёмок нужно провести при текущей ставке, чтобы получить желаемый доход. в книге нет параметра — достроить.</t>
        </is>
      </c>
      <c r="G53">
        <v>340.42</v>
      </c>
    </row>
    <row r="54">
      <c r="A54" t="inlineStr">
        <is>
          <t xml:space="preserve">40</t>
        </is>
      </c>
      <c r="B54" t="inlineStr">
        <is>
          <t xml:space="preserve">Сравнение</t>
        </is>
      </c>
      <c r="C54" t="inlineStr">
        <is>
          <t xml:space="preserve">Часов в год при текущей ставке</t>
        </is>
      </c>
      <c r="E54" t="inlineStr">
        <is>
          <t xml:space="preserve">ч/год</t>
        </is>
      </c>
      <c r="F54" t="inlineStr">
        <is>
          <t xml:space="preserve">Столько времени займут эти съёмки со всей обработкой и работой с клиентами. в книге нет параметра — достроить.</t>
        </is>
      </c>
      <c r="G54">
        <v>2152.11</v>
      </c>
    </row>
    <row r="55">
      <c r="A55" t="inlineStr">
        <is>
          <t xml:space="preserve">41</t>
        </is>
      </c>
      <c r="B55" t="inlineStr">
        <is>
          <t xml:space="preserve">Сравнение</t>
        </is>
      </c>
      <c r="C55" t="inlineStr">
        <is>
          <t xml:space="preserve">Съёмок в год при расчётной ставке</t>
        </is>
      </c>
      <c r="E55" t="inlineStr">
        <is>
          <t xml:space="preserve">шт/год</t>
        </is>
      </c>
      <c r="F55" t="inlineStr">
        <is>
          <t xml:space="preserve">То же для расчётной ставки. в книге нет параметра — достроить.</t>
        </is>
      </c>
      <c r="G55">
        <v>216.6</v>
      </c>
    </row>
    <row r="56">
      <c r="A56" t="inlineStr">
        <is>
          <t xml:space="preserve">42</t>
        </is>
      </c>
      <c r="B56" t="inlineStr">
        <is>
          <t xml:space="preserve">Сравнение</t>
        </is>
      </c>
      <c r="C56" t="inlineStr">
        <is>
          <t xml:space="preserve">Часов в год при расчётной ставке</t>
        </is>
      </c>
      <c r="E56" t="inlineStr">
        <is>
          <t xml:space="preserve">ч/год</t>
        </is>
      </c>
      <c r="F56" t="inlineStr">
        <is>
          <t xml:space="preserve">То же для расчётной ставки. в книге нет параметра — достроить.</t>
        </is>
      </c>
      <c r="G56">
        <v>1533</v>
      </c>
    </row>
    <row r="57">
      <c r="A57" t="inlineStr">
        <is>
          <t xml:space="preserve">43</t>
        </is>
      </c>
      <c r="B57" t="inlineStr">
        <is>
          <t xml:space="preserve">Сравнение</t>
        </is>
      </c>
      <c r="C57" t="inlineStr">
        <is>
          <t xml:space="preserve">Съёмок в год при ставке в ноль</t>
        </is>
      </c>
      <c r="E57" t="inlineStr">
        <is>
          <t xml:space="preserve">шт/год</t>
        </is>
      </c>
      <c r="F57" t="inlineStr">
        <is>
          <t xml:space="preserve">То же для ставки в ноль. в книге нет параметра — достроить.</t>
        </is>
      </c>
      <c r="G57">
        <v>725.73</v>
      </c>
    </row>
    <row r="58">
      <c r="A58" t="inlineStr">
        <is>
          <t xml:space="preserve">44</t>
        </is>
      </c>
      <c r="B58" t="inlineStr">
        <is>
          <t xml:space="preserve">Сравнение</t>
        </is>
      </c>
      <c r="C58" t="inlineStr">
        <is>
          <t xml:space="preserve">Часов в год при ставке в ноль</t>
        </is>
      </c>
      <c r="E58" t="inlineStr">
        <is>
          <t xml:space="preserve">ч/год</t>
        </is>
      </c>
      <c r="F58" t="inlineStr">
        <is>
          <t xml:space="preserve">То же для ставки в ноль. в книге нет параметра — достроить.</t>
        </is>
      </c>
      <c r="G58">
        <v>4078.67</v>
      </c>
    </row>
    <row r="59">
      <c r="A59" t="inlineStr">
        <is>
          <t xml:space="preserve">45</t>
        </is>
      </c>
      <c r="B59" t="inlineStr">
        <is>
          <t xml:space="preserve">Сравнение</t>
        </is>
      </c>
      <c r="C59" t="inlineStr">
        <is>
          <t xml:space="preserve">Съёмок для покрытия расходов при ставке в ноль</t>
        </is>
      </c>
      <c r="E59" t="inlineStr">
        <is>
          <t xml:space="preserve">шт/год</t>
        </is>
      </c>
      <c r="F59" t="inlineStr">
        <is>
          <t xml:space="preserve">Точка безубыточности делится на стоимость проекта при Ставке в ноль. в книге нет параметра — достроить.</t>
        </is>
      </c>
      <c r="G59">
        <v>216.6</v>
      </c>
    </row>
    <row r="60">
      <c r="A60" t="inlineStr">
        <is>
          <t xml:space="preserve">46</t>
        </is>
      </c>
      <c r="B60" t="inlineStr">
        <is>
          <t xml:space="preserve">Сравнение</t>
        </is>
      </c>
      <c r="C60" t="inlineStr">
        <is>
          <t xml:space="preserve">Съёмок для покрытия расходов при ставке в ноль</t>
        </is>
      </c>
      <c r="E60" t="inlineStr">
        <is>
          <t xml:space="preserve">шт/мес</t>
        </is>
      </c>
      <c r="F60" t="inlineStr">
        <is>
          <t xml:space="preserve">Годовое количество делится на 12; пользователю порог округляется вверх. в книге нет параметра — достроить.</t>
        </is>
      </c>
      <c r="G60">
        <v>18.05</v>
      </c>
    </row>
    <row r="61">
      <c r="A61" t="inlineStr">
        <is>
          <t xml:space="preserve">47</t>
        </is>
      </c>
      <c r="B61" t="inlineStr">
        <is>
          <t xml:space="preserve">Сравнение</t>
        </is>
      </c>
      <c r="C61" t="inlineStr">
        <is>
          <t xml:space="preserve">Текущий доход</t>
        </is>
      </c>
      <c r="E61" t="inlineStr">
        <is>
          <t xml:space="preserve">₽/год</t>
        </is>
      </c>
      <c r="F61" t="inlineStr">
        <is>
          <t xml:space="preserve">Расчётный доход при Текущей ставке и условиях анкеты после всех эффективных затрат. в книге нет параметра — достроить.</t>
        </is>
      </c>
      <c r="G61">
        <v>636863.02</v>
      </c>
    </row>
    <row r="62">
      <c r="A62" t="inlineStr">
        <is>
          <t xml:space="preserve">48</t>
        </is>
      </c>
      <c r="B62" t="inlineStr">
        <is>
          <t xml:space="preserve">Сравнение</t>
        </is>
      </c>
      <c r="C62" t="inlineStr">
        <is>
          <t xml:space="preserve">Недополученный доход</t>
        </is>
      </c>
      <c r="E62" t="inlineStr">
        <is>
          <t xml:space="preserve">₽/год</t>
        </is>
      </c>
      <c r="F62" t="inlineStr">
        <is>
          <t xml:space="preserve">Желаемый доход минус Текущий доход: 1 322 592 − 636 863. в книге нет параметра — достроить.</t>
        </is>
      </c>
      <c r="G62">
        <v>685728.98</v>
      </c>
    </row>
  </sheetData>
</worksheet>
</file>

<file path=xl/worksheets/sheet30.xml><?xml version="1.0" encoding="utf-8"?>
<worksheet xmlns="http://schemas.openxmlformats.org/spreadsheetml/2006/main">
  <sheetPr>
    <outlinePr summaryBelow="1" summaryRight="1"/>
    <pageSetUpPr/>
  </sheetPr>
  <dimension ref="A1:AB276"/>
  <sheetViews>
    <sheetView workbookViewId="0">
      <selection activeCell="A1" sqref="A1"/>
    </sheetView>
  </sheetViews>
  <sheetFormatPr baseColWidth="8" defaultRowHeight="15"/>
  <cols>
    <col width="7" customWidth="1" min="1" max="1"/>
    <col width="16" customWidth="1" min="2" max="2"/>
    <col width="24" customWidth="1" min="3" max="3"/>
    <col width="8" customWidth="1" min="4" max="4"/>
    <col width="16" customWidth="1" min="5" max="5"/>
    <col width="8" customWidth="1" min="6" max="6"/>
    <col width="28" customWidth="1" min="7" max="7"/>
    <col width="16" customWidth="1" min="8" max="8"/>
    <col width="28" customWidth="1" min="9" max="9"/>
    <col width="20" customWidth="1" min="10" max="10"/>
    <col width="22" customWidth="1" min="11" max="11"/>
    <col width="22" customWidth="1" min="12" max="12"/>
    <col width="30" customWidth="1" min="13" max="13"/>
    <col width="16" customWidth="1" min="14" max="14"/>
    <col width="12" customWidth="1" min="15" max="15"/>
    <col width="50" customWidth="1" min="16" max="16"/>
    <col width="38" customWidth="1" min="17" max="17"/>
    <col width="18" customWidth="1" min="18" max="18"/>
    <col width="16" customWidth="1" min="19" max="19"/>
    <col width="32" customWidth="1" min="20" max="20"/>
    <col width="22" customWidth="1" min="21" max="21"/>
    <col width="24" customWidth="1" min="22" max="22"/>
    <col width="28" customWidth="1" min="23" max="23"/>
    <col width="28" customWidth="1" min="24" max="24"/>
    <col width="46" customWidth="1" min="25" max="25"/>
    <col width="36" customWidth="1" min="26" max="26"/>
    <col width="22" customWidth="1" min="27" max="27"/>
    <col width="34" customWidth="1" min="28" max="28"/>
  </cols>
  <sheetData>
    <row r="1">
      <c r="A1" t="inlineStr">
        <is>
          <t>15 · РЕЕСТР ПОЛЕЙ — страницы, блоки, формы, поля и результаты</t>
        </is>
      </c>
      <c r="AB1" s="229" t="n"/>
    </row>
    <row r="2">
      <c r="A2" t="inlineStr">
        <is>
          <t>Новый рабочий источник для идентификации каждого вводимого, выбираемого и результативного поля. Группы результатов будут основой 09f и диаграмм.</t>
        </is>
      </c>
      <c r="AB2" s="229" t="n"/>
    </row>
    <row r="3">
      <c r="AB3" s="229" t="n"/>
    </row>
    <row r="4">
      <c r="A4" t="inlineStr">
        <is>
          <t>СТРАНИЦА · Анкета · calc.html</t>
        </is>
      </c>
      <c r="AB4" s="229" t="n"/>
    </row>
    <row r="5">
      <c r="A5" t="inlineStr">
        <is>
          <t>БЛОК · Ваш желаемый доход [CALC-B01]</t>
        </is>
      </c>
      <c r="AB5" s="229" t="n"/>
    </row>
    <row r="6">
      <c r="A6" t="inlineStr">
        <is>
          <t>№</t>
        </is>
      </c>
      <c r="B6" t="inlineStr">
        <is>
          <t>Страница ID</t>
        </is>
      </c>
      <c r="C6" t="inlineStr">
        <is>
          <t>Страница</t>
        </is>
      </c>
      <c r="D6" t="inlineStr">
        <is>
          <t>Порядок</t>
        </is>
      </c>
      <c r="E6" t="inlineStr">
        <is>
          <t>Блок ID</t>
        </is>
      </c>
      <c r="F6" t="inlineStr">
        <is>
          <t>№ блока</t>
        </is>
      </c>
      <c r="G6" t="inlineStr">
        <is>
          <t>Название блока</t>
        </is>
      </c>
      <c r="H6" t="inlineStr">
        <is>
          <t>Форма ID</t>
        </is>
      </c>
      <c r="I6" t="inlineStr">
        <is>
          <t>Название формы</t>
        </is>
      </c>
      <c r="J6" t="inlineStr">
        <is>
          <t>Поле ID реестра</t>
        </is>
      </c>
      <c r="K6" t="inlineStr">
        <is>
          <t>DOM / код ID</t>
        </is>
      </c>
      <c r="L6" t="inlineStr">
        <is>
          <t>Параметр модели</t>
        </is>
      </c>
      <c r="M6" t="inlineStr">
        <is>
          <t>Наименование поля</t>
        </is>
      </c>
      <c r="N6" t="inlineStr">
        <is>
          <t>Тип поля</t>
        </is>
      </c>
      <c r="O6" t="inlineStr">
        <is>
          <t>Роль</t>
        </is>
      </c>
      <c r="P6" t="inlineStr">
        <is>
          <t>Что вводим / что означает</t>
        </is>
      </c>
      <c r="Q6" t="inlineStr">
        <is>
          <t>Допустимые ответы / варианты</t>
        </is>
      </c>
      <c r="R6" t="inlineStr">
        <is>
          <t>По умолчанию</t>
        </is>
      </c>
      <c r="S6" t="inlineStr">
        <is>
          <t>Единица</t>
        </is>
      </c>
      <c r="T6" t="inlineStr">
        <is>
          <t>Условие показа / включения</t>
        </is>
      </c>
      <c r="U6" t="inlineStr">
        <is>
          <t>Поле результата d</t>
        </is>
      </c>
      <c r="V6" t="inlineStr">
        <is>
          <t>Группа результата</t>
        </is>
      </c>
      <c r="W6" t="inlineStr">
        <is>
          <t>Подгруппа результата</t>
        </is>
      </c>
      <c r="X6" t="inlineStr">
        <is>
          <t>Группа диаграммы</t>
        </is>
      </c>
      <c r="Y6" t="inlineStr">
        <is>
          <t>Формула / источник</t>
        </is>
      </c>
      <c r="Z6" t="inlineStr">
        <is>
          <t>Где выводится</t>
        </is>
      </c>
      <c r="AA6" t="inlineStr">
        <is>
          <t>Тип есть в глоссарии</t>
        </is>
      </c>
      <c r="AB6" s="229" t="inlineStr">
        <is>
          <t>Правило ID</t>
        </is>
      </c>
    </row>
    <row r="7">
      <c r="A7" t="inlineStr">
        <is>
          <t>1</t>
        </is>
      </c>
      <c r="B7" t="inlineStr">
        <is>
          <t>PAGE-CALC</t>
        </is>
      </c>
      <c r="C7" t="inlineStr">
        <is>
          <t>Анкета · calc.html</t>
        </is>
      </c>
      <c r="D7" t="inlineStr">
        <is>
          <t>1</t>
        </is>
      </c>
      <c r="E7" t="inlineStr">
        <is>
          <t>CALC-B01</t>
        </is>
      </c>
      <c r="F7" t="inlineStr">
        <is>
          <t>01</t>
        </is>
      </c>
      <c r="G7" t="inlineStr">
        <is>
          <t>Ваш желаемый доход</t>
        </is>
      </c>
      <c r="H7" t="inlineStr">
        <is>
          <t>CALC-F01</t>
        </is>
      </c>
      <c r="I7" t="inlineStr">
        <is>
          <t>Желаемый доход</t>
        </is>
      </c>
      <c r="J7" t="inlineStr">
        <is>
          <t>CALC-F01-001</t>
        </is>
      </c>
      <c r="K7" t="inlineStr">
        <is>
          <t>income_month</t>
        </is>
      </c>
      <c r="L7" t="inlineStr">
        <is>
          <t>income_month</t>
        </is>
      </c>
      <c r="M7" t="inlineStr">
        <is>
          <t>Желаемый доход в месяц</t>
        </is>
      </c>
      <c r="N7" t="inlineStr">
        <is>
          <t>input_number</t>
        </is>
      </c>
      <c r="O7" t="inlineStr">
        <is>
          <t>input</t>
        </is>
      </c>
      <c r="P7" t="inlineStr">
        <is>
          <t>Сумма, которую пользователь хочет получать на руки ежемесячно</t>
        </is>
      </c>
      <c r="Q7" t="inlineStr">
        <is>
          <t>Число больше 0</t>
        </is>
      </c>
      <c r="R7" t="inlineStr">
        <is>
          <t>110216</t>
        </is>
      </c>
      <c r="S7" t="inlineStr">
        <is>
          <t>₽/мес</t>
        </is>
      </c>
      <c r="U7" t="inlineStr">
        <is>
          <t>Ny</t>
        </is>
      </c>
      <c r="V7" t="inlineStr">
        <is>
          <t>Доход и стоимость</t>
        </is>
      </c>
      <c r="W7" t="inlineStr">
        <is>
          <t>Доход</t>
        </is>
      </c>
      <c r="Y7" t="inlineStr">
        <is>
          <t>income_month × 12</t>
        </is>
      </c>
      <c r="Z7" t="inlineStr">
        <is>
          <t>hero, card01, детализация</t>
        </is>
      </c>
      <c r="AA7" t="inlineStr">
        <is>
          <t>да</t>
        </is>
      </c>
      <c r="AB7" s="229" t="inlineStr">
        <is>
          <t>RULE-011; RULE-018</t>
        </is>
      </c>
    </row>
    <row r="8">
      <c r="A8" t="inlineStr">
        <is>
          <t>БЛОК · Ваш налоговый режим [CALC-B02]</t>
        </is>
      </c>
      <c r="AB8" s="229" t="n"/>
    </row>
    <row r="9">
      <c r="A9" t="inlineStr">
        <is>
          <t>№</t>
        </is>
      </c>
      <c r="B9" t="inlineStr">
        <is>
          <t>Страница ID</t>
        </is>
      </c>
      <c r="C9" t="inlineStr">
        <is>
          <t>Страница</t>
        </is>
      </c>
      <c r="D9" t="inlineStr">
        <is>
          <t>Порядок</t>
        </is>
      </c>
      <c r="E9" t="inlineStr">
        <is>
          <t>Блок ID</t>
        </is>
      </c>
      <c r="F9" t="inlineStr">
        <is>
          <t>№ блока</t>
        </is>
      </c>
      <c r="G9" t="inlineStr">
        <is>
          <t>Название блока</t>
        </is>
      </c>
      <c r="H9" t="inlineStr">
        <is>
          <t>Форма ID</t>
        </is>
      </c>
      <c r="I9" t="inlineStr">
        <is>
          <t>Название формы</t>
        </is>
      </c>
      <c r="J9" t="inlineStr">
        <is>
          <t>Поле ID реестра</t>
        </is>
      </c>
      <c r="K9" t="inlineStr">
        <is>
          <t>DOM / код ID</t>
        </is>
      </c>
      <c r="L9" t="inlineStr">
        <is>
          <t>Параметр модели</t>
        </is>
      </c>
      <c r="M9" t="inlineStr">
        <is>
          <t>Наименование поля</t>
        </is>
      </c>
      <c r="N9" t="inlineStr">
        <is>
          <t>Тип поля</t>
        </is>
      </c>
      <c r="O9" t="inlineStr">
        <is>
          <t>Роль</t>
        </is>
      </c>
      <c r="P9" t="inlineStr">
        <is>
          <t>Что вводим / что означает</t>
        </is>
      </c>
      <c r="Q9" t="inlineStr">
        <is>
          <t>Допустимые ответы / варианты</t>
        </is>
      </c>
      <c r="R9" t="inlineStr">
        <is>
          <t>По умолчанию</t>
        </is>
      </c>
      <c r="S9" t="inlineStr">
        <is>
          <t>Единица</t>
        </is>
      </c>
      <c r="T9" t="inlineStr">
        <is>
          <t>Условие показа / включения</t>
        </is>
      </c>
      <c r="U9" t="inlineStr">
        <is>
          <t>Поле результата d</t>
        </is>
      </c>
      <c r="V9" t="inlineStr">
        <is>
          <t>Группа результата</t>
        </is>
      </c>
      <c r="W9" t="inlineStr">
        <is>
          <t>Подгруппа результата</t>
        </is>
      </c>
      <c r="X9" t="inlineStr">
        <is>
          <t>Группа диаграммы</t>
        </is>
      </c>
      <c r="Y9" t="inlineStr">
        <is>
          <t>Формула / источник</t>
        </is>
      </c>
      <c r="Z9" t="inlineStr">
        <is>
          <t>Где выводится</t>
        </is>
      </c>
      <c r="AA9" t="inlineStr">
        <is>
          <t>Тип есть в глоссарии</t>
        </is>
      </c>
      <c r="AB9" s="229" t="inlineStr">
        <is>
          <t>Правило ID</t>
        </is>
      </c>
    </row>
    <row r="10">
      <c r="A10" t="inlineStr">
        <is>
          <t>2</t>
        </is>
      </c>
      <c r="B10" t="inlineStr">
        <is>
          <t>PAGE-CALC</t>
        </is>
      </c>
      <c r="C10" t="inlineStr">
        <is>
          <t>Анкета · calc.html</t>
        </is>
      </c>
      <c r="D10" t="inlineStr">
        <is>
          <t>2</t>
        </is>
      </c>
      <c r="E10" t="inlineStr">
        <is>
          <t>CALC-B02</t>
        </is>
      </c>
      <c r="F10" t="inlineStr">
        <is>
          <t>02</t>
        </is>
      </c>
      <c r="G10" t="inlineStr">
        <is>
          <t>Ваш налоговый режим</t>
        </is>
      </c>
      <c r="H10" t="inlineStr">
        <is>
          <t>CALC-F02</t>
        </is>
      </c>
      <c r="I10" t="inlineStr">
        <is>
          <t>Налоговый режим</t>
        </is>
      </c>
      <c r="J10" t="inlineStr">
        <is>
          <t>CALC-F02-001</t>
        </is>
      </c>
      <c r="K10" t="inlineStr">
        <is>
          <t>regime</t>
        </is>
      </c>
      <c r="L10" t="inlineStr">
        <is>
          <t>regime</t>
        </is>
      </c>
      <c r="M10" t="inlineStr">
        <is>
          <t>Налоговый режим</t>
        </is>
      </c>
      <c r="N10" t="inlineStr">
        <is>
          <t>dropdown</t>
        </is>
      </c>
      <c r="O10" t="inlineStr">
        <is>
          <t>choice</t>
        </is>
      </c>
      <c r="P10" t="inlineStr">
        <is>
          <t>Выбранная система налогообложения</t>
        </is>
      </c>
      <c r="Q10" t="inlineStr">
        <is>
          <t>НПД; УСН 6%; УСН 15%; АУСН 8%; АУСН 20%</t>
        </is>
      </c>
      <c r="R10" t="inlineStr">
        <is>
          <t>npd</t>
        </is>
      </c>
      <c r="U10" t="inlineStr">
        <is>
          <t>regimeCode</t>
        </is>
      </c>
      <c r="V10" t="inlineStr">
        <is>
          <t>Налоги и взносы</t>
        </is>
      </c>
      <c r="W10" t="inlineStr">
        <is>
          <t>Налоговый режим</t>
        </is>
      </c>
      <c r="Y10" t="inlineStr">
        <is>
          <t>определяет taxOf(R)</t>
        </is>
      </c>
      <c r="Z10" t="inlineStr">
        <is>
          <t>card07, сценарии</t>
        </is>
      </c>
      <c r="AA10" t="inlineStr">
        <is>
          <t>да</t>
        </is>
      </c>
      <c r="AB10" s="229" t="n"/>
    </row>
    <row r="11">
      <c r="A11" t="inlineStr">
        <is>
          <t>3</t>
        </is>
      </c>
      <c r="B11" t="inlineStr">
        <is>
          <t>PAGE-CALC</t>
        </is>
      </c>
      <c r="C11" t="inlineStr">
        <is>
          <t>Анкета · calc.html</t>
        </is>
      </c>
      <c r="D11" t="inlineStr">
        <is>
          <t>2</t>
        </is>
      </c>
      <c r="E11" t="inlineStr">
        <is>
          <t>CALC-B02</t>
        </is>
      </c>
      <c r="F11" t="inlineStr">
        <is>
          <t>02</t>
        </is>
      </c>
      <c r="G11" t="inlineStr">
        <is>
          <t>Ваш налоговый режим</t>
        </is>
      </c>
      <c r="H11" t="inlineStr">
        <is>
          <t>CALC-F02</t>
        </is>
      </c>
      <c r="I11" t="inlineStr">
        <is>
          <t>Налоговый режим</t>
        </is>
      </c>
      <c r="J11" t="inlineStr">
        <is>
          <t>CALC-F02-002</t>
        </is>
      </c>
      <c r="K11" t="inlineStr">
        <is>
          <t>npd_who</t>
        </is>
      </c>
      <c r="L11" t="inlineStr">
        <is>
          <t>clients</t>
        </is>
      </c>
      <c r="M11" t="inlineStr">
        <is>
          <t>Состав заказчиков на НПД</t>
        </is>
      </c>
      <c r="N11" t="inlineStr">
        <is>
          <t>dropdown</t>
        </is>
      </c>
      <c r="O11" t="inlineStr">
        <is>
          <t>choice</t>
        </is>
      </c>
      <c r="P11" t="inlineStr">
        <is>
          <t>От кого чаще поступает оплата</t>
        </is>
      </c>
      <c r="Q11" t="inlineStr">
        <is>
          <t>mix; phys; jur</t>
        </is>
      </c>
      <c r="R11" t="inlineStr">
        <is>
          <t>mix</t>
        </is>
      </c>
      <c r="T11" t="inlineStr">
        <is>
          <t>только для НПД</t>
        </is>
      </c>
      <c r="U11" t="inlineStr">
        <is>
          <t>clients</t>
        </is>
      </c>
      <c r="V11" t="inlineStr">
        <is>
          <t>Налоги и взносы</t>
        </is>
      </c>
      <c r="W11" t="inlineStr">
        <is>
          <t>НПД</t>
        </is>
      </c>
      <c r="Y11" t="inlineStr">
        <is>
          <t>npd4/npd5/npd6</t>
        </is>
      </c>
      <c r="Z11" t="inlineStr">
        <is>
          <t>card07</t>
        </is>
      </c>
      <c r="AA11" t="inlineStr">
        <is>
          <t>да</t>
        </is>
      </c>
      <c r="AB11" s="229" t="n"/>
    </row>
    <row r="12">
      <c r="A12" t="inlineStr">
        <is>
          <t>4</t>
        </is>
      </c>
      <c r="B12" t="inlineStr">
        <is>
          <t>PAGE-CALC</t>
        </is>
      </c>
      <c r="C12" t="inlineStr">
        <is>
          <t>Анкета · calc.html</t>
        </is>
      </c>
      <c r="D12" t="inlineStr">
        <is>
          <t>2</t>
        </is>
      </c>
      <c r="E12" t="inlineStr">
        <is>
          <t>CALC-B02</t>
        </is>
      </c>
      <c r="F12" t="inlineStr">
        <is>
          <t>02</t>
        </is>
      </c>
      <c r="G12" t="inlineStr">
        <is>
          <t>Ваш налоговый режим</t>
        </is>
      </c>
      <c r="H12" t="inlineStr">
        <is>
          <t>CALC-F02</t>
        </is>
      </c>
      <c r="I12" t="inlineStr">
        <is>
          <t>Налоговый режим</t>
        </is>
      </c>
      <c r="J12" t="inlineStr">
        <is>
          <t>CALC-F02-003</t>
        </is>
      </c>
      <c r="K12" t="inlineStr">
        <is>
          <t>tax_auto</t>
        </is>
      </c>
      <c r="L12" t="inlineStr">
        <is>
          <t>tax_auto</t>
        </is>
      </c>
      <c r="M12" t="inlineStr">
        <is>
          <t>Автоподбор режима</t>
        </is>
      </c>
      <c r="N12" t="inlineStr">
        <is>
          <t>checkbox</t>
        </is>
      </c>
      <c r="O12" t="inlineStr">
        <is>
          <t>choice</t>
        </is>
      </c>
      <c r="P12" t="inlineStr">
        <is>
          <t>Разрешает выбрать режим по минимальной требуемой выручке</t>
        </is>
      </c>
      <c r="Q12" t="inlineStr">
        <is>
          <t>включено / выключено</t>
        </is>
      </c>
      <c r="R12" t="inlineStr">
        <is>
          <t>выключено</t>
        </is>
      </c>
      <c r="U12" t="inlineStr">
        <is>
          <t>regimeCode</t>
        </is>
      </c>
      <c r="V12" t="inlineStr">
        <is>
          <t>Налоги и взносы</t>
        </is>
      </c>
      <c r="W12" t="inlineStr">
        <is>
          <t>Выбор режима</t>
        </is>
      </c>
      <c r="Y12" t="inlineStr">
        <is>
          <t>минимум R среди доступных режимов</t>
        </is>
      </c>
      <c r="Z12" t="inlineStr">
        <is>
          <t>анкета</t>
        </is>
      </c>
      <c r="AA12" t="inlineStr">
        <is>
          <t>да</t>
        </is>
      </c>
      <c r="AB12" s="229" t="inlineStr">
        <is>
          <t>RULE-009</t>
        </is>
      </c>
    </row>
    <row r="13">
      <c r="A13" t="inlineStr">
        <is>
          <t>5</t>
        </is>
      </c>
      <c r="B13" t="inlineStr">
        <is>
          <t>PAGE-CALC</t>
        </is>
      </c>
      <c r="C13" t="inlineStr">
        <is>
          <t>Анкета · calc.html</t>
        </is>
      </c>
      <c r="D13" t="inlineStr">
        <is>
          <t>2</t>
        </is>
      </c>
      <c r="E13" t="inlineStr">
        <is>
          <t>CALC-B02</t>
        </is>
      </c>
      <c r="F13" t="inlineStr">
        <is>
          <t>02</t>
        </is>
      </c>
      <c r="G13" t="inlineStr">
        <is>
          <t>Ваш налоговый режим</t>
        </is>
      </c>
      <c r="H13" t="inlineStr">
        <is>
          <t>CALC-F02</t>
        </is>
      </c>
      <c r="I13" t="inlineStr">
        <is>
          <t>Налоговый режим</t>
        </is>
      </c>
      <c r="J13" t="inlineStr">
        <is>
          <t>CALC-F02-004</t>
        </is>
      </c>
      <c r="K13" t="inlineStr">
        <is>
          <t>tax_off</t>
        </is>
      </c>
      <c r="L13" t="inlineStr">
        <is>
          <t>tax_off</t>
        </is>
      </c>
      <c r="M13" t="inlineStr">
        <is>
          <t>Не учитывать налоги</t>
        </is>
      </c>
      <c r="N13" t="inlineStr">
        <is>
          <t>checkbox</t>
        </is>
      </c>
      <c r="O13" t="inlineStr">
        <is>
          <t>choice</t>
        </is>
      </c>
      <c r="P13" t="inlineStr">
        <is>
          <t>Обнуляет налоговую функцию</t>
        </is>
      </c>
      <c r="Q13" t="inlineStr">
        <is>
          <t>включено / выключено</t>
        </is>
      </c>
      <c r="R13" t="inlineStr">
        <is>
          <t>выключено</t>
        </is>
      </c>
      <c r="T13" t="inlineStr">
        <is>
          <t>несовместимо с автоподбором</t>
        </is>
      </c>
      <c r="U13" t="inlineStr">
        <is>
          <t>taxAll</t>
        </is>
      </c>
      <c r="V13" t="inlineStr">
        <is>
          <t>Налоги и взносы</t>
        </is>
      </c>
      <c r="W13" t="inlineStr">
        <is>
          <t>Отключение налогов</t>
        </is>
      </c>
      <c r="Y13" t="inlineStr">
        <is>
          <t>taxOf(R)=0</t>
        </is>
      </c>
      <c r="Z13" t="inlineStr">
        <is>
          <t>сценарии; флаг пока не передаётся отдельно</t>
        </is>
      </c>
      <c r="AA13" t="inlineStr">
        <is>
          <t>да</t>
        </is>
      </c>
      <c r="AB13" s="229" t="inlineStr">
        <is>
          <t>RULE-004; RULE-006; RULE-017</t>
        </is>
      </c>
    </row>
    <row r="14">
      <c r="A14" t="inlineStr">
        <is>
          <t>БЛОК · Ваша текущая ставка [CALC-B03]</t>
        </is>
      </c>
      <c r="AB14" s="229" t="n"/>
    </row>
    <row r="15">
      <c r="A15" t="inlineStr">
        <is>
          <t>№</t>
        </is>
      </c>
      <c r="B15" t="inlineStr">
        <is>
          <t>Страница ID</t>
        </is>
      </c>
      <c r="C15" t="inlineStr">
        <is>
          <t>Страница</t>
        </is>
      </c>
      <c r="D15" t="inlineStr">
        <is>
          <t>Порядок</t>
        </is>
      </c>
      <c r="E15" t="inlineStr">
        <is>
          <t>Блок ID</t>
        </is>
      </c>
      <c r="F15" t="inlineStr">
        <is>
          <t>№ блока</t>
        </is>
      </c>
      <c r="G15" t="inlineStr">
        <is>
          <t>Название блока</t>
        </is>
      </c>
      <c r="H15" t="inlineStr">
        <is>
          <t>Форма ID</t>
        </is>
      </c>
      <c r="I15" t="inlineStr">
        <is>
          <t>Название формы</t>
        </is>
      </c>
      <c r="J15" t="inlineStr">
        <is>
          <t>Поле ID реестра</t>
        </is>
      </c>
      <c r="K15" t="inlineStr">
        <is>
          <t>DOM / код ID</t>
        </is>
      </c>
      <c r="L15" t="inlineStr">
        <is>
          <t>Параметр модели</t>
        </is>
      </c>
      <c r="M15" t="inlineStr">
        <is>
          <t>Наименование поля</t>
        </is>
      </c>
      <c r="N15" t="inlineStr">
        <is>
          <t>Тип поля</t>
        </is>
      </c>
      <c r="O15" t="inlineStr">
        <is>
          <t>Роль</t>
        </is>
      </c>
      <c r="P15" t="inlineStr">
        <is>
          <t>Что вводим / что означает</t>
        </is>
      </c>
      <c r="Q15" t="inlineStr">
        <is>
          <t>Допустимые ответы / варианты</t>
        </is>
      </c>
      <c r="R15" t="inlineStr">
        <is>
          <t>По умолчанию</t>
        </is>
      </c>
      <c r="S15" t="inlineStr">
        <is>
          <t>Единица</t>
        </is>
      </c>
      <c r="T15" t="inlineStr">
        <is>
          <t>Условие показа / включения</t>
        </is>
      </c>
      <c r="U15" t="inlineStr">
        <is>
          <t>Поле результата d</t>
        </is>
      </c>
      <c r="V15" t="inlineStr">
        <is>
          <t>Группа результата</t>
        </is>
      </c>
      <c r="W15" t="inlineStr">
        <is>
          <t>Подгруппа результата</t>
        </is>
      </c>
      <c r="X15" t="inlineStr">
        <is>
          <t>Группа диаграммы</t>
        </is>
      </c>
      <c r="Y15" t="inlineStr">
        <is>
          <t>Формула / источник</t>
        </is>
      </c>
      <c r="Z15" t="inlineStr">
        <is>
          <t>Где выводится</t>
        </is>
      </c>
      <c r="AA15" t="inlineStr">
        <is>
          <t>Тип есть в глоссарии</t>
        </is>
      </c>
      <c r="AB15" s="229" t="inlineStr">
        <is>
          <t>Правило ID</t>
        </is>
      </c>
    </row>
    <row r="16">
      <c r="A16" t="inlineStr">
        <is>
          <t>6</t>
        </is>
      </c>
      <c r="B16" t="inlineStr">
        <is>
          <t>PAGE-CALC</t>
        </is>
      </c>
      <c r="C16" t="inlineStr">
        <is>
          <t>Анкета · calc.html</t>
        </is>
      </c>
      <c r="D16" t="inlineStr">
        <is>
          <t>3</t>
        </is>
      </c>
      <c r="E16" t="inlineStr">
        <is>
          <t>CALC-B03</t>
        </is>
      </c>
      <c r="F16" t="inlineStr">
        <is>
          <t>03</t>
        </is>
      </c>
      <c r="G16" t="inlineStr">
        <is>
          <t>Ваша текущая ставка</t>
        </is>
      </c>
      <c r="H16" t="inlineStr">
        <is>
          <t>CALC-F03</t>
        </is>
      </c>
      <c r="I16" t="inlineStr">
        <is>
          <t>Текущая ставка</t>
        </is>
      </c>
      <c r="J16" t="inlineStr">
        <is>
          <t>CALC-F03-001</t>
        </is>
      </c>
      <c r="K16" t="inlineStr">
        <is>
          <t>current_rate</t>
        </is>
      </c>
      <c r="L16" t="inlineStr">
        <is>
          <t>current_rate</t>
        </is>
      </c>
      <c r="M16" t="inlineStr">
        <is>
          <t>Текущая ставка часа</t>
        </is>
      </c>
      <c r="N16" t="inlineStr">
        <is>
          <t>input_number</t>
        </is>
      </c>
      <c r="O16" t="inlineStr">
        <is>
          <t>input</t>
        </is>
      </c>
      <c r="P16" t="inlineStr">
        <is>
          <t>Цена часа, которую пользователь берёт сейчас</t>
        </is>
      </c>
      <c r="Q16" t="inlineStr">
        <is>
          <t>Число 0 или больше</t>
        </is>
      </c>
      <c r="R16" t="inlineStr">
        <is>
          <t>6000</t>
        </is>
      </c>
      <c r="S16" t="inlineStr">
        <is>
          <t>₽/ч</t>
        </is>
      </c>
      <c r="U16" t="inlineStr">
        <is>
          <t>curRate</t>
        </is>
      </c>
      <c r="V16" t="inlineStr">
        <is>
          <t>Доход и стоимость</t>
        </is>
      </c>
      <c r="W16" t="inlineStr">
        <is>
          <t>Текущий сценарий</t>
        </is>
      </c>
      <c r="Y16" t="inlineStr">
        <is>
          <t>current_rate</t>
        </is>
      </c>
      <c r="Z16" t="inlineStr">
        <is>
          <t>card04, card05, детализация</t>
        </is>
      </c>
      <c r="AA16" t="inlineStr">
        <is>
          <t>да</t>
        </is>
      </c>
      <c r="AB16" s="229" t="inlineStr">
        <is>
          <t>RULE-011; RULE-018</t>
        </is>
      </c>
    </row>
    <row r="17">
      <c r="A17" t="inlineStr">
        <is>
          <t>БЛОК · Готовых кадров за 1 час [CALC-B04]</t>
        </is>
      </c>
      <c r="AB17" s="229" t="n"/>
    </row>
    <row r="18">
      <c r="A18" t="inlineStr">
        <is>
          <t>№</t>
        </is>
      </c>
      <c r="B18" t="inlineStr">
        <is>
          <t>Страница ID</t>
        </is>
      </c>
      <c r="C18" t="inlineStr">
        <is>
          <t>Страница</t>
        </is>
      </c>
      <c r="D18" t="inlineStr">
        <is>
          <t>Порядок</t>
        </is>
      </c>
      <c r="E18" t="inlineStr">
        <is>
          <t>Блок ID</t>
        </is>
      </c>
      <c r="F18" t="inlineStr">
        <is>
          <t>№ блока</t>
        </is>
      </c>
      <c r="G18" t="inlineStr">
        <is>
          <t>Название блока</t>
        </is>
      </c>
      <c r="H18" t="inlineStr">
        <is>
          <t>Форма ID</t>
        </is>
      </c>
      <c r="I18" t="inlineStr">
        <is>
          <t>Название формы</t>
        </is>
      </c>
      <c r="J18" t="inlineStr">
        <is>
          <t>Поле ID реестра</t>
        </is>
      </c>
      <c r="K18" t="inlineStr">
        <is>
          <t>DOM / код ID</t>
        </is>
      </c>
      <c r="L18" t="inlineStr">
        <is>
          <t>Параметр модели</t>
        </is>
      </c>
      <c r="M18" t="inlineStr">
        <is>
          <t>Наименование поля</t>
        </is>
      </c>
      <c r="N18" t="inlineStr">
        <is>
          <t>Тип поля</t>
        </is>
      </c>
      <c r="O18" t="inlineStr">
        <is>
          <t>Роль</t>
        </is>
      </c>
      <c r="P18" t="inlineStr">
        <is>
          <t>Что вводим / что означает</t>
        </is>
      </c>
      <c r="Q18" t="inlineStr">
        <is>
          <t>Допустимые ответы / варианты</t>
        </is>
      </c>
      <c r="R18" t="inlineStr">
        <is>
          <t>По умолчанию</t>
        </is>
      </c>
      <c r="S18" t="inlineStr">
        <is>
          <t>Единица</t>
        </is>
      </c>
      <c r="T18" t="inlineStr">
        <is>
          <t>Условие показа / включения</t>
        </is>
      </c>
      <c r="U18" t="inlineStr">
        <is>
          <t>Поле результата d</t>
        </is>
      </c>
      <c r="V18" t="inlineStr">
        <is>
          <t>Группа результата</t>
        </is>
      </c>
      <c r="W18" t="inlineStr">
        <is>
          <t>Подгруппа результата</t>
        </is>
      </c>
      <c r="X18" t="inlineStr">
        <is>
          <t>Группа диаграммы</t>
        </is>
      </c>
      <c r="Y18" t="inlineStr">
        <is>
          <t>Формула / источник</t>
        </is>
      </c>
      <c r="Z18" t="inlineStr">
        <is>
          <t>Где выводится</t>
        </is>
      </c>
      <c r="AA18" t="inlineStr">
        <is>
          <t>Тип есть в глоссарии</t>
        </is>
      </c>
      <c r="AB18" s="229" t="inlineStr">
        <is>
          <t>Правило ID</t>
        </is>
      </c>
    </row>
    <row r="19">
      <c r="A19" t="inlineStr">
        <is>
          <t>7</t>
        </is>
      </c>
      <c r="B19" t="inlineStr">
        <is>
          <t>PAGE-CALC</t>
        </is>
      </c>
      <c r="C19" t="inlineStr">
        <is>
          <t>Анкета · calc.html</t>
        </is>
      </c>
      <c r="D19" t="inlineStr">
        <is>
          <t>4</t>
        </is>
      </c>
      <c r="E19" t="inlineStr">
        <is>
          <t>CALC-B04</t>
        </is>
      </c>
      <c r="F19" t="inlineStr">
        <is>
          <t>04</t>
        </is>
      </c>
      <c r="G19" t="inlineStr">
        <is>
          <t>Готовых кадров за 1 час</t>
        </is>
      </c>
      <c r="H19" t="inlineStr">
        <is>
          <t>CALC-F04</t>
        </is>
      </c>
      <c r="I19" t="inlineStr">
        <is>
          <t>Кадры и ресурс камеры</t>
        </is>
      </c>
      <c r="J19" t="inlineStr">
        <is>
          <t>CALC-F04-001</t>
        </is>
      </c>
      <c r="K19" t="inlineStr">
        <is>
          <t>frames_out</t>
        </is>
      </c>
      <c r="L19" t="inlineStr">
        <is>
          <t>frames_out</t>
        </is>
      </c>
      <c r="M19" t="inlineStr">
        <is>
          <t>Готовых кадров за час</t>
        </is>
      </c>
      <c r="N19" t="inlineStr">
        <is>
          <t>input_number</t>
        </is>
      </c>
      <c r="O19" t="inlineStr">
        <is>
          <t>input</t>
        </is>
      </c>
      <c r="P19" t="inlineStr">
        <is>
          <t>Среднее число готовых кадров с одного часа съёмки</t>
        </is>
      </c>
      <c r="Q19" t="inlineStr">
        <is>
          <t>Целое больше 0</t>
        </is>
      </c>
      <c r="R19" t="inlineStr">
        <is>
          <t>80</t>
        </is>
      </c>
      <c r="S19" t="inlineStr">
        <is>
          <t>кадров/час</t>
        </is>
      </c>
      <c r="U19" t="inlineStr">
        <is>
          <t>frames</t>
        </is>
      </c>
      <c r="V19" t="inlineStr">
        <is>
          <t>Проект</t>
        </is>
      </c>
      <c r="W19" t="inlineStr">
        <is>
          <t>Результат проекта</t>
        </is>
      </c>
      <c r="Y19" t="inlineStr">
        <is>
          <t>ввод пользователя</t>
        </is>
      </c>
      <c r="Z19" t="inlineStr">
        <is>
          <t>card09, цена кадра</t>
        </is>
      </c>
      <c r="AA19" t="inlineStr">
        <is>
          <t>да</t>
        </is>
      </c>
      <c r="AB19" s="229" t="n"/>
    </row>
    <row r="20">
      <c r="A20" t="inlineStr">
        <is>
          <t>8</t>
        </is>
      </c>
      <c r="B20" t="inlineStr">
        <is>
          <t>PAGE-CALC</t>
        </is>
      </c>
      <c r="C20" t="inlineStr">
        <is>
          <t>Анкета · calc.html</t>
        </is>
      </c>
      <c r="D20" t="inlineStr">
        <is>
          <t>4</t>
        </is>
      </c>
      <c r="E20" t="inlineStr">
        <is>
          <t>CALC-B04</t>
        </is>
      </c>
      <c r="F20" t="inlineStr">
        <is>
          <t>04</t>
        </is>
      </c>
      <c r="G20" t="inlineStr">
        <is>
          <t>Готовых кадров за 1 час</t>
        </is>
      </c>
      <c r="H20" t="inlineStr">
        <is>
          <t>CALC-F04</t>
        </is>
      </c>
      <c r="I20" t="inlineStr">
        <is>
          <t>Кадры и ресурс камеры</t>
        </is>
      </c>
      <c r="J20" t="inlineStr">
        <is>
          <t>CALC-F04-002</t>
        </is>
      </c>
      <c r="K20" t="inlineStr">
        <is>
          <t>shutter_per_hour</t>
        </is>
      </c>
      <c r="L20" t="inlineStr">
        <is>
          <t>shutter_per_hour</t>
        </is>
      </c>
      <c r="M20" t="inlineStr">
        <is>
          <t>Срабатываний затвора за час</t>
        </is>
      </c>
      <c r="N20" t="inlineStr">
        <is>
          <t>input_number</t>
        </is>
      </c>
      <c r="O20" t="inlineStr">
        <is>
          <t>input</t>
        </is>
      </c>
      <c r="P20" t="inlineStr">
        <is>
          <t>Среднее число срабатываний камеры за час</t>
        </is>
      </c>
      <c r="Q20" t="inlineStr">
        <is>
          <t>Число больше 0</t>
        </is>
      </c>
      <c r="R20" t="inlineStr">
        <is>
          <t>350</t>
        </is>
      </c>
      <c r="S20" t="inlineStr">
        <is>
          <t>срабатываний/час</t>
        </is>
      </c>
      <c r="U20" t="inlineStr">
        <is>
          <t>shutterPerHour</t>
        </is>
      </c>
      <c r="V20" t="inlineStr">
        <is>
          <t>Вложения и инвестиции</t>
        </is>
      </c>
      <c r="W20" t="inlineStr">
        <is>
          <t>Износ камеры</t>
        </is>
      </c>
      <c r="Y20" t="inlineStr">
        <is>
          <t>shutterPerHour × sh</t>
        </is>
      </c>
      <c r="Z20" t="inlineStr">
        <is>
          <t>детализация 06</t>
        </is>
      </c>
      <c r="AA20" t="inlineStr">
        <is>
          <t>да</t>
        </is>
      </c>
      <c r="AB20" s="229" t="n"/>
    </row>
    <row r="21">
      <c r="A21" t="inlineStr">
        <is>
          <t>9</t>
        </is>
      </c>
      <c r="B21" t="inlineStr">
        <is>
          <t>PAGE-CALC</t>
        </is>
      </c>
      <c r="C21" t="inlineStr">
        <is>
          <t>Анкета · calc.html</t>
        </is>
      </c>
      <c r="D21" t="inlineStr">
        <is>
          <t>4</t>
        </is>
      </c>
      <c r="E21" t="inlineStr">
        <is>
          <t>CALC-B04</t>
        </is>
      </c>
      <c r="F21" t="inlineStr">
        <is>
          <t>04</t>
        </is>
      </c>
      <c r="G21" t="inlineStr">
        <is>
          <t>Готовых кадров за 1 час</t>
        </is>
      </c>
      <c r="H21" t="inlineStr">
        <is>
          <t>CALC-F04</t>
        </is>
      </c>
      <c r="I21" t="inlineStr">
        <is>
          <t>Кадры и ресурс камеры</t>
        </is>
      </c>
      <c r="J21" t="inlineStr">
        <is>
          <t>CALC-F04-003</t>
        </is>
      </c>
      <c r="K21" t="inlineStr">
        <is>
          <t>shutter_life</t>
        </is>
      </c>
      <c r="L21" t="inlineStr">
        <is>
          <t>shutter_life</t>
        </is>
      </c>
      <c r="M21" t="inlineStr">
        <is>
          <t>Ресурс затвора</t>
        </is>
      </c>
      <c r="N21" t="inlineStr">
        <is>
          <t>input_number</t>
        </is>
      </c>
      <c r="O21" t="inlineStr">
        <is>
          <t>input</t>
        </is>
      </c>
      <c r="P21" t="inlineStr">
        <is>
          <t>Расчётный ресурс затвора камеры</t>
        </is>
      </c>
      <c r="Q21" t="inlineStr">
        <is>
          <t>Число больше 0</t>
        </is>
      </c>
      <c r="R21" t="inlineStr">
        <is>
          <t>300000</t>
        </is>
      </c>
      <c r="S21" t="inlineStr">
        <is>
          <t>срабатываний</t>
        </is>
      </c>
      <c r="U21" t="inlineStr">
        <is>
          <t>shutterLife</t>
        </is>
      </c>
      <c r="V21" t="inlineStr">
        <is>
          <t>Вложения и инвестиции</t>
        </is>
      </c>
      <c r="W21" t="inlineStr">
        <is>
          <t>Износ камеры</t>
        </is>
      </c>
      <c r="Y21" t="inlineStr">
        <is>
          <t>ввод пользователя</t>
        </is>
      </c>
      <c r="Z21" t="inlineStr">
        <is>
          <t>детализация 06</t>
        </is>
      </c>
      <c r="AA21" t="inlineStr">
        <is>
          <t>да</t>
        </is>
      </c>
      <c r="AB21" s="229" t="n"/>
    </row>
    <row r="22">
      <c r="A22" t="inlineStr">
        <is>
          <t>БЛОК · Минимальный заказ [CALC-B05]</t>
        </is>
      </c>
      <c r="AB22" s="229" t="n"/>
    </row>
    <row r="23">
      <c r="A23" t="inlineStr">
        <is>
          <t>№</t>
        </is>
      </c>
      <c r="B23" t="inlineStr">
        <is>
          <t>Страница ID</t>
        </is>
      </c>
      <c r="C23" t="inlineStr">
        <is>
          <t>Страница</t>
        </is>
      </c>
      <c r="D23" t="inlineStr">
        <is>
          <t>Порядок</t>
        </is>
      </c>
      <c r="E23" t="inlineStr">
        <is>
          <t>Блок ID</t>
        </is>
      </c>
      <c r="F23" t="inlineStr">
        <is>
          <t>№ блока</t>
        </is>
      </c>
      <c r="G23" t="inlineStr">
        <is>
          <t>Название блока</t>
        </is>
      </c>
      <c r="H23" t="inlineStr">
        <is>
          <t>Форма ID</t>
        </is>
      </c>
      <c r="I23" t="inlineStr">
        <is>
          <t>Название формы</t>
        </is>
      </c>
      <c r="J23" t="inlineStr">
        <is>
          <t>Поле ID реестра</t>
        </is>
      </c>
      <c r="K23" t="inlineStr">
        <is>
          <t>DOM / код ID</t>
        </is>
      </c>
      <c r="L23" t="inlineStr">
        <is>
          <t>Параметр модели</t>
        </is>
      </c>
      <c r="M23" t="inlineStr">
        <is>
          <t>Наименование поля</t>
        </is>
      </c>
      <c r="N23" t="inlineStr">
        <is>
          <t>Тип поля</t>
        </is>
      </c>
      <c r="O23" t="inlineStr">
        <is>
          <t>Роль</t>
        </is>
      </c>
      <c r="P23" t="inlineStr">
        <is>
          <t>Что вводим / что означает</t>
        </is>
      </c>
      <c r="Q23" t="inlineStr">
        <is>
          <t>Допустимые ответы / варианты</t>
        </is>
      </c>
      <c r="R23" t="inlineStr">
        <is>
          <t>По умолчанию</t>
        </is>
      </c>
      <c r="S23" t="inlineStr">
        <is>
          <t>Единица</t>
        </is>
      </c>
      <c r="T23" t="inlineStr">
        <is>
          <t>Условие показа / включения</t>
        </is>
      </c>
      <c r="U23" t="inlineStr">
        <is>
          <t>Поле результата d</t>
        </is>
      </c>
      <c r="V23" t="inlineStr">
        <is>
          <t>Группа результата</t>
        </is>
      </c>
      <c r="W23" t="inlineStr">
        <is>
          <t>Подгруппа результата</t>
        </is>
      </c>
      <c r="X23" t="inlineStr">
        <is>
          <t>Группа диаграммы</t>
        </is>
      </c>
      <c r="Y23" t="inlineStr">
        <is>
          <t>Формула / источник</t>
        </is>
      </c>
      <c r="Z23" t="inlineStr">
        <is>
          <t>Где выводится</t>
        </is>
      </c>
      <c r="AA23" t="inlineStr">
        <is>
          <t>Тип есть в глоссарии</t>
        </is>
      </c>
      <c r="AB23" s="229" t="inlineStr">
        <is>
          <t>Правило ID</t>
        </is>
      </c>
    </row>
    <row r="24">
      <c r="A24" t="inlineStr">
        <is>
          <t>10</t>
        </is>
      </c>
      <c r="B24" t="inlineStr">
        <is>
          <t>PAGE-CALC</t>
        </is>
      </c>
      <c r="C24" t="inlineStr">
        <is>
          <t>Анкета · calc.html</t>
        </is>
      </c>
      <c r="D24" t="inlineStr">
        <is>
          <t>5</t>
        </is>
      </c>
      <c r="E24" t="inlineStr">
        <is>
          <t>CALC-B05</t>
        </is>
      </c>
      <c r="F24" t="inlineStr">
        <is>
          <t>05</t>
        </is>
      </c>
      <c r="G24" t="inlineStr">
        <is>
          <t>Минимальный заказ</t>
        </is>
      </c>
      <c r="H24" t="inlineStr">
        <is>
          <t>CALC-F05</t>
        </is>
      </c>
      <c r="I24" t="inlineStr">
        <is>
          <t>Длительность съёмки</t>
        </is>
      </c>
      <c r="J24" t="inlineStr">
        <is>
          <t>CALC-F05-001</t>
        </is>
      </c>
      <c r="K24" t="inlineStr">
        <is>
          <t>shoot_manual</t>
        </is>
      </c>
      <c r="L24" t="inlineStr">
        <is>
          <t>shoot_duration</t>
        </is>
      </c>
      <c r="M24" t="inlineStr">
        <is>
          <t>Продолжительность одной съёмки</t>
        </is>
      </c>
      <c r="N24" t="inlineStr">
        <is>
          <t>input_number</t>
        </is>
      </c>
      <c r="O24" t="inlineStr">
        <is>
          <t>input</t>
        </is>
      </c>
      <c r="P24" t="inlineStr">
        <is>
          <t>Съёмочных часов в одном проекте</t>
        </is>
      </c>
      <c r="Q24" t="inlineStr">
        <is>
          <t>0,5 и больше, шаг 0,5</t>
        </is>
      </c>
      <c r="R24" t="inlineStr">
        <is>
          <t>1</t>
        </is>
      </c>
      <c r="S24" t="inlineStr">
        <is>
          <t>ч/проект</t>
        </is>
      </c>
      <c r="U24" t="inlineStr">
        <is>
          <t>S</t>
        </is>
      </c>
      <c r="V24" t="inlineStr">
        <is>
          <t>Время</t>
        </is>
      </c>
      <c r="W24" t="inlineStr">
        <is>
          <t>Съёмочное время</t>
        </is>
      </c>
      <c r="Y24" t="inlineStr">
        <is>
          <t>S</t>
        </is>
      </c>
      <c r="Z24" t="inlineStr">
        <is>
          <t>ставка, прайс, неделя, загрузка</t>
        </is>
      </c>
      <c r="AA24" t="inlineStr">
        <is>
          <t>да</t>
        </is>
      </c>
      <c r="AB24" s="229" t="n"/>
    </row>
    <row r="25">
      <c r="A25" t="inlineStr">
        <is>
          <t>БЛОК · Время на постпродакшн [CALC-B06]</t>
        </is>
      </c>
      <c r="AB25" s="229" t="n"/>
    </row>
    <row r="26">
      <c r="A26" t="inlineStr">
        <is>
          <t>№</t>
        </is>
      </c>
      <c r="B26" t="inlineStr">
        <is>
          <t>Страница ID</t>
        </is>
      </c>
      <c r="C26" t="inlineStr">
        <is>
          <t>Страница</t>
        </is>
      </c>
      <c r="D26" t="inlineStr">
        <is>
          <t>Порядок</t>
        </is>
      </c>
      <c r="E26" t="inlineStr">
        <is>
          <t>Блок ID</t>
        </is>
      </c>
      <c r="F26" t="inlineStr">
        <is>
          <t>№ блока</t>
        </is>
      </c>
      <c r="G26" t="inlineStr">
        <is>
          <t>Название блока</t>
        </is>
      </c>
      <c r="H26" t="inlineStr">
        <is>
          <t>Форма ID</t>
        </is>
      </c>
      <c r="I26" t="inlineStr">
        <is>
          <t>Название формы</t>
        </is>
      </c>
      <c r="J26" t="inlineStr">
        <is>
          <t>Поле ID реестра</t>
        </is>
      </c>
      <c r="K26" t="inlineStr">
        <is>
          <t>DOM / код ID</t>
        </is>
      </c>
      <c r="L26" t="inlineStr">
        <is>
          <t>Параметр модели</t>
        </is>
      </c>
      <c r="M26" t="inlineStr">
        <is>
          <t>Наименование поля</t>
        </is>
      </c>
      <c r="N26" t="inlineStr">
        <is>
          <t>Тип поля</t>
        </is>
      </c>
      <c r="O26" t="inlineStr">
        <is>
          <t>Роль</t>
        </is>
      </c>
      <c r="P26" t="inlineStr">
        <is>
          <t>Что вводим / что означает</t>
        </is>
      </c>
      <c r="Q26" t="inlineStr">
        <is>
          <t>Допустимые ответы / варианты</t>
        </is>
      </c>
      <c r="R26" t="inlineStr">
        <is>
          <t>По умолчанию</t>
        </is>
      </c>
      <c r="S26" t="inlineStr">
        <is>
          <t>Единица</t>
        </is>
      </c>
      <c r="T26" t="inlineStr">
        <is>
          <t>Условие показа / включения</t>
        </is>
      </c>
      <c r="U26" t="inlineStr">
        <is>
          <t>Поле результата d</t>
        </is>
      </c>
      <c r="V26" t="inlineStr">
        <is>
          <t>Группа результата</t>
        </is>
      </c>
      <c r="W26" t="inlineStr">
        <is>
          <t>Подгруппа результата</t>
        </is>
      </c>
      <c r="X26" t="inlineStr">
        <is>
          <t>Группа диаграммы</t>
        </is>
      </c>
      <c r="Y26" t="inlineStr">
        <is>
          <t>Формула / источник</t>
        </is>
      </c>
      <c r="Z26" t="inlineStr">
        <is>
          <t>Где выводится</t>
        </is>
      </c>
      <c r="AA26" t="inlineStr">
        <is>
          <t>Тип есть в глоссарии</t>
        </is>
      </c>
      <c r="AB26" s="229" t="inlineStr">
        <is>
          <t>Правило ID</t>
        </is>
      </c>
    </row>
    <row r="27">
      <c r="A27" t="inlineStr">
        <is>
          <t>11</t>
        </is>
      </c>
      <c r="B27" t="inlineStr">
        <is>
          <t>PAGE-CALC</t>
        </is>
      </c>
      <c r="C27" t="inlineStr">
        <is>
          <t>Анкета · calc.html</t>
        </is>
      </c>
      <c r="D27" t="inlineStr">
        <is>
          <t>6</t>
        </is>
      </c>
      <c r="E27" t="inlineStr">
        <is>
          <t>CALC-B06</t>
        </is>
      </c>
      <c r="F27" t="inlineStr">
        <is>
          <t>06</t>
        </is>
      </c>
      <c r="G27" t="inlineStr">
        <is>
          <t>Время на постпродакшн</t>
        </is>
      </c>
      <c r="H27" t="inlineStr">
        <is>
          <t>CALC-F06</t>
        </is>
      </c>
      <c r="I27" t="inlineStr">
        <is>
          <t>Постпродакшн</t>
        </is>
      </c>
      <c r="J27" t="inlineStr">
        <is>
          <t>CALC-F06-001</t>
        </is>
      </c>
      <c r="K27" t="inlineStr">
        <is>
          <t>post_ratio</t>
        </is>
      </c>
      <c r="L27" t="inlineStr">
        <is>
          <t>post_ratio</t>
        </is>
      </c>
      <c r="M27" t="inlineStr">
        <is>
          <t>Коэффициент постпродакшна</t>
        </is>
      </c>
      <c r="N27" t="inlineStr">
        <is>
          <t>input_number</t>
        </is>
      </c>
      <c r="O27" t="inlineStr">
        <is>
          <t>input</t>
        </is>
      </c>
      <c r="P27" t="inlineStr">
        <is>
          <t>Часов обработки на один час съёмки</t>
        </is>
      </c>
      <c r="Q27" t="inlineStr">
        <is>
          <t>0 и больше, шаг 0,5</t>
        </is>
      </c>
      <c r="R27" t="inlineStr">
        <is>
          <t>3</t>
        </is>
      </c>
      <c r="S27" t="inlineStr">
        <is>
          <t>ч/съёмочный час</t>
        </is>
      </c>
      <c r="U27" t="inlineStr">
        <is>
          <t>K</t>
        </is>
      </c>
      <c r="V27" t="inlineStr">
        <is>
          <t>Время</t>
        </is>
      </c>
      <c r="W27" t="inlineStr">
        <is>
          <t>Постпродакшн</t>
        </is>
      </c>
      <c r="Y27" t="inlineStr">
        <is>
          <t>K</t>
        </is>
      </c>
      <c r="Z27" t="inlineStr">
        <is>
          <t>ставка, неделя</t>
        </is>
      </c>
      <c r="AA27" t="inlineStr">
        <is>
          <t>да</t>
        </is>
      </c>
      <c r="AB27" s="229" t="n"/>
    </row>
    <row r="28">
      <c r="A28" t="inlineStr">
        <is>
          <t>БЛОК · Проектная работа с клиентами [CALC-B07]</t>
        </is>
      </c>
      <c r="AB28" s="229" t="n"/>
    </row>
    <row r="29">
      <c r="A29" t="inlineStr">
        <is>
          <t>№</t>
        </is>
      </c>
      <c r="B29" t="inlineStr">
        <is>
          <t>Страница ID</t>
        </is>
      </c>
      <c r="C29" t="inlineStr">
        <is>
          <t>Страница</t>
        </is>
      </c>
      <c r="D29" t="inlineStr">
        <is>
          <t>Порядок</t>
        </is>
      </c>
      <c r="E29" t="inlineStr">
        <is>
          <t>Блок ID</t>
        </is>
      </c>
      <c r="F29" t="inlineStr">
        <is>
          <t>№ блока</t>
        </is>
      </c>
      <c r="G29" t="inlineStr">
        <is>
          <t>Название блока</t>
        </is>
      </c>
      <c r="H29" t="inlineStr">
        <is>
          <t>Форма ID</t>
        </is>
      </c>
      <c r="I29" t="inlineStr">
        <is>
          <t>Название формы</t>
        </is>
      </c>
      <c r="J29" t="inlineStr">
        <is>
          <t>Поле ID реестра</t>
        </is>
      </c>
      <c r="K29" t="inlineStr">
        <is>
          <t>DOM / код ID</t>
        </is>
      </c>
      <c r="L29" t="inlineStr">
        <is>
          <t>Параметр модели</t>
        </is>
      </c>
      <c r="M29" t="inlineStr">
        <is>
          <t>Наименование поля</t>
        </is>
      </c>
      <c r="N29" t="inlineStr">
        <is>
          <t>Тип поля</t>
        </is>
      </c>
      <c r="O29" t="inlineStr">
        <is>
          <t>Роль</t>
        </is>
      </c>
      <c r="P29" t="inlineStr">
        <is>
          <t>Что вводим / что означает</t>
        </is>
      </c>
      <c r="Q29" t="inlineStr">
        <is>
          <t>Допустимые ответы / варианты</t>
        </is>
      </c>
      <c r="R29" t="inlineStr">
        <is>
          <t>По умолчанию</t>
        </is>
      </c>
      <c r="S29" t="inlineStr">
        <is>
          <t>Единица</t>
        </is>
      </c>
      <c r="T29" t="inlineStr">
        <is>
          <t>Условие показа / включения</t>
        </is>
      </c>
      <c r="U29" t="inlineStr">
        <is>
          <t>Поле результата d</t>
        </is>
      </c>
      <c r="V29" t="inlineStr">
        <is>
          <t>Группа результата</t>
        </is>
      </c>
      <c r="W29" t="inlineStr">
        <is>
          <t>Подгруппа результата</t>
        </is>
      </c>
      <c r="X29" t="inlineStr">
        <is>
          <t>Группа диаграммы</t>
        </is>
      </c>
      <c r="Y29" t="inlineStr">
        <is>
          <t>Формула / источник</t>
        </is>
      </c>
      <c r="Z29" t="inlineStr">
        <is>
          <t>Где выводится</t>
        </is>
      </c>
      <c r="AA29" t="inlineStr">
        <is>
          <t>Тип есть в глоссарии</t>
        </is>
      </c>
      <c r="AB29" s="229" t="inlineStr">
        <is>
          <t>Правило ID</t>
        </is>
      </c>
    </row>
    <row r="30">
      <c r="A30" t="inlineStr">
        <is>
          <t>12</t>
        </is>
      </c>
      <c r="B30" t="inlineStr">
        <is>
          <t>PAGE-CALC</t>
        </is>
      </c>
      <c r="C30" t="inlineStr">
        <is>
          <t>Анкета · calc.html</t>
        </is>
      </c>
      <c r="D30" t="inlineStr">
        <is>
          <t>7</t>
        </is>
      </c>
      <c r="E30" t="inlineStr">
        <is>
          <t>CALC-B07</t>
        </is>
      </c>
      <c r="F30" t="inlineStr">
        <is>
          <t>07</t>
        </is>
      </c>
      <c r="G30" t="inlineStr">
        <is>
          <t>Проектная работа с клиентами</t>
        </is>
      </c>
      <c r="H30" t="inlineStr">
        <is>
          <t>CALC-F07</t>
        </is>
      </c>
      <c r="I30" t="inlineStr">
        <is>
          <t>Проектная работа с клиентом</t>
        </is>
      </c>
      <c r="J30" t="inlineStr">
        <is>
          <t>CALC-F07-001</t>
        </is>
      </c>
      <c r="K30" t="inlineStr">
        <is>
          <t>client_time</t>
        </is>
      </c>
      <c r="L30" t="inlineStr">
        <is>
          <t>client_time</t>
        </is>
      </c>
      <c r="M30" t="inlineStr">
        <is>
          <t>Проектная работа с клиентом</t>
        </is>
      </c>
      <c r="N30" t="inlineStr">
        <is>
          <t>input_number</t>
        </is>
      </c>
      <c r="O30" t="inlineStr">
        <is>
          <t>input</t>
        </is>
      </c>
      <c r="P30" t="inlineStr">
        <is>
          <t>Клиентских часов на один проект</t>
        </is>
      </c>
      <c r="Q30" t="inlineStr">
        <is>
          <t>0 и больше, шаг 0,5</t>
        </is>
      </c>
      <c r="R30" t="inlineStr">
        <is>
          <t>1</t>
        </is>
      </c>
      <c r="S30" t="inlineStr">
        <is>
          <t>ч/проект</t>
        </is>
      </c>
      <c r="U30" t="inlineStr">
        <is>
          <t>cl</t>
        </is>
      </c>
      <c r="V30" t="inlineStr">
        <is>
          <t>Время</t>
        </is>
      </c>
      <c r="W30" t="inlineStr">
        <is>
          <t>Клиентское время</t>
        </is>
      </c>
      <c r="Y30" t="inlineStr">
        <is>
          <t>cl</t>
        </is>
      </c>
      <c r="Z30" t="inlineStr">
        <is>
          <t>ставка, неделя</t>
        </is>
      </c>
      <c r="AA30" t="inlineStr">
        <is>
          <t>да</t>
        </is>
      </c>
      <c r="AB30" s="229" t="n"/>
    </row>
    <row r="31">
      <c r="A31" t="inlineStr">
        <is>
          <t>13</t>
        </is>
      </c>
      <c r="B31" t="inlineStr">
        <is>
          <t>PAGE-CALC</t>
        </is>
      </c>
      <c r="C31" t="inlineStr">
        <is>
          <t>Анкета · calc.html</t>
        </is>
      </c>
      <c r="D31" t="inlineStr">
        <is>
          <t>7</t>
        </is>
      </c>
      <c r="E31" t="inlineStr">
        <is>
          <t>CALC-B07</t>
        </is>
      </c>
      <c r="F31" t="inlineStr">
        <is>
          <t>07</t>
        </is>
      </c>
      <c r="G31" t="inlineStr">
        <is>
          <t>Проектная работа с клиентами</t>
        </is>
      </c>
      <c r="H31" t="inlineStr">
        <is>
          <t>CALC-F07</t>
        </is>
      </c>
      <c r="I31" t="inlineStr">
        <is>
          <t>Проектная работа с клиентом</t>
        </is>
      </c>
      <c r="J31" t="inlineStr">
        <is>
          <t>CALC-F07-002</t>
        </is>
      </c>
      <c r="K31" t="inlineStr">
        <is>
          <t>data-exc=FormClientTime</t>
        </is>
      </c>
      <c r="L31" t="inlineStr">
        <is>
          <t>use_FormClientTime</t>
        </is>
      </c>
      <c r="M31" t="inlineStr">
        <is>
          <t>Учитывать работу с клиентом</t>
        </is>
      </c>
      <c r="N31" t="inlineStr">
        <is>
          <t>exclude_checkbox</t>
        </is>
      </c>
      <c r="O31" t="inlineStr">
        <is>
          <t>choice</t>
        </is>
      </c>
      <c r="P31" t="inlineStr">
        <is>
          <t>Включает или исключает клиентское время</t>
        </is>
      </c>
      <c r="Q31" t="inlineStr">
        <is>
          <t>учитывать / не учитывать</t>
        </is>
      </c>
      <c r="R31" t="inlineStr">
        <is>
          <t>учитывать</t>
        </is>
      </c>
      <c r="U31" t="inlineStr">
        <is>
          <t>cl</t>
        </is>
      </c>
      <c r="V31" t="inlineStr">
        <is>
          <t>Время</t>
        </is>
      </c>
      <c r="W31" t="inlineStr">
        <is>
          <t>Клиентское время</t>
        </is>
      </c>
      <c r="Y31" t="inlineStr">
        <is>
          <t>EXC.FormClientTime</t>
        </is>
      </c>
      <c r="Z31" t="inlineStr">
        <is>
          <t>анкета</t>
        </is>
      </c>
      <c r="AA31" t="inlineStr">
        <is>
          <t>да</t>
        </is>
      </c>
      <c r="AB31" s="229" t="inlineStr">
        <is>
          <t>RULE-004; RULE-006</t>
        </is>
      </c>
    </row>
    <row r="32">
      <c r="A32" t="inlineStr">
        <is>
          <t>БЛОК · Поиск заказов [CALC-B08]</t>
        </is>
      </c>
      <c r="AB32" s="229" t="n"/>
    </row>
    <row r="33">
      <c r="A33" t="inlineStr">
        <is>
          <t>№</t>
        </is>
      </c>
      <c r="B33" t="inlineStr">
        <is>
          <t>Страница ID</t>
        </is>
      </c>
      <c r="C33" t="inlineStr">
        <is>
          <t>Страница</t>
        </is>
      </c>
      <c r="D33" t="inlineStr">
        <is>
          <t>Порядок</t>
        </is>
      </c>
      <c r="E33" t="inlineStr">
        <is>
          <t>Блок ID</t>
        </is>
      </c>
      <c r="F33" t="inlineStr">
        <is>
          <t>№ блока</t>
        </is>
      </c>
      <c r="G33" t="inlineStr">
        <is>
          <t>Название блока</t>
        </is>
      </c>
      <c r="H33" t="inlineStr">
        <is>
          <t>Форма ID</t>
        </is>
      </c>
      <c r="I33" t="inlineStr">
        <is>
          <t>Название формы</t>
        </is>
      </c>
      <c r="J33" t="inlineStr">
        <is>
          <t>Поле ID реестра</t>
        </is>
      </c>
      <c r="K33" t="inlineStr">
        <is>
          <t>DOM / код ID</t>
        </is>
      </c>
      <c r="L33" t="inlineStr">
        <is>
          <t>Параметр модели</t>
        </is>
      </c>
      <c r="M33" t="inlineStr">
        <is>
          <t>Наименование поля</t>
        </is>
      </c>
      <c r="N33" t="inlineStr">
        <is>
          <t>Тип поля</t>
        </is>
      </c>
      <c r="O33" t="inlineStr">
        <is>
          <t>Роль</t>
        </is>
      </c>
      <c r="P33" t="inlineStr">
        <is>
          <t>Что вводим / что означает</t>
        </is>
      </c>
      <c r="Q33" t="inlineStr">
        <is>
          <t>Допустимые ответы / варианты</t>
        </is>
      </c>
      <c r="R33" t="inlineStr">
        <is>
          <t>По умолчанию</t>
        </is>
      </c>
      <c r="S33" t="inlineStr">
        <is>
          <t>Единица</t>
        </is>
      </c>
      <c r="T33" t="inlineStr">
        <is>
          <t>Условие показа / включения</t>
        </is>
      </c>
      <c r="U33" t="inlineStr">
        <is>
          <t>Поле результата d</t>
        </is>
      </c>
      <c r="V33" t="inlineStr">
        <is>
          <t>Группа результата</t>
        </is>
      </c>
      <c r="W33" t="inlineStr">
        <is>
          <t>Подгруппа результата</t>
        </is>
      </c>
      <c r="X33" t="inlineStr">
        <is>
          <t>Группа диаграммы</t>
        </is>
      </c>
      <c r="Y33" t="inlineStr">
        <is>
          <t>Формула / источник</t>
        </is>
      </c>
      <c r="Z33" t="inlineStr">
        <is>
          <t>Где выводится</t>
        </is>
      </c>
      <c r="AA33" t="inlineStr">
        <is>
          <t>Тип есть в глоссарии</t>
        </is>
      </c>
      <c r="AB33" s="229" t="inlineStr">
        <is>
          <t>Правило ID</t>
        </is>
      </c>
    </row>
    <row r="34">
      <c r="A34" t="inlineStr">
        <is>
          <t>14</t>
        </is>
      </c>
      <c r="B34" t="inlineStr">
        <is>
          <t>PAGE-CALC</t>
        </is>
      </c>
      <c r="C34" t="inlineStr">
        <is>
          <t>Анкета · calc.html</t>
        </is>
      </c>
      <c r="D34" t="inlineStr">
        <is>
          <t>8</t>
        </is>
      </c>
      <c r="E34" t="inlineStr">
        <is>
          <t>CALC-B08</t>
        </is>
      </c>
      <c r="F34" t="inlineStr">
        <is>
          <t>08</t>
        </is>
      </c>
      <c r="G34" t="inlineStr">
        <is>
          <t>Поиск заказов</t>
        </is>
      </c>
      <c r="H34" t="inlineStr">
        <is>
          <t>CALC-F08</t>
        </is>
      </c>
      <c r="I34" t="inlineStr">
        <is>
          <t>Поиск заказов</t>
        </is>
      </c>
      <c r="J34" t="inlineStr">
        <is>
          <t>CALC-F08-001</t>
        </is>
      </c>
      <c r="K34" t="inlineStr">
        <is>
          <t>promo_per_day</t>
        </is>
      </c>
      <c r="L34" t="inlineStr">
        <is>
          <t>promo_per_day</t>
        </is>
      </c>
      <c r="M34" t="inlineStr">
        <is>
          <t>Поиск заказов в день</t>
        </is>
      </c>
      <c r="N34" t="inlineStr">
        <is>
          <t>input_number</t>
        </is>
      </c>
      <c r="O34" t="inlineStr">
        <is>
          <t>input</t>
        </is>
      </c>
      <c r="P34" t="inlineStr">
        <is>
          <t>Ежедневное операционное время на продвижение</t>
        </is>
      </c>
      <c r="Q34" t="inlineStr">
        <is>
          <t>0 и больше, шаг 0,5</t>
        </is>
      </c>
      <c r="R34" t="inlineStr">
        <is>
          <t>2</t>
        </is>
      </c>
      <c r="S34" t="inlineStr">
        <is>
          <t>ч/день</t>
        </is>
      </c>
      <c r="U34" t="inlineStr">
        <is>
          <t>promo</t>
        </is>
      </c>
      <c r="V34" t="inlineStr">
        <is>
          <t>Время</t>
        </is>
      </c>
      <c r="W34" t="inlineStr">
        <is>
          <t>Накладное время</t>
        </is>
      </c>
      <c r="Y34" t="inlineStr">
        <is>
          <t>promo_per_day × ND</t>
        </is>
      </c>
      <c r="Z34" t="inlineStr">
        <is>
          <t>неделя, детализация</t>
        </is>
      </c>
      <c r="AA34" t="inlineStr">
        <is>
          <t>да</t>
        </is>
      </c>
      <c r="AB34" s="229" t="n"/>
    </row>
    <row r="35">
      <c r="A35" t="inlineStr">
        <is>
          <t>15</t>
        </is>
      </c>
      <c r="B35" t="inlineStr">
        <is>
          <t>PAGE-CALC</t>
        </is>
      </c>
      <c r="C35" t="inlineStr">
        <is>
          <t>Анкета · calc.html</t>
        </is>
      </c>
      <c r="D35" t="inlineStr">
        <is>
          <t>8</t>
        </is>
      </c>
      <c r="E35" t="inlineStr">
        <is>
          <t>CALC-B08</t>
        </is>
      </c>
      <c r="F35" t="inlineStr">
        <is>
          <t>08</t>
        </is>
      </c>
      <c r="G35" t="inlineStr">
        <is>
          <t>Поиск заказов</t>
        </is>
      </c>
      <c r="H35" t="inlineStr">
        <is>
          <t>CALC-F08</t>
        </is>
      </c>
      <c r="I35" t="inlineStr">
        <is>
          <t>Поиск заказов</t>
        </is>
      </c>
      <c r="J35" t="inlineStr">
        <is>
          <t>CALC-F08-002</t>
        </is>
      </c>
      <c r="K35" t="inlineStr">
        <is>
          <t>data-exc=FormPromoTime</t>
        </is>
      </c>
      <c r="L35" t="inlineStr">
        <is>
          <t>use_FormPromoTime</t>
        </is>
      </c>
      <c r="M35" t="inlineStr">
        <is>
          <t>Учитывать поиск заказов</t>
        </is>
      </c>
      <c r="N35" t="inlineStr">
        <is>
          <t>exclude_checkbox</t>
        </is>
      </c>
      <c r="O35" t="inlineStr">
        <is>
          <t>choice</t>
        </is>
      </c>
      <c r="P35" t="inlineStr">
        <is>
          <t>Включает или исключает время продвижения</t>
        </is>
      </c>
      <c r="Q35" t="inlineStr">
        <is>
          <t>учитывать / не учитывать</t>
        </is>
      </c>
      <c r="R35" t="inlineStr">
        <is>
          <t>учитывать</t>
        </is>
      </c>
      <c r="U35" t="inlineStr">
        <is>
          <t>promo</t>
        </is>
      </c>
      <c r="V35" t="inlineStr">
        <is>
          <t>Время</t>
        </is>
      </c>
      <c r="W35" t="inlineStr">
        <is>
          <t>Накладное время</t>
        </is>
      </c>
      <c r="Y35" t="inlineStr">
        <is>
          <t>EXC.FormPromoTime</t>
        </is>
      </c>
      <c r="Z35" t="inlineStr">
        <is>
          <t>анкета</t>
        </is>
      </c>
      <c r="AA35" t="inlineStr">
        <is>
          <t>да</t>
        </is>
      </c>
      <c r="AB35" s="229" t="inlineStr">
        <is>
          <t>RULE-004; RULE-006</t>
        </is>
      </c>
    </row>
    <row r="36">
      <c r="A36" t="inlineStr">
        <is>
          <t>БЛОК · Съёмочное оборудование [CALC-B09]</t>
        </is>
      </c>
      <c r="AB36" s="229" t="n"/>
    </row>
    <row r="37">
      <c r="A37" t="inlineStr">
        <is>
          <t>№</t>
        </is>
      </c>
      <c r="B37" t="inlineStr">
        <is>
          <t>Страница ID</t>
        </is>
      </c>
      <c r="C37" t="inlineStr">
        <is>
          <t>Страница</t>
        </is>
      </c>
      <c r="D37" t="inlineStr">
        <is>
          <t>Порядок</t>
        </is>
      </c>
      <c r="E37" t="inlineStr">
        <is>
          <t>Блок ID</t>
        </is>
      </c>
      <c r="F37" t="inlineStr">
        <is>
          <t>№ блока</t>
        </is>
      </c>
      <c r="G37" t="inlineStr">
        <is>
          <t>Название блока</t>
        </is>
      </c>
      <c r="H37" t="inlineStr">
        <is>
          <t>Форма ID</t>
        </is>
      </c>
      <c r="I37" t="inlineStr">
        <is>
          <t>Название формы</t>
        </is>
      </c>
      <c r="J37" t="inlineStr">
        <is>
          <t>Поле ID реестра</t>
        </is>
      </c>
      <c r="K37" t="inlineStr">
        <is>
          <t>DOM / код ID</t>
        </is>
      </c>
      <c r="L37" t="inlineStr">
        <is>
          <t>Параметр модели</t>
        </is>
      </c>
      <c r="M37" t="inlineStr">
        <is>
          <t>Наименование поля</t>
        </is>
      </c>
      <c r="N37" t="inlineStr">
        <is>
          <t>Тип поля</t>
        </is>
      </c>
      <c r="O37" t="inlineStr">
        <is>
          <t>Роль</t>
        </is>
      </c>
      <c r="P37" t="inlineStr">
        <is>
          <t>Что вводим / что означает</t>
        </is>
      </c>
      <c r="Q37" t="inlineStr">
        <is>
          <t>Допустимые ответы / варианты</t>
        </is>
      </c>
      <c r="R37" t="inlineStr">
        <is>
          <t>По умолчанию</t>
        </is>
      </c>
      <c r="S37" t="inlineStr">
        <is>
          <t>Единица</t>
        </is>
      </c>
      <c r="T37" t="inlineStr">
        <is>
          <t>Условие показа / включения</t>
        </is>
      </c>
      <c r="U37" t="inlineStr">
        <is>
          <t>Поле результата d</t>
        </is>
      </c>
      <c r="V37" t="inlineStr">
        <is>
          <t>Группа результата</t>
        </is>
      </c>
      <c r="W37" t="inlineStr">
        <is>
          <t>Подгруппа результата</t>
        </is>
      </c>
      <c r="X37" t="inlineStr">
        <is>
          <t>Группа диаграммы</t>
        </is>
      </c>
      <c r="Y37" t="inlineStr">
        <is>
          <t>Формула / источник</t>
        </is>
      </c>
      <c r="Z37" t="inlineStr">
        <is>
          <t>Где выводится</t>
        </is>
      </c>
      <c r="AA37" t="inlineStr">
        <is>
          <t>Тип есть в глоссарии</t>
        </is>
      </c>
      <c r="AB37" s="229" t="inlineStr">
        <is>
          <t>Правило ID</t>
        </is>
      </c>
    </row>
    <row r="38">
      <c r="A38" t="inlineStr">
        <is>
          <t>16</t>
        </is>
      </c>
      <c r="B38" t="inlineStr">
        <is>
          <t>PAGE-CALC</t>
        </is>
      </c>
      <c r="C38" t="inlineStr">
        <is>
          <t>Анкета · calc.html</t>
        </is>
      </c>
      <c r="D38" t="inlineStr">
        <is>
          <t>9</t>
        </is>
      </c>
      <c r="E38" t="inlineStr">
        <is>
          <t>CALC-B09</t>
        </is>
      </c>
      <c r="F38" t="inlineStr">
        <is>
          <t>09</t>
        </is>
      </c>
      <c r="G38" t="inlineStr">
        <is>
          <t>Съёмочное оборудование</t>
        </is>
      </c>
      <c r="H38" t="inlineStr">
        <is>
          <t>CALC-F09</t>
        </is>
      </c>
      <c r="I38" t="inlineStr">
        <is>
          <t>Съёмочное оборудование</t>
        </is>
      </c>
      <c r="J38" t="inlineStr">
        <is>
          <t>CALC-F09-001</t>
        </is>
      </c>
      <c r="K38" t="inlineStr">
        <is>
          <t>data-exc=Form001</t>
        </is>
      </c>
      <c r="L38" t="inlineStr">
        <is>
          <t>use_Form001</t>
        </is>
      </c>
      <c r="M38" t="inlineStr">
        <is>
          <t>Учитывать съёмочное оборудование</t>
        </is>
      </c>
      <c r="N38" t="inlineStr">
        <is>
          <t>exclude_checkbox</t>
        </is>
      </c>
      <c r="O38" t="inlineStr">
        <is>
          <t>choice</t>
        </is>
      </c>
      <c r="P38" t="inlineStr">
        <is>
          <t>Включает или исключает весь каталог</t>
        </is>
      </c>
      <c r="Q38" t="inlineStr">
        <is>
          <t>учитывать / не учитывать</t>
        </is>
      </c>
      <c r="R38" t="inlineStr">
        <is>
          <t>учитывать</t>
        </is>
      </c>
      <c r="V38" t="inlineStr">
        <is>
          <t>Вложения и инвестиции</t>
        </is>
      </c>
      <c r="W38" t="inlineStr">
        <is>
          <t>Съёмочное оборудование</t>
        </is>
      </c>
      <c r="Y38" t="inlineStr">
        <is>
          <t>EXC.Form001</t>
        </is>
      </c>
      <c r="Z38" t="inlineStr">
        <is>
          <t>анкета</t>
        </is>
      </c>
      <c r="AA38" t="inlineStr">
        <is>
          <t>да</t>
        </is>
      </c>
      <c r="AB38" s="229" t="inlineStr">
        <is>
          <t>RULE-004; RULE-006</t>
        </is>
      </c>
    </row>
    <row r="39">
      <c r="A39" t="inlineStr">
        <is>
          <t>17</t>
        </is>
      </c>
      <c r="B39" t="inlineStr">
        <is>
          <t>PAGE-CALC</t>
        </is>
      </c>
      <c r="C39" t="inlineStr">
        <is>
          <t>Анкета · calc.html</t>
        </is>
      </c>
      <c r="D39" t="inlineStr">
        <is>
          <t>9</t>
        </is>
      </c>
      <c r="E39" t="inlineStr">
        <is>
          <t>CALC-B09</t>
        </is>
      </c>
      <c r="F39" t="inlineStr">
        <is>
          <t>09</t>
        </is>
      </c>
      <c r="G39" t="inlineStr">
        <is>
          <t>Съёмочное оборудование</t>
        </is>
      </c>
      <c r="H39" t="inlineStr">
        <is>
          <t>CALC-F09</t>
        </is>
      </c>
      <c r="I39" t="inlineStr">
        <is>
          <t>Съёмочное оборудование</t>
        </is>
      </c>
      <c r="J39" t="inlineStr">
        <is>
          <t>CALC-F09-002</t>
        </is>
      </c>
      <c r="K39" t="inlineStr">
        <is>
          <t>Form001.item_name</t>
        </is>
      </c>
      <c r="L39" t="inlineStr">
        <is>
          <t>Form001.name</t>
        </is>
      </c>
      <c r="M39" t="inlineStr">
        <is>
          <t>Наименование позиции</t>
        </is>
      </c>
      <c r="N39" t="inlineStr">
        <is>
          <t>input_text</t>
        </is>
      </c>
      <c r="O39" t="inlineStr">
        <is>
          <t>input</t>
        </is>
      </c>
      <c r="P39" t="inlineStr">
        <is>
          <t>Название позиции динамической таблицы</t>
        </is>
      </c>
      <c r="Q39" t="inlineStr">
        <is>
          <t>Свободный текст</t>
        </is>
      </c>
      <c r="R39" t="inlineStr">
        <is>
          <t>Камера, объектив, свет и аксессуары</t>
        </is>
      </c>
      <c r="U39" t="inlineStr">
        <is>
          <t>catalog</t>
        </is>
      </c>
      <c r="V39" t="inlineStr">
        <is>
          <t>Служебные данные</t>
        </is>
      </c>
      <c r="W39" t="inlineStr">
        <is>
          <t>Каталог</t>
        </is>
      </c>
      <c r="Y39" t="inlineStr">
        <is>
          <t>строка CAT/DOM .c1</t>
        </is>
      </c>
      <c r="Z39" t="inlineStr">
        <is>
          <t>вводные отчёта</t>
        </is>
      </c>
      <c r="AA39" t="inlineStr">
        <is>
          <t>НЕТ — добавить в глоссарий</t>
        </is>
      </c>
      <c r="AB39" s="229" t="n"/>
    </row>
    <row r="40">
      <c r="A40" t="inlineStr">
        <is>
          <t>18</t>
        </is>
      </c>
      <c r="B40" t="inlineStr">
        <is>
          <t>PAGE-CALC</t>
        </is>
      </c>
      <c r="C40" t="inlineStr">
        <is>
          <t>Анкета · calc.html</t>
        </is>
      </c>
      <c r="D40" t="inlineStr">
        <is>
          <t>9</t>
        </is>
      </c>
      <c r="E40" t="inlineStr">
        <is>
          <t>CALC-B09</t>
        </is>
      </c>
      <c r="F40" t="inlineStr">
        <is>
          <t>09</t>
        </is>
      </c>
      <c r="G40" t="inlineStr">
        <is>
          <t>Съёмочное оборудование</t>
        </is>
      </c>
      <c r="H40" t="inlineStr">
        <is>
          <t>CALC-F09</t>
        </is>
      </c>
      <c r="I40" t="inlineStr">
        <is>
          <t>Съёмочное оборудование</t>
        </is>
      </c>
      <c r="J40" t="inlineStr">
        <is>
          <t>CALC-F09-003</t>
        </is>
      </c>
      <c r="K40" t="inlineStr">
        <is>
          <t>Form001.price</t>
        </is>
      </c>
      <c r="L40" t="inlineStr">
        <is>
          <t>Form001.price</t>
        </is>
      </c>
      <c r="M40" t="inlineStr">
        <is>
          <t>Стоимость / платёж</t>
        </is>
      </c>
      <c r="N40" t="inlineStr">
        <is>
          <t>input_number</t>
        </is>
      </c>
      <c r="O40" t="inlineStr">
        <is>
          <t>input</t>
        </is>
      </c>
      <c r="P40" t="inlineStr">
        <is>
          <t>Цена покупки или одного платежа</t>
        </is>
      </c>
      <c r="Q40" t="inlineStr">
        <is>
          <t>Число 0 или больше</t>
        </is>
      </c>
      <c r="S40" t="inlineStr">
        <is>
          <t>₽</t>
        </is>
      </c>
      <c r="U40" t="inlineStr">
        <is>
          <t>catalog</t>
        </is>
      </c>
      <c r="V40" t="inlineStr">
        <is>
          <t>Деньги</t>
        </is>
      </c>
      <c r="W40" t="inlineStr">
        <is>
          <t>Съёмочное оборудование</t>
        </is>
      </c>
      <c r="Y40" t="inlineStr">
        <is>
          <t>DOM .c2</t>
        </is>
      </c>
      <c r="Z40" t="inlineStr">
        <is>
          <t>расходы</t>
        </is>
      </c>
      <c r="AA40" t="inlineStr">
        <is>
          <t>да</t>
        </is>
      </c>
      <c r="AB40" s="229" t="inlineStr">
        <is>
          <t>RULE-011; RULE-018</t>
        </is>
      </c>
    </row>
    <row r="41">
      <c r="A41" t="inlineStr">
        <is>
          <t>19</t>
        </is>
      </c>
      <c r="B41" t="inlineStr">
        <is>
          <t>PAGE-CALC</t>
        </is>
      </c>
      <c r="C41" t="inlineStr">
        <is>
          <t>Анкета · calc.html</t>
        </is>
      </c>
      <c r="D41" t="inlineStr">
        <is>
          <t>9</t>
        </is>
      </c>
      <c r="E41" t="inlineStr">
        <is>
          <t>CALC-B09</t>
        </is>
      </c>
      <c r="F41" t="inlineStr">
        <is>
          <t>09</t>
        </is>
      </c>
      <c r="G41" t="inlineStr">
        <is>
          <t>Съёмочное оборудование</t>
        </is>
      </c>
      <c r="H41" t="inlineStr">
        <is>
          <t>CALC-F09</t>
        </is>
      </c>
      <c r="I41" t="inlineStr">
        <is>
          <t>Съёмочное оборудование</t>
        </is>
      </c>
      <c r="J41" t="inlineStr">
        <is>
          <t>CALC-F09-004</t>
        </is>
      </c>
      <c r="K41" t="inlineStr">
        <is>
          <t>Form001.term</t>
        </is>
      </c>
      <c r="L41" t="inlineStr">
        <is>
          <t>Form001.term</t>
        </is>
      </c>
      <c r="M41" t="inlineStr">
        <is>
          <t>Срок / период</t>
        </is>
      </c>
      <c r="N41" t="inlineStr">
        <is>
          <t>input_number</t>
        </is>
      </c>
      <c r="O41" t="inlineStr">
        <is>
          <t>input</t>
        </is>
      </c>
      <c r="P41" t="inlineStr">
        <is>
          <t>Срок службы либо число платежей за год</t>
        </is>
      </c>
      <c r="Q41" t="inlineStr">
        <is>
          <t>лет или Год/Квартал/Месяц</t>
        </is>
      </c>
      <c r="S41" t="inlineStr">
        <is>
          <t>лет / период</t>
        </is>
      </c>
      <c r="U41" t="inlineStr">
        <is>
          <t>catalog</t>
        </is>
      </c>
      <c r="V41" t="inlineStr">
        <is>
          <t>Деньги</t>
        </is>
      </c>
      <c r="W41" t="inlineStr">
        <is>
          <t>Съёмочное оборудование</t>
        </is>
      </c>
      <c r="Y41" t="inlineStr">
        <is>
          <t>DOM .c3</t>
        </is>
      </c>
      <c r="Z41" t="inlineStr">
        <is>
          <t>расходы</t>
        </is>
      </c>
      <c r="AA41" t="inlineStr">
        <is>
          <t>да</t>
        </is>
      </c>
      <c r="AB41" s="229" t="inlineStr">
        <is>
          <t>RULE-008</t>
        </is>
      </c>
    </row>
    <row r="42">
      <c r="A42" t="inlineStr">
        <is>
          <t>БЛОК · Офисное оборудование [CALC-B10]</t>
        </is>
      </c>
      <c r="AB42" s="229" t="n"/>
    </row>
    <row r="43">
      <c r="A43" t="inlineStr">
        <is>
          <t>№</t>
        </is>
      </c>
      <c r="B43" t="inlineStr">
        <is>
          <t>Страница ID</t>
        </is>
      </c>
      <c r="C43" t="inlineStr">
        <is>
          <t>Страница</t>
        </is>
      </c>
      <c r="D43" t="inlineStr">
        <is>
          <t>Порядок</t>
        </is>
      </c>
      <c r="E43" t="inlineStr">
        <is>
          <t>Блок ID</t>
        </is>
      </c>
      <c r="F43" t="inlineStr">
        <is>
          <t>№ блока</t>
        </is>
      </c>
      <c r="G43" t="inlineStr">
        <is>
          <t>Название блока</t>
        </is>
      </c>
      <c r="H43" t="inlineStr">
        <is>
          <t>Форма ID</t>
        </is>
      </c>
      <c r="I43" t="inlineStr">
        <is>
          <t>Название формы</t>
        </is>
      </c>
      <c r="J43" t="inlineStr">
        <is>
          <t>Поле ID реестра</t>
        </is>
      </c>
      <c r="K43" t="inlineStr">
        <is>
          <t>DOM / код ID</t>
        </is>
      </c>
      <c r="L43" t="inlineStr">
        <is>
          <t>Параметр модели</t>
        </is>
      </c>
      <c r="M43" t="inlineStr">
        <is>
          <t>Наименование поля</t>
        </is>
      </c>
      <c r="N43" t="inlineStr">
        <is>
          <t>Тип поля</t>
        </is>
      </c>
      <c r="O43" t="inlineStr">
        <is>
          <t>Роль</t>
        </is>
      </c>
      <c r="P43" t="inlineStr">
        <is>
          <t>Что вводим / что означает</t>
        </is>
      </c>
      <c r="Q43" t="inlineStr">
        <is>
          <t>Допустимые ответы / варианты</t>
        </is>
      </c>
      <c r="R43" t="inlineStr">
        <is>
          <t>По умолчанию</t>
        </is>
      </c>
      <c r="S43" t="inlineStr">
        <is>
          <t>Единица</t>
        </is>
      </c>
      <c r="T43" t="inlineStr">
        <is>
          <t>Условие показа / включения</t>
        </is>
      </c>
      <c r="U43" t="inlineStr">
        <is>
          <t>Поле результата d</t>
        </is>
      </c>
      <c r="V43" t="inlineStr">
        <is>
          <t>Группа результата</t>
        </is>
      </c>
      <c r="W43" t="inlineStr">
        <is>
          <t>Подгруппа результата</t>
        </is>
      </c>
      <c r="X43" t="inlineStr">
        <is>
          <t>Группа диаграммы</t>
        </is>
      </c>
      <c r="Y43" t="inlineStr">
        <is>
          <t>Формула / источник</t>
        </is>
      </c>
      <c r="Z43" t="inlineStr">
        <is>
          <t>Где выводится</t>
        </is>
      </c>
      <c r="AA43" t="inlineStr">
        <is>
          <t>Тип есть в глоссарии</t>
        </is>
      </c>
      <c r="AB43" s="229" t="inlineStr">
        <is>
          <t>Правило ID</t>
        </is>
      </c>
    </row>
    <row r="44">
      <c r="A44" t="inlineStr">
        <is>
          <t>20</t>
        </is>
      </c>
      <c r="B44" t="inlineStr">
        <is>
          <t>PAGE-CALC</t>
        </is>
      </c>
      <c r="C44" t="inlineStr">
        <is>
          <t>Анкета · calc.html</t>
        </is>
      </c>
      <c r="D44" t="inlineStr">
        <is>
          <t>10</t>
        </is>
      </c>
      <c r="E44" t="inlineStr">
        <is>
          <t>CALC-B10</t>
        </is>
      </c>
      <c r="F44" t="inlineStr">
        <is>
          <t>10</t>
        </is>
      </c>
      <c r="G44" t="inlineStr">
        <is>
          <t>Офисное оборудование</t>
        </is>
      </c>
      <c r="H44" t="inlineStr">
        <is>
          <t>CALC-F10</t>
        </is>
      </c>
      <c r="I44" t="inlineStr">
        <is>
          <t>Офисное оборудование</t>
        </is>
      </c>
      <c r="J44" t="inlineStr">
        <is>
          <t>CALC-F10-001</t>
        </is>
      </c>
      <c r="K44" t="inlineStr">
        <is>
          <t>data-exc=Form002</t>
        </is>
      </c>
      <c r="L44" t="inlineStr">
        <is>
          <t>use_Form002</t>
        </is>
      </c>
      <c r="M44" t="inlineStr">
        <is>
          <t>Учитывать офисное оборудование</t>
        </is>
      </c>
      <c r="N44" t="inlineStr">
        <is>
          <t>exclude_checkbox</t>
        </is>
      </c>
      <c r="O44" t="inlineStr">
        <is>
          <t>choice</t>
        </is>
      </c>
      <c r="P44" t="inlineStr">
        <is>
          <t>Включает или исключает весь каталог</t>
        </is>
      </c>
      <c r="Q44" t="inlineStr">
        <is>
          <t>учитывать / не учитывать</t>
        </is>
      </c>
      <c r="R44" t="inlineStr">
        <is>
          <t>учитывать</t>
        </is>
      </c>
      <c r="V44" t="inlineStr">
        <is>
          <t>Вложения и инвестиции</t>
        </is>
      </c>
      <c r="W44" t="inlineStr">
        <is>
          <t>Офисное оборудование</t>
        </is>
      </c>
      <c r="Y44" t="inlineStr">
        <is>
          <t>EXC.Form002</t>
        </is>
      </c>
      <c r="Z44" t="inlineStr">
        <is>
          <t>анкета</t>
        </is>
      </c>
      <c r="AA44" t="inlineStr">
        <is>
          <t>да</t>
        </is>
      </c>
      <c r="AB44" s="229" t="inlineStr">
        <is>
          <t>RULE-004; RULE-006</t>
        </is>
      </c>
    </row>
    <row r="45">
      <c r="A45" t="inlineStr">
        <is>
          <t>21</t>
        </is>
      </c>
      <c r="B45" t="inlineStr">
        <is>
          <t>PAGE-CALC</t>
        </is>
      </c>
      <c r="C45" t="inlineStr">
        <is>
          <t>Анкета · calc.html</t>
        </is>
      </c>
      <c r="D45" t="inlineStr">
        <is>
          <t>10</t>
        </is>
      </c>
      <c r="E45" t="inlineStr">
        <is>
          <t>CALC-B10</t>
        </is>
      </c>
      <c r="F45" t="inlineStr">
        <is>
          <t>10</t>
        </is>
      </c>
      <c r="G45" t="inlineStr">
        <is>
          <t>Офисное оборудование</t>
        </is>
      </c>
      <c r="H45" t="inlineStr">
        <is>
          <t>CALC-F10</t>
        </is>
      </c>
      <c r="I45" t="inlineStr">
        <is>
          <t>Офисное оборудование</t>
        </is>
      </c>
      <c r="J45" t="inlineStr">
        <is>
          <t>CALC-F10-002</t>
        </is>
      </c>
      <c r="K45" t="inlineStr">
        <is>
          <t>Form002.item_name</t>
        </is>
      </c>
      <c r="L45" t="inlineStr">
        <is>
          <t>Form002.name</t>
        </is>
      </c>
      <c r="M45" t="inlineStr">
        <is>
          <t>Наименование позиции</t>
        </is>
      </c>
      <c r="N45" t="inlineStr">
        <is>
          <t>input_text</t>
        </is>
      </c>
      <c r="O45" t="inlineStr">
        <is>
          <t>input</t>
        </is>
      </c>
      <c r="P45" t="inlineStr">
        <is>
          <t>Название позиции динамической таблицы</t>
        </is>
      </c>
      <c r="Q45" t="inlineStr">
        <is>
          <t>Свободный текст</t>
        </is>
      </c>
      <c r="R45" t="inlineStr">
        <is>
          <t>Компьютер и периферия</t>
        </is>
      </c>
      <c r="U45" t="inlineStr">
        <is>
          <t>catalog</t>
        </is>
      </c>
      <c r="V45" t="inlineStr">
        <is>
          <t>Служебные данные</t>
        </is>
      </c>
      <c r="W45" t="inlineStr">
        <is>
          <t>Каталог</t>
        </is>
      </c>
      <c r="Y45" t="inlineStr">
        <is>
          <t>строка CAT/DOM .c1</t>
        </is>
      </c>
      <c r="Z45" t="inlineStr">
        <is>
          <t>вводные отчёта</t>
        </is>
      </c>
      <c r="AA45" t="inlineStr">
        <is>
          <t>НЕТ — добавить в глоссарий</t>
        </is>
      </c>
      <c r="AB45" s="229" t="n"/>
    </row>
    <row r="46">
      <c r="A46" t="inlineStr">
        <is>
          <t>22</t>
        </is>
      </c>
      <c r="B46" t="inlineStr">
        <is>
          <t>PAGE-CALC</t>
        </is>
      </c>
      <c r="C46" t="inlineStr">
        <is>
          <t>Анкета · calc.html</t>
        </is>
      </c>
      <c r="D46" t="inlineStr">
        <is>
          <t>10</t>
        </is>
      </c>
      <c r="E46" t="inlineStr">
        <is>
          <t>CALC-B10</t>
        </is>
      </c>
      <c r="F46" t="inlineStr">
        <is>
          <t>10</t>
        </is>
      </c>
      <c r="G46" t="inlineStr">
        <is>
          <t>Офисное оборудование</t>
        </is>
      </c>
      <c r="H46" t="inlineStr">
        <is>
          <t>CALC-F10</t>
        </is>
      </c>
      <c r="I46" t="inlineStr">
        <is>
          <t>Офисное оборудование</t>
        </is>
      </c>
      <c r="J46" t="inlineStr">
        <is>
          <t>CALC-F10-003</t>
        </is>
      </c>
      <c r="K46" t="inlineStr">
        <is>
          <t>Form002.price</t>
        </is>
      </c>
      <c r="L46" t="inlineStr">
        <is>
          <t>Form002.price</t>
        </is>
      </c>
      <c r="M46" t="inlineStr">
        <is>
          <t>Стоимость / платёж</t>
        </is>
      </c>
      <c r="N46" t="inlineStr">
        <is>
          <t>input_number</t>
        </is>
      </c>
      <c r="O46" t="inlineStr">
        <is>
          <t>input</t>
        </is>
      </c>
      <c r="P46" t="inlineStr">
        <is>
          <t>Цена покупки или одного платежа</t>
        </is>
      </c>
      <c r="Q46" t="inlineStr">
        <is>
          <t>Число 0 или больше</t>
        </is>
      </c>
      <c r="S46" t="inlineStr">
        <is>
          <t>₽</t>
        </is>
      </c>
      <c r="U46" t="inlineStr">
        <is>
          <t>catalog</t>
        </is>
      </c>
      <c r="V46" t="inlineStr">
        <is>
          <t>Деньги</t>
        </is>
      </c>
      <c r="W46" t="inlineStr">
        <is>
          <t>Офисное оборудование</t>
        </is>
      </c>
      <c r="Y46" t="inlineStr">
        <is>
          <t>DOM .c2</t>
        </is>
      </c>
      <c r="Z46" t="inlineStr">
        <is>
          <t>расходы</t>
        </is>
      </c>
      <c r="AA46" t="inlineStr">
        <is>
          <t>да</t>
        </is>
      </c>
      <c r="AB46" s="229" t="inlineStr">
        <is>
          <t>RULE-011; RULE-018</t>
        </is>
      </c>
    </row>
    <row r="47">
      <c r="A47" t="inlineStr">
        <is>
          <t>23</t>
        </is>
      </c>
      <c r="B47" t="inlineStr">
        <is>
          <t>PAGE-CALC</t>
        </is>
      </c>
      <c r="C47" t="inlineStr">
        <is>
          <t>Анкета · calc.html</t>
        </is>
      </c>
      <c r="D47" t="inlineStr">
        <is>
          <t>10</t>
        </is>
      </c>
      <c r="E47" t="inlineStr">
        <is>
          <t>CALC-B10</t>
        </is>
      </c>
      <c r="F47" t="inlineStr">
        <is>
          <t>10</t>
        </is>
      </c>
      <c r="G47" t="inlineStr">
        <is>
          <t>Офисное оборудование</t>
        </is>
      </c>
      <c r="H47" t="inlineStr">
        <is>
          <t>CALC-F10</t>
        </is>
      </c>
      <c r="I47" t="inlineStr">
        <is>
          <t>Офисное оборудование</t>
        </is>
      </c>
      <c r="J47" t="inlineStr">
        <is>
          <t>CALC-F10-004</t>
        </is>
      </c>
      <c r="K47" t="inlineStr">
        <is>
          <t>Form002.term</t>
        </is>
      </c>
      <c r="L47" t="inlineStr">
        <is>
          <t>Form002.term</t>
        </is>
      </c>
      <c r="M47" t="inlineStr">
        <is>
          <t>Срок / период</t>
        </is>
      </c>
      <c r="N47" t="inlineStr">
        <is>
          <t>input_number</t>
        </is>
      </c>
      <c r="O47" t="inlineStr">
        <is>
          <t>input</t>
        </is>
      </c>
      <c r="P47" t="inlineStr">
        <is>
          <t>Срок службы либо число платежей за год</t>
        </is>
      </c>
      <c r="Q47" t="inlineStr">
        <is>
          <t>лет или Год/Квартал/Месяц</t>
        </is>
      </c>
      <c r="S47" t="inlineStr">
        <is>
          <t>лет / период</t>
        </is>
      </c>
      <c r="U47" t="inlineStr">
        <is>
          <t>catalog</t>
        </is>
      </c>
      <c r="V47" t="inlineStr">
        <is>
          <t>Деньги</t>
        </is>
      </c>
      <c r="W47" t="inlineStr">
        <is>
          <t>Офисное оборудование</t>
        </is>
      </c>
      <c r="Y47" t="inlineStr">
        <is>
          <t>DOM .c3</t>
        </is>
      </c>
      <c r="Z47" t="inlineStr">
        <is>
          <t>расходы</t>
        </is>
      </c>
      <c r="AA47" t="inlineStr">
        <is>
          <t>да</t>
        </is>
      </c>
      <c r="AB47" s="229" t="inlineStr">
        <is>
          <t>RULE-008</t>
        </is>
      </c>
    </row>
    <row r="48">
      <c r="A48" t="inlineStr">
        <is>
          <t>БЛОК · Программное обеспечение [CALC-B11]</t>
        </is>
      </c>
      <c r="AB48" s="229" t="n"/>
    </row>
    <row r="49">
      <c r="A49" t="inlineStr">
        <is>
          <t>№</t>
        </is>
      </c>
      <c r="B49" t="inlineStr">
        <is>
          <t>Страница ID</t>
        </is>
      </c>
      <c r="C49" t="inlineStr">
        <is>
          <t>Страница</t>
        </is>
      </c>
      <c r="D49" t="inlineStr">
        <is>
          <t>Порядок</t>
        </is>
      </c>
      <c r="E49" t="inlineStr">
        <is>
          <t>Блок ID</t>
        </is>
      </c>
      <c r="F49" t="inlineStr">
        <is>
          <t>№ блока</t>
        </is>
      </c>
      <c r="G49" t="inlineStr">
        <is>
          <t>Название блока</t>
        </is>
      </c>
      <c r="H49" t="inlineStr">
        <is>
          <t>Форма ID</t>
        </is>
      </c>
      <c r="I49" t="inlineStr">
        <is>
          <t>Название формы</t>
        </is>
      </c>
      <c r="J49" t="inlineStr">
        <is>
          <t>Поле ID реестра</t>
        </is>
      </c>
      <c r="K49" t="inlineStr">
        <is>
          <t>DOM / код ID</t>
        </is>
      </c>
      <c r="L49" t="inlineStr">
        <is>
          <t>Параметр модели</t>
        </is>
      </c>
      <c r="M49" t="inlineStr">
        <is>
          <t>Наименование поля</t>
        </is>
      </c>
      <c r="N49" t="inlineStr">
        <is>
          <t>Тип поля</t>
        </is>
      </c>
      <c r="O49" t="inlineStr">
        <is>
          <t>Роль</t>
        </is>
      </c>
      <c r="P49" t="inlineStr">
        <is>
          <t>Что вводим / что означает</t>
        </is>
      </c>
      <c r="Q49" t="inlineStr">
        <is>
          <t>Допустимые ответы / варианты</t>
        </is>
      </c>
      <c r="R49" t="inlineStr">
        <is>
          <t>По умолчанию</t>
        </is>
      </c>
      <c r="S49" t="inlineStr">
        <is>
          <t>Единица</t>
        </is>
      </c>
      <c r="T49" t="inlineStr">
        <is>
          <t>Условие показа / включения</t>
        </is>
      </c>
      <c r="U49" t="inlineStr">
        <is>
          <t>Поле результата d</t>
        </is>
      </c>
      <c r="V49" t="inlineStr">
        <is>
          <t>Группа результата</t>
        </is>
      </c>
      <c r="W49" t="inlineStr">
        <is>
          <t>Подгруппа результата</t>
        </is>
      </c>
      <c r="X49" t="inlineStr">
        <is>
          <t>Группа диаграммы</t>
        </is>
      </c>
      <c r="Y49" t="inlineStr">
        <is>
          <t>Формула / источник</t>
        </is>
      </c>
      <c r="Z49" t="inlineStr">
        <is>
          <t>Где выводится</t>
        </is>
      </c>
      <c r="AA49" t="inlineStr">
        <is>
          <t>Тип есть в глоссарии</t>
        </is>
      </c>
      <c r="AB49" s="229" t="inlineStr">
        <is>
          <t>Правило ID</t>
        </is>
      </c>
    </row>
    <row r="50">
      <c r="A50" t="inlineStr">
        <is>
          <t>24</t>
        </is>
      </c>
      <c r="B50" t="inlineStr">
        <is>
          <t>PAGE-CALC</t>
        </is>
      </c>
      <c r="C50" t="inlineStr">
        <is>
          <t>Анкета · calc.html</t>
        </is>
      </c>
      <c r="D50" t="inlineStr">
        <is>
          <t>11</t>
        </is>
      </c>
      <c r="E50" t="inlineStr">
        <is>
          <t>CALC-B11</t>
        </is>
      </c>
      <c r="F50" t="inlineStr">
        <is>
          <t>11</t>
        </is>
      </c>
      <c r="G50" t="inlineStr">
        <is>
          <t>Программное обеспечение</t>
        </is>
      </c>
      <c r="H50" t="inlineStr">
        <is>
          <t>CALC-F11</t>
        </is>
      </c>
      <c r="I50" t="inlineStr">
        <is>
          <t>Программное обеспечение</t>
        </is>
      </c>
      <c r="J50" t="inlineStr">
        <is>
          <t>CALC-F11-001</t>
        </is>
      </c>
      <c r="K50" t="inlineStr">
        <is>
          <t>data-exc=Form008b</t>
        </is>
      </c>
      <c r="L50" t="inlineStr">
        <is>
          <t>use_Form008b</t>
        </is>
      </c>
      <c r="M50" t="inlineStr">
        <is>
          <t>Учитывать программное обеспечение</t>
        </is>
      </c>
      <c r="N50" t="inlineStr">
        <is>
          <t>exclude_checkbox</t>
        </is>
      </c>
      <c r="O50" t="inlineStr">
        <is>
          <t>choice</t>
        </is>
      </c>
      <c r="P50" t="inlineStr">
        <is>
          <t>Включает или исключает оба каталога ПО</t>
        </is>
      </c>
      <c r="Q50" t="inlineStr">
        <is>
          <t>учитывать / не учитывать</t>
        </is>
      </c>
      <c r="R50" t="inlineStr">
        <is>
          <t>учитывать</t>
        </is>
      </c>
      <c r="V50" t="inlineStr">
        <is>
          <t>Переменные расходы</t>
        </is>
      </c>
      <c r="W50" t="inlineStr">
        <is>
          <t>ПО</t>
        </is>
      </c>
      <c r="Y50" t="inlineStr">
        <is>
          <t>EXC.Form008b</t>
        </is>
      </c>
      <c r="Z50" t="inlineStr">
        <is>
          <t>анкета</t>
        </is>
      </c>
      <c r="AA50" t="inlineStr">
        <is>
          <t>да</t>
        </is>
      </c>
      <c r="AB50" s="229" t="inlineStr">
        <is>
          <t>RULE-004; RULE-006</t>
        </is>
      </c>
    </row>
    <row r="51">
      <c r="A51" t="inlineStr">
        <is>
          <t>25</t>
        </is>
      </c>
      <c r="B51" t="inlineStr">
        <is>
          <t>PAGE-CALC</t>
        </is>
      </c>
      <c r="C51" t="inlineStr">
        <is>
          <t>Анкета · calc.html</t>
        </is>
      </c>
      <c r="D51" t="inlineStr">
        <is>
          <t>11</t>
        </is>
      </c>
      <c r="E51" t="inlineStr">
        <is>
          <t>CALC-B11</t>
        </is>
      </c>
      <c r="F51" t="inlineStr">
        <is>
          <t>11</t>
        </is>
      </c>
      <c r="G51" t="inlineStr">
        <is>
          <t>Программное обеспечение</t>
        </is>
      </c>
      <c r="H51" t="inlineStr">
        <is>
          <t>CALC-F11</t>
        </is>
      </c>
      <c r="I51" t="inlineStr">
        <is>
          <t>Программное обеспечение</t>
        </is>
      </c>
      <c r="J51" t="inlineStr">
        <is>
          <t>CALC-F11-002</t>
        </is>
      </c>
      <c r="K51" t="inlineStr">
        <is>
          <t>Form003.item_name</t>
        </is>
      </c>
      <c r="L51" t="inlineStr">
        <is>
          <t>Form003.name</t>
        </is>
      </c>
      <c r="M51" t="inlineStr">
        <is>
          <t>Наименование ПО</t>
        </is>
      </c>
      <c r="N51" t="inlineStr">
        <is>
          <t>input_text</t>
        </is>
      </c>
      <c r="O51" t="inlineStr">
        <is>
          <t>input</t>
        </is>
      </c>
      <c r="P51" t="inlineStr">
        <is>
          <t>Название программы или сервиса</t>
        </is>
      </c>
      <c r="Q51" t="inlineStr">
        <is>
          <t>Свободный текст</t>
        </is>
      </c>
      <c r="U51" t="inlineStr">
        <is>
          <t>catalog</t>
        </is>
      </c>
      <c r="V51" t="inlineStr">
        <is>
          <t>Служебные данные</t>
        </is>
      </c>
      <c r="W51" t="inlineStr">
        <is>
          <t>Каталог</t>
        </is>
      </c>
      <c r="Y51" t="inlineStr">
        <is>
          <t>DOM .c1</t>
        </is>
      </c>
      <c r="Z51" t="inlineStr">
        <is>
          <t>вводные отчёта</t>
        </is>
      </c>
      <c r="AA51" t="inlineStr">
        <is>
          <t>НЕТ — добавить в глоссарий</t>
        </is>
      </c>
      <c r="AB51" s="229" t="n"/>
    </row>
    <row r="52">
      <c r="A52" t="inlineStr">
        <is>
          <t>26</t>
        </is>
      </c>
      <c r="B52" t="inlineStr">
        <is>
          <t>PAGE-CALC</t>
        </is>
      </c>
      <c r="C52" t="inlineStr">
        <is>
          <t>Анкета · calc.html</t>
        </is>
      </c>
      <c r="D52" t="inlineStr">
        <is>
          <t>11</t>
        </is>
      </c>
      <c r="E52" t="inlineStr">
        <is>
          <t>CALC-B11</t>
        </is>
      </c>
      <c r="F52" t="inlineStr">
        <is>
          <t>11</t>
        </is>
      </c>
      <c r="G52" t="inlineStr">
        <is>
          <t>Программное обеспечение</t>
        </is>
      </c>
      <c r="H52" t="inlineStr">
        <is>
          <t>CALC-F11</t>
        </is>
      </c>
      <c r="I52" t="inlineStr">
        <is>
          <t>Программное обеспечение</t>
        </is>
      </c>
      <c r="J52" t="inlineStr">
        <is>
          <t>CALC-F11-003</t>
        </is>
      </c>
      <c r="K52" t="inlineStr">
        <is>
          <t>Form003.price</t>
        </is>
      </c>
      <c r="L52" t="inlineStr">
        <is>
          <t>Form003.price</t>
        </is>
      </c>
      <c r="M52" t="inlineStr">
        <is>
          <t>Стоимость</t>
        </is>
      </c>
      <c r="N52" t="inlineStr">
        <is>
          <t>input_number</t>
        </is>
      </c>
      <c r="O52" t="inlineStr">
        <is>
          <t>input</t>
        </is>
      </c>
      <c r="P52" t="inlineStr">
        <is>
          <t>Стоимость покупки или платежа</t>
        </is>
      </c>
      <c r="Q52" t="inlineStr">
        <is>
          <t>Число 0 или больше</t>
        </is>
      </c>
      <c r="S52" t="inlineStr">
        <is>
          <t>₽</t>
        </is>
      </c>
      <c r="U52" t="inlineStr">
        <is>
          <t>catalog</t>
        </is>
      </c>
      <c r="V52" t="inlineStr">
        <is>
          <t>Деньги</t>
        </is>
      </c>
      <c r="W52" t="inlineStr">
        <is>
          <t>Подписки и сервисы</t>
        </is>
      </c>
      <c r="Y52" t="inlineStr">
        <is>
          <t>DOM .c2</t>
        </is>
      </c>
      <c r="Z52" t="inlineStr">
        <is>
          <t>расходы</t>
        </is>
      </c>
      <c r="AA52" t="inlineStr">
        <is>
          <t>да</t>
        </is>
      </c>
      <c r="AB52" s="229" t="inlineStr">
        <is>
          <t>RULE-011; RULE-018</t>
        </is>
      </c>
    </row>
    <row r="53">
      <c r="A53" t="inlineStr">
        <is>
          <t>27</t>
        </is>
      </c>
      <c r="B53" t="inlineStr">
        <is>
          <t>PAGE-CALC</t>
        </is>
      </c>
      <c r="C53" t="inlineStr">
        <is>
          <t>Анкета · calc.html</t>
        </is>
      </c>
      <c r="D53" t="inlineStr">
        <is>
          <t>11</t>
        </is>
      </c>
      <c r="E53" t="inlineStr">
        <is>
          <t>CALC-B11</t>
        </is>
      </c>
      <c r="F53" t="inlineStr">
        <is>
          <t>11</t>
        </is>
      </c>
      <c r="G53" t="inlineStr">
        <is>
          <t>Программное обеспечение</t>
        </is>
      </c>
      <c r="H53" t="inlineStr">
        <is>
          <t>CALC-F11</t>
        </is>
      </c>
      <c r="I53" t="inlineStr">
        <is>
          <t>Программное обеспечение</t>
        </is>
      </c>
      <c r="J53" t="inlineStr">
        <is>
          <t>CALC-F11-004</t>
        </is>
      </c>
      <c r="K53" t="inlineStr">
        <is>
          <t>Form003.term</t>
        </is>
      </c>
      <c r="L53" t="inlineStr">
        <is>
          <t>Form003.term</t>
        </is>
      </c>
      <c r="M53" t="inlineStr">
        <is>
          <t>Срок / период</t>
        </is>
      </c>
      <c r="N53" t="inlineStr">
        <is>
          <t>dropdown</t>
        </is>
      </c>
      <c r="O53" t="inlineStr">
        <is>
          <t>choice</t>
        </is>
      </c>
      <c r="P53" t="inlineStr">
        <is>
          <t>Срок службы либо период платежа</t>
        </is>
      </c>
      <c r="Q53" t="inlineStr">
        <is>
          <t>лет или Год/Квартал/Месяц</t>
        </is>
      </c>
      <c r="U53" t="inlineStr">
        <is>
          <t>catalog</t>
        </is>
      </c>
      <c r="V53" t="inlineStr">
        <is>
          <t>Деньги</t>
        </is>
      </c>
      <c r="W53" t="inlineStr">
        <is>
          <t>Подписки и сервисы</t>
        </is>
      </c>
      <c r="Y53" t="inlineStr">
        <is>
          <t>DOM .c3</t>
        </is>
      </c>
      <c r="Z53" t="inlineStr">
        <is>
          <t>расходы</t>
        </is>
      </c>
      <c r="AA53" t="inlineStr">
        <is>
          <t>да</t>
        </is>
      </c>
      <c r="AB53" s="229" t="inlineStr">
        <is>
          <t>RULE-008</t>
        </is>
      </c>
    </row>
    <row r="54">
      <c r="A54" t="inlineStr">
        <is>
          <t>28</t>
        </is>
      </c>
      <c r="B54" t="inlineStr">
        <is>
          <t>PAGE-CALC</t>
        </is>
      </c>
      <c r="C54" t="inlineStr">
        <is>
          <t>Анкета · calc.html</t>
        </is>
      </c>
      <c r="D54" t="inlineStr">
        <is>
          <t>11</t>
        </is>
      </c>
      <c r="E54" t="inlineStr">
        <is>
          <t>CALC-B11</t>
        </is>
      </c>
      <c r="F54" t="inlineStr">
        <is>
          <t>11</t>
        </is>
      </c>
      <c r="G54" t="inlineStr">
        <is>
          <t>Программное обеспечение</t>
        </is>
      </c>
      <c r="H54" t="inlineStr">
        <is>
          <t>CALC-F11</t>
        </is>
      </c>
      <c r="I54" t="inlineStr">
        <is>
          <t>Программное обеспечение</t>
        </is>
      </c>
      <c r="J54" t="inlineStr">
        <is>
          <t>CALC-F11-005</t>
        </is>
      </c>
      <c r="K54" t="inlineStr">
        <is>
          <t>Form004.item_name</t>
        </is>
      </c>
      <c r="L54" t="inlineStr">
        <is>
          <t>Form004.name</t>
        </is>
      </c>
      <c r="M54" t="inlineStr">
        <is>
          <t>Наименование ПО</t>
        </is>
      </c>
      <c r="N54" t="inlineStr">
        <is>
          <t>input_text</t>
        </is>
      </c>
      <c r="O54" t="inlineStr">
        <is>
          <t>input</t>
        </is>
      </c>
      <c r="P54" t="inlineStr">
        <is>
          <t>Название программы или сервиса</t>
        </is>
      </c>
      <c r="Q54" t="inlineStr">
        <is>
          <t>Свободный текст</t>
        </is>
      </c>
      <c r="U54" t="inlineStr">
        <is>
          <t>catalog</t>
        </is>
      </c>
      <c r="V54" t="inlineStr">
        <is>
          <t>Служебные данные</t>
        </is>
      </c>
      <c r="W54" t="inlineStr">
        <is>
          <t>Каталог</t>
        </is>
      </c>
      <c r="Y54" t="inlineStr">
        <is>
          <t>DOM .c1</t>
        </is>
      </c>
      <c r="Z54" t="inlineStr">
        <is>
          <t>вводные отчёта</t>
        </is>
      </c>
      <c r="AA54" t="inlineStr">
        <is>
          <t>НЕТ — добавить в глоссарий</t>
        </is>
      </c>
      <c r="AB54" s="229" t="n"/>
    </row>
    <row r="55">
      <c r="A55" t="inlineStr">
        <is>
          <t>29</t>
        </is>
      </c>
      <c r="B55" t="inlineStr">
        <is>
          <t>PAGE-CALC</t>
        </is>
      </c>
      <c r="C55" t="inlineStr">
        <is>
          <t>Анкета · calc.html</t>
        </is>
      </c>
      <c r="D55" t="inlineStr">
        <is>
          <t>11</t>
        </is>
      </c>
      <c r="E55" t="inlineStr">
        <is>
          <t>CALC-B11</t>
        </is>
      </c>
      <c r="F55" t="inlineStr">
        <is>
          <t>11</t>
        </is>
      </c>
      <c r="G55" t="inlineStr">
        <is>
          <t>Программное обеспечение</t>
        </is>
      </c>
      <c r="H55" t="inlineStr">
        <is>
          <t>CALC-F11</t>
        </is>
      </c>
      <c r="I55" t="inlineStr">
        <is>
          <t>Программное обеспечение</t>
        </is>
      </c>
      <c r="J55" t="inlineStr">
        <is>
          <t>CALC-F11-006</t>
        </is>
      </c>
      <c r="K55" t="inlineStr">
        <is>
          <t>Form004.price</t>
        </is>
      </c>
      <c r="L55" t="inlineStr">
        <is>
          <t>Form004.price</t>
        </is>
      </c>
      <c r="M55" t="inlineStr">
        <is>
          <t>Стоимость</t>
        </is>
      </c>
      <c r="N55" t="inlineStr">
        <is>
          <t>input_number</t>
        </is>
      </c>
      <c r="O55" t="inlineStr">
        <is>
          <t>input</t>
        </is>
      </c>
      <c r="P55" t="inlineStr">
        <is>
          <t>Стоимость покупки или платежа</t>
        </is>
      </c>
      <c r="Q55" t="inlineStr">
        <is>
          <t>Число 0 или больше</t>
        </is>
      </c>
      <c r="S55" t="inlineStr">
        <is>
          <t>₽</t>
        </is>
      </c>
      <c r="U55" t="inlineStr">
        <is>
          <t>catalog</t>
        </is>
      </c>
      <c r="V55" t="inlineStr">
        <is>
          <t>Деньги</t>
        </is>
      </c>
      <c r="W55" t="inlineStr">
        <is>
          <t>Разовые покупки ПО</t>
        </is>
      </c>
      <c r="Y55" t="inlineStr">
        <is>
          <t>DOM .c2</t>
        </is>
      </c>
      <c r="Z55" t="inlineStr">
        <is>
          <t>расходы</t>
        </is>
      </c>
      <c r="AA55" t="inlineStr">
        <is>
          <t>да</t>
        </is>
      </c>
      <c r="AB55" s="229" t="inlineStr">
        <is>
          <t>RULE-011; RULE-018</t>
        </is>
      </c>
    </row>
    <row r="56">
      <c r="A56" t="inlineStr">
        <is>
          <t>30</t>
        </is>
      </c>
      <c r="B56" t="inlineStr">
        <is>
          <t>PAGE-CALC</t>
        </is>
      </c>
      <c r="C56" t="inlineStr">
        <is>
          <t>Анкета · calc.html</t>
        </is>
      </c>
      <c r="D56" t="inlineStr">
        <is>
          <t>11</t>
        </is>
      </c>
      <c r="E56" t="inlineStr">
        <is>
          <t>CALC-B11</t>
        </is>
      </c>
      <c r="F56" t="inlineStr">
        <is>
          <t>11</t>
        </is>
      </c>
      <c r="G56" t="inlineStr">
        <is>
          <t>Программное обеспечение</t>
        </is>
      </c>
      <c r="H56" t="inlineStr">
        <is>
          <t>CALC-F11</t>
        </is>
      </c>
      <c r="I56" t="inlineStr">
        <is>
          <t>Программное обеспечение</t>
        </is>
      </c>
      <c r="J56" t="inlineStr">
        <is>
          <t>CALC-F11-007</t>
        </is>
      </c>
      <c r="K56" t="inlineStr">
        <is>
          <t>Form004.term</t>
        </is>
      </c>
      <c r="L56" t="inlineStr">
        <is>
          <t>Form004.term</t>
        </is>
      </c>
      <c r="M56" t="inlineStr">
        <is>
          <t>Срок / период</t>
        </is>
      </c>
      <c r="N56" t="inlineStr">
        <is>
          <t>input_number</t>
        </is>
      </c>
      <c r="O56" t="inlineStr">
        <is>
          <t>input</t>
        </is>
      </c>
      <c r="P56" t="inlineStr">
        <is>
          <t>Срок службы либо период платежа</t>
        </is>
      </c>
      <c r="Q56" t="inlineStr">
        <is>
          <t>лет или Год/Квартал/Месяц</t>
        </is>
      </c>
      <c r="U56" t="inlineStr">
        <is>
          <t>catalog</t>
        </is>
      </c>
      <c r="V56" t="inlineStr">
        <is>
          <t>Деньги</t>
        </is>
      </c>
      <c r="W56" t="inlineStr">
        <is>
          <t>Разовые покупки ПО</t>
        </is>
      </c>
      <c r="Y56" t="inlineStr">
        <is>
          <t>DOM .c3</t>
        </is>
      </c>
      <c r="Z56" t="inlineStr">
        <is>
          <t>расходы</t>
        </is>
      </c>
      <c r="AA56" t="inlineStr">
        <is>
          <t>да</t>
        </is>
      </c>
      <c r="AB56" s="229" t="inlineStr">
        <is>
          <t>RULE-008</t>
        </is>
      </c>
    </row>
    <row r="57">
      <c r="A57" t="inlineStr">
        <is>
          <t>БЛОК · Рабочее место [CALC-B12]</t>
        </is>
      </c>
      <c r="AB57" s="229" t="n"/>
    </row>
    <row r="58">
      <c r="A58" t="inlineStr">
        <is>
          <t>№</t>
        </is>
      </c>
      <c r="B58" t="inlineStr">
        <is>
          <t>Страница ID</t>
        </is>
      </c>
      <c r="C58" t="inlineStr">
        <is>
          <t>Страница</t>
        </is>
      </c>
      <c r="D58" t="inlineStr">
        <is>
          <t>Порядок</t>
        </is>
      </c>
      <c r="E58" t="inlineStr">
        <is>
          <t>Блок ID</t>
        </is>
      </c>
      <c r="F58" t="inlineStr">
        <is>
          <t>№ блока</t>
        </is>
      </c>
      <c r="G58" t="inlineStr">
        <is>
          <t>Название блока</t>
        </is>
      </c>
      <c r="H58" t="inlineStr">
        <is>
          <t>Форма ID</t>
        </is>
      </c>
      <c r="I58" t="inlineStr">
        <is>
          <t>Название формы</t>
        </is>
      </c>
      <c r="J58" t="inlineStr">
        <is>
          <t>Поле ID реестра</t>
        </is>
      </c>
      <c r="K58" t="inlineStr">
        <is>
          <t>DOM / код ID</t>
        </is>
      </c>
      <c r="L58" t="inlineStr">
        <is>
          <t>Параметр модели</t>
        </is>
      </c>
      <c r="M58" t="inlineStr">
        <is>
          <t>Наименование поля</t>
        </is>
      </c>
      <c r="N58" t="inlineStr">
        <is>
          <t>Тип поля</t>
        </is>
      </c>
      <c r="O58" t="inlineStr">
        <is>
          <t>Роль</t>
        </is>
      </c>
      <c r="P58" t="inlineStr">
        <is>
          <t>Что вводим / что означает</t>
        </is>
      </c>
      <c r="Q58" t="inlineStr">
        <is>
          <t>Допустимые ответы / варианты</t>
        </is>
      </c>
      <c r="R58" t="inlineStr">
        <is>
          <t>По умолчанию</t>
        </is>
      </c>
      <c r="S58" t="inlineStr">
        <is>
          <t>Единица</t>
        </is>
      </c>
      <c r="T58" t="inlineStr">
        <is>
          <t>Условие показа / включения</t>
        </is>
      </c>
      <c r="U58" t="inlineStr">
        <is>
          <t>Поле результата d</t>
        </is>
      </c>
      <c r="V58" t="inlineStr">
        <is>
          <t>Группа результата</t>
        </is>
      </c>
      <c r="W58" t="inlineStr">
        <is>
          <t>Подгруппа результата</t>
        </is>
      </c>
      <c r="X58" t="inlineStr">
        <is>
          <t>Группа диаграммы</t>
        </is>
      </c>
      <c r="Y58" t="inlineStr">
        <is>
          <t>Формула / источник</t>
        </is>
      </c>
      <c r="Z58" t="inlineStr">
        <is>
          <t>Где выводится</t>
        </is>
      </c>
      <c r="AA58" t="inlineStr">
        <is>
          <t>Тип есть в глоссарии</t>
        </is>
      </c>
      <c r="AB58" s="229" t="inlineStr">
        <is>
          <t>Правило ID</t>
        </is>
      </c>
    </row>
    <row r="59">
      <c r="A59" t="inlineStr">
        <is>
          <t>31</t>
        </is>
      </c>
      <c r="B59" t="inlineStr">
        <is>
          <t>PAGE-CALC</t>
        </is>
      </c>
      <c r="C59" t="inlineStr">
        <is>
          <t>Анкета · calc.html</t>
        </is>
      </c>
      <c r="D59" t="inlineStr">
        <is>
          <t>12</t>
        </is>
      </c>
      <c r="E59" t="inlineStr">
        <is>
          <t>CALC-B12</t>
        </is>
      </c>
      <c r="F59" t="inlineStr">
        <is>
          <t>12</t>
        </is>
      </c>
      <c r="G59" t="inlineStr">
        <is>
          <t>Рабочее место</t>
        </is>
      </c>
      <c r="H59" t="inlineStr">
        <is>
          <t>CALC-F12</t>
        </is>
      </c>
      <c r="I59" t="inlineStr">
        <is>
          <t>Рабочее место</t>
        </is>
      </c>
      <c r="J59" t="inlineStr">
        <is>
          <t>CALC-F12-001</t>
        </is>
      </c>
      <c r="K59" t="inlineStr">
        <is>
          <t>name=ws_mode</t>
        </is>
      </c>
      <c r="L59" t="inlineStr">
        <is>
          <t>ws_mode</t>
        </is>
      </c>
      <c r="M59" t="inlineStr">
        <is>
          <t>Где находится рабочее место</t>
        </is>
      </c>
      <c r="N59" t="inlineStr">
        <is>
          <t>radio</t>
        </is>
      </c>
      <c r="O59" t="inlineStr">
        <is>
          <t>choice</t>
        </is>
      </c>
      <c r="P59" t="inlineStr">
        <is>
          <t>Выбор домашнего или отдельного помещения</t>
        </is>
      </c>
      <c r="Q59" t="inlineStr">
        <is>
          <t>home / office</t>
        </is>
      </c>
      <c r="R59" t="inlineStr">
        <is>
          <t>home</t>
        </is>
      </c>
      <c r="U59" t="inlineStr">
        <is>
          <t>wsY</t>
        </is>
      </c>
      <c r="V59" t="inlineStr">
        <is>
          <t>Переменные расходы</t>
        </is>
      </c>
      <c r="W59" t="inlineStr">
        <is>
          <t>Рабочее место</t>
        </is>
      </c>
      <c r="Y59" t="inlineStr">
        <is>
          <t>ветка ws_mode</t>
        </is>
      </c>
      <c r="Z59" t="inlineStr">
        <is>
          <t>расходы</t>
        </is>
      </c>
      <c r="AA59" t="inlineStr">
        <is>
          <t>да</t>
        </is>
      </c>
      <c r="AB59" s="229" t="inlineStr">
        <is>
          <t>RULE-007</t>
        </is>
      </c>
    </row>
    <row r="60">
      <c r="A60" t="inlineStr">
        <is>
          <t>32</t>
        </is>
      </c>
      <c r="B60" t="inlineStr">
        <is>
          <t>PAGE-CALC</t>
        </is>
      </c>
      <c r="C60" t="inlineStr">
        <is>
          <t>Анкета · calc.html</t>
        </is>
      </c>
      <c r="D60" t="inlineStr">
        <is>
          <t>12</t>
        </is>
      </c>
      <c r="E60" t="inlineStr">
        <is>
          <t>CALC-B12</t>
        </is>
      </c>
      <c r="F60" t="inlineStr">
        <is>
          <t>12</t>
        </is>
      </c>
      <c r="G60" t="inlineStr">
        <is>
          <t>Рабочее место</t>
        </is>
      </c>
      <c r="H60" t="inlineStr">
        <is>
          <t>CALC-F12</t>
        </is>
      </c>
      <c r="I60" t="inlineStr">
        <is>
          <t>Рабочее место</t>
        </is>
      </c>
      <c r="J60" t="inlineStr">
        <is>
          <t>CALC-F12-002</t>
        </is>
      </c>
      <c r="K60" t="inlineStr">
        <is>
          <t>home_rent</t>
        </is>
      </c>
      <c r="L60" t="inlineStr">
        <is>
          <t>home_rent</t>
        </is>
      </c>
      <c r="M60" t="inlineStr">
        <is>
          <t>Аренда/ипотека жилья</t>
        </is>
      </c>
      <c r="N60" t="inlineStr">
        <is>
          <t>input_number</t>
        </is>
      </c>
      <c r="O60" t="inlineStr">
        <is>
          <t>input</t>
        </is>
      </c>
      <c r="P60" t="inlineStr">
        <is>
          <t>Параметр рабочего места</t>
        </is>
      </c>
      <c r="Q60" t="inlineStr">
        <is>
          <t>Число 0 или больше</t>
        </is>
      </c>
      <c r="R60" t="inlineStr">
        <is>
          <t>40000</t>
        </is>
      </c>
      <c r="S60" t="inlineStr">
        <is>
          <t>₽/мес</t>
        </is>
      </c>
      <c r="T60" t="inlineStr">
        <is>
          <t>ws_mode=home</t>
        </is>
      </c>
      <c r="U60" t="inlineStr">
        <is>
          <t>wsY</t>
        </is>
      </c>
      <c r="V60" t="inlineStr">
        <is>
          <t>Переменные расходы</t>
        </is>
      </c>
      <c r="W60" t="inlineStr">
        <is>
          <t>Рабочее место</t>
        </is>
      </c>
      <c r="Y60" t="inlineStr">
        <is>
          <t>ветка wsY</t>
        </is>
      </c>
      <c r="Z60" t="inlineStr">
        <is>
          <t>расходы</t>
        </is>
      </c>
      <c r="AA60" t="inlineStr">
        <is>
          <t>да</t>
        </is>
      </c>
      <c r="AB60" s="229" t="inlineStr">
        <is>
          <t>RULE-011; RULE-018</t>
        </is>
      </c>
    </row>
    <row r="61">
      <c r="A61" t="inlineStr">
        <is>
          <t>33</t>
        </is>
      </c>
      <c r="B61" t="inlineStr">
        <is>
          <t>PAGE-CALC</t>
        </is>
      </c>
      <c r="C61" t="inlineStr">
        <is>
          <t>Анкета · calc.html</t>
        </is>
      </c>
      <c r="D61" t="inlineStr">
        <is>
          <t>12</t>
        </is>
      </c>
      <c r="E61" t="inlineStr">
        <is>
          <t>CALC-B12</t>
        </is>
      </c>
      <c r="F61" t="inlineStr">
        <is>
          <t>12</t>
        </is>
      </c>
      <c r="G61" t="inlineStr">
        <is>
          <t>Рабочее место</t>
        </is>
      </c>
      <c r="H61" t="inlineStr">
        <is>
          <t>CALC-F12</t>
        </is>
      </c>
      <c r="I61" t="inlineStr">
        <is>
          <t>Рабочее место</t>
        </is>
      </c>
      <c r="J61" t="inlineStr">
        <is>
          <t>CALC-F12-003</t>
        </is>
      </c>
      <c r="K61" t="inlineStr">
        <is>
          <t>own_home</t>
        </is>
      </c>
      <c r="L61" t="inlineStr">
        <is>
          <t>own_home</t>
        </is>
      </c>
      <c r="M61" t="inlineStr">
        <is>
          <t>Собственное жильё без ипотеки</t>
        </is>
      </c>
      <c r="N61" t="inlineStr">
        <is>
          <t>checkbox</t>
        </is>
      </c>
      <c r="O61" t="inlineStr">
        <is>
          <t>choice</t>
        </is>
      </c>
      <c r="P61" t="inlineStr">
        <is>
          <t>Параметр рабочего места</t>
        </is>
      </c>
      <c r="Q61" t="inlineStr">
        <is>
          <t>да / нет</t>
        </is>
      </c>
      <c r="R61" t="inlineStr">
        <is>
          <t>checkbox</t>
        </is>
      </c>
      <c r="S61" t="inlineStr">
        <is>
          <t>да/нет</t>
        </is>
      </c>
      <c r="T61" t="inlineStr">
        <is>
          <t>ws_mode=home</t>
        </is>
      </c>
      <c r="U61" t="inlineStr">
        <is>
          <t>wsY</t>
        </is>
      </c>
      <c r="V61" t="inlineStr">
        <is>
          <t>Переменные расходы</t>
        </is>
      </c>
      <c r="W61" t="inlineStr">
        <is>
          <t>Рабочее место</t>
        </is>
      </c>
      <c r="Y61" t="inlineStr">
        <is>
          <t>ветка wsY</t>
        </is>
      </c>
      <c r="Z61" t="inlineStr">
        <is>
          <t>расходы</t>
        </is>
      </c>
      <c r="AA61" t="inlineStr">
        <is>
          <t>да</t>
        </is>
      </c>
      <c r="AB61" s="229" t="inlineStr">
        <is>
          <t>RULE-010</t>
        </is>
      </c>
    </row>
    <row r="62">
      <c r="A62" t="inlineStr">
        <is>
          <t>34</t>
        </is>
      </c>
      <c r="B62" t="inlineStr">
        <is>
          <t>PAGE-CALC</t>
        </is>
      </c>
      <c r="C62" t="inlineStr">
        <is>
          <t>Анкета · calc.html</t>
        </is>
      </c>
      <c r="D62" t="inlineStr">
        <is>
          <t>12</t>
        </is>
      </c>
      <c r="E62" t="inlineStr">
        <is>
          <t>CALC-B12</t>
        </is>
      </c>
      <c r="F62" t="inlineStr">
        <is>
          <t>12</t>
        </is>
      </c>
      <c r="G62" t="inlineStr">
        <is>
          <t>Рабочее место</t>
        </is>
      </c>
      <c r="H62" t="inlineStr">
        <is>
          <t>CALC-F12</t>
        </is>
      </c>
      <c r="I62" t="inlineStr">
        <is>
          <t>Рабочее место</t>
        </is>
      </c>
      <c r="J62" t="inlineStr">
        <is>
          <t>CALC-F12-004</t>
        </is>
      </c>
      <c r="K62" t="inlineStr">
        <is>
          <t>home_util</t>
        </is>
      </c>
      <c r="L62" t="inlineStr">
        <is>
          <t>home_util</t>
        </is>
      </c>
      <c r="M62" t="inlineStr">
        <is>
          <t>Коммунальные и связь дома</t>
        </is>
      </c>
      <c r="N62" t="inlineStr">
        <is>
          <t>input_number</t>
        </is>
      </c>
      <c r="O62" t="inlineStr">
        <is>
          <t>input</t>
        </is>
      </c>
      <c r="P62" t="inlineStr">
        <is>
          <t>Параметр рабочего места</t>
        </is>
      </c>
      <c r="Q62" t="inlineStr">
        <is>
          <t>Число 0 или больше</t>
        </is>
      </c>
      <c r="R62" t="inlineStr">
        <is>
          <t>7000</t>
        </is>
      </c>
      <c r="S62" t="inlineStr">
        <is>
          <t>₽/мес</t>
        </is>
      </c>
      <c r="T62" t="inlineStr">
        <is>
          <t>ws_mode=home</t>
        </is>
      </c>
      <c r="U62" t="inlineStr">
        <is>
          <t>wsY</t>
        </is>
      </c>
      <c r="V62" t="inlineStr">
        <is>
          <t>Переменные расходы</t>
        </is>
      </c>
      <c r="W62" t="inlineStr">
        <is>
          <t>Рабочее место</t>
        </is>
      </c>
      <c r="Y62" t="inlineStr">
        <is>
          <t>ветка wsY</t>
        </is>
      </c>
      <c r="Z62" t="inlineStr">
        <is>
          <t>расходы</t>
        </is>
      </c>
      <c r="AA62" t="inlineStr">
        <is>
          <t>да</t>
        </is>
      </c>
      <c r="AB62" s="229" t="inlineStr">
        <is>
          <t>RULE-011; RULE-018</t>
        </is>
      </c>
    </row>
    <row r="63">
      <c r="A63" t="inlineStr">
        <is>
          <t>35</t>
        </is>
      </c>
      <c r="B63" t="inlineStr">
        <is>
          <t>PAGE-CALC</t>
        </is>
      </c>
      <c r="C63" t="inlineStr">
        <is>
          <t>Анкета · calc.html</t>
        </is>
      </c>
      <c r="D63" t="inlineStr">
        <is>
          <t>12</t>
        </is>
      </c>
      <c r="E63" t="inlineStr">
        <is>
          <t>CALC-B12</t>
        </is>
      </c>
      <c r="F63" t="inlineStr">
        <is>
          <t>12</t>
        </is>
      </c>
      <c r="G63" t="inlineStr">
        <is>
          <t>Рабочее место</t>
        </is>
      </c>
      <c r="H63" t="inlineStr">
        <is>
          <t>CALC-F12</t>
        </is>
      </c>
      <c r="I63" t="inlineStr">
        <is>
          <t>Рабочее место</t>
        </is>
      </c>
      <c r="J63" t="inlineStr">
        <is>
          <t>CALC-F12-005</t>
        </is>
      </c>
      <c r="K63" t="inlineStr">
        <is>
          <t>home_area</t>
        </is>
      </c>
      <c r="L63" t="inlineStr">
        <is>
          <t>home_area</t>
        </is>
      </c>
      <c r="M63" t="inlineStr">
        <is>
          <t>Общая площадь жилья</t>
        </is>
      </c>
      <c r="N63" t="inlineStr">
        <is>
          <t>input_number</t>
        </is>
      </c>
      <c r="O63" t="inlineStr">
        <is>
          <t>input</t>
        </is>
      </c>
      <c r="P63" t="inlineStr">
        <is>
          <t>Параметр рабочего места</t>
        </is>
      </c>
      <c r="Q63" t="inlineStr">
        <is>
          <t>Число 0 или больше</t>
        </is>
      </c>
      <c r="R63" t="inlineStr">
        <is>
          <t>50</t>
        </is>
      </c>
      <c r="S63" t="inlineStr">
        <is>
          <t>м²</t>
        </is>
      </c>
      <c r="T63" t="inlineStr">
        <is>
          <t>ws_mode=home</t>
        </is>
      </c>
      <c r="U63" t="inlineStr">
        <is>
          <t>wsY</t>
        </is>
      </c>
      <c r="V63" t="inlineStr">
        <is>
          <t>Переменные расходы</t>
        </is>
      </c>
      <c r="W63" t="inlineStr">
        <is>
          <t>Рабочее место</t>
        </is>
      </c>
      <c r="Y63" t="inlineStr">
        <is>
          <t>ветка wsY</t>
        </is>
      </c>
      <c r="Z63" t="inlineStr">
        <is>
          <t>расходы</t>
        </is>
      </c>
      <c r="AA63" t="inlineStr">
        <is>
          <t>да</t>
        </is>
      </c>
      <c r="AB63" s="229" t="inlineStr">
        <is>
          <t>RULE-008</t>
        </is>
      </c>
    </row>
    <row r="64">
      <c r="A64" t="inlineStr">
        <is>
          <t>36</t>
        </is>
      </c>
      <c r="B64" t="inlineStr">
        <is>
          <t>PAGE-CALC</t>
        </is>
      </c>
      <c r="C64" t="inlineStr">
        <is>
          <t>Анкета · calc.html</t>
        </is>
      </c>
      <c r="D64" t="inlineStr">
        <is>
          <t>12</t>
        </is>
      </c>
      <c r="E64" t="inlineStr">
        <is>
          <t>CALC-B12</t>
        </is>
      </c>
      <c r="F64" t="inlineStr">
        <is>
          <t>12</t>
        </is>
      </c>
      <c r="G64" t="inlineStr">
        <is>
          <t>Рабочее место</t>
        </is>
      </c>
      <c r="H64" t="inlineStr">
        <is>
          <t>CALC-F12</t>
        </is>
      </c>
      <c r="I64" t="inlineStr">
        <is>
          <t>Рабочее место</t>
        </is>
      </c>
      <c r="J64" t="inlineStr">
        <is>
          <t>CALC-F12-006</t>
        </is>
      </c>
      <c r="K64" t="inlineStr">
        <is>
          <t>cab_area</t>
        </is>
      </c>
      <c r="L64" t="inlineStr">
        <is>
          <t>cab_area</t>
        </is>
      </c>
      <c r="M64" t="inlineStr">
        <is>
          <t>Площадь рабочей зоны</t>
        </is>
      </c>
      <c r="N64" t="inlineStr">
        <is>
          <t>input_number</t>
        </is>
      </c>
      <c r="O64" t="inlineStr">
        <is>
          <t>input</t>
        </is>
      </c>
      <c r="P64" t="inlineStr">
        <is>
          <t>Параметр рабочего места</t>
        </is>
      </c>
      <c r="Q64" t="inlineStr">
        <is>
          <t>Число 0 или больше</t>
        </is>
      </c>
      <c r="R64" t="inlineStr">
        <is>
          <t>6</t>
        </is>
      </c>
      <c r="S64" t="inlineStr">
        <is>
          <t>м²</t>
        </is>
      </c>
      <c r="T64" t="inlineStr">
        <is>
          <t>ws_mode=home</t>
        </is>
      </c>
      <c r="U64" t="inlineStr">
        <is>
          <t>wsY</t>
        </is>
      </c>
      <c r="V64" t="inlineStr">
        <is>
          <t>Переменные расходы</t>
        </is>
      </c>
      <c r="W64" t="inlineStr">
        <is>
          <t>Рабочее место</t>
        </is>
      </c>
      <c r="Y64" t="inlineStr">
        <is>
          <t>ветка wsY</t>
        </is>
      </c>
      <c r="Z64" t="inlineStr">
        <is>
          <t>расходы</t>
        </is>
      </c>
      <c r="AA64" t="inlineStr">
        <is>
          <t>да</t>
        </is>
      </c>
      <c r="AB64" s="229" t="n"/>
    </row>
    <row r="65">
      <c r="A65" t="inlineStr">
        <is>
          <t>37</t>
        </is>
      </c>
      <c r="B65" t="inlineStr">
        <is>
          <t>PAGE-CALC</t>
        </is>
      </c>
      <c r="C65" t="inlineStr">
        <is>
          <t>Анкета · calc.html</t>
        </is>
      </c>
      <c r="D65" t="inlineStr">
        <is>
          <t>12</t>
        </is>
      </c>
      <c r="E65" t="inlineStr">
        <is>
          <t>CALC-B12</t>
        </is>
      </c>
      <c r="F65" t="inlineStr">
        <is>
          <t>12</t>
        </is>
      </c>
      <c r="G65" t="inlineStr">
        <is>
          <t>Рабочее место</t>
        </is>
      </c>
      <c r="H65" t="inlineStr">
        <is>
          <t>CALC-F12</t>
        </is>
      </c>
      <c r="I65" t="inlineStr">
        <is>
          <t>Рабочее место</t>
        </is>
      </c>
      <c r="J65" t="inlineStr">
        <is>
          <t>CALC-F12-007</t>
        </is>
      </c>
      <c r="K65" t="inlineStr">
        <is>
          <t>office_rent</t>
        </is>
      </c>
      <c r="L65" t="inlineStr">
        <is>
          <t>office_rent</t>
        </is>
      </c>
      <c r="M65" t="inlineStr">
        <is>
          <t>Аренда отдельного помещения</t>
        </is>
      </c>
      <c r="N65" t="inlineStr">
        <is>
          <t>input_number</t>
        </is>
      </c>
      <c r="O65" t="inlineStr">
        <is>
          <t>input</t>
        </is>
      </c>
      <c r="P65" t="inlineStr">
        <is>
          <t>Параметр рабочего места</t>
        </is>
      </c>
      <c r="Q65" t="inlineStr">
        <is>
          <t>Число 0 или больше</t>
        </is>
      </c>
      <c r="R65" t="inlineStr">
        <is>
          <t>15000</t>
        </is>
      </c>
      <c r="S65" t="inlineStr">
        <is>
          <t>₽/мес</t>
        </is>
      </c>
      <c r="T65" t="inlineStr">
        <is>
          <t>ws_mode=office</t>
        </is>
      </c>
      <c r="U65" t="inlineStr">
        <is>
          <t>wsY</t>
        </is>
      </c>
      <c r="V65" t="inlineStr">
        <is>
          <t>Переменные расходы</t>
        </is>
      </c>
      <c r="W65" t="inlineStr">
        <is>
          <t>Рабочее место</t>
        </is>
      </c>
      <c r="Y65" t="inlineStr">
        <is>
          <t>ветка wsY</t>
        </is>
      </c>
      <c r="Z65" t="inlineStr">
        <is>
          <t>расходы</t>
        </is>
      </c>
      <c r="AA65" t="inlineStr">
        <is>
          <t>да</t>
        </is>
      </c>
      <c r="AB65" s="229" t="inlineStr">
        <is>
          <t>RULE-011; RULE-018</t>
        </is>
      </c>
    </row>
    <row r="66">
      <c r="A66" t="inlineStr">
        <is>
          <t>38</t>
        </is>
      </c>
      <c r="B66" t="inlineStr">
        <is>
          <t>PAGE-CALC</t>
        </is>
      </c>
      <c r="C66" t="inlineStr">
        <is>
          <t>Анкета · calc.html</t>
        </is>
      </c>
      <c r="D66" t="inlineStr">
        <is>
          <t>12</t>
        </is>
      </c>
      <c r="E66" t="inlineStr">
        <is>
          <t>CALC-B12</t>
        </is>
      </c>
      <c r="F66" t="inlineStr">
        <is>
          <t>12</t>
        </is>
      </c>
      <c r="G66" t="inlineStr">
        <is>
          <t>Рабочее место</t>
        </is>
      </c>
      <c r="H66" t="inlineStr">
        <is>
          <t>CALC-F12</t>
        </is>
      </c>
      <c r="I66" t="inlineStr">
        <is>
          <t>Рабочее место</t>
        </is>
      </c>
      <c r="J66" t="inlineStr">
        <is>
          <t>CALC-F12-008</t>
        </is>
      </c>
      <c r="K66" t="inlineStr">
        <is>
          <t>office_util</t>
        </is>
      </c>
      <c r="L66" t="inlineStr">
        <is>
          <t>office_util</t>
        </is>
      </c>
      <c r="M66" t="inlineStr">
        <is>
          <t>Коммунальные и связь офиса</t>
        </is>
      </c>
      <c r="N66" t="inlineStr">
        <is>
          <t>input_number</t>
        </is>
      </c>
      <c r="O66" t="inlineStr">
        <is>
          <t>input</t>
        </is>
      </c>
      <c r="P66" t="inlineStr">
        <is>
          <t>Параметр рабочего места</t>
        </is>
      </c>
      <c r="Q66" t="inlineStr">
        <is>
          <t>Число 0 или больше</t>
        </is>
      </c>
      <c r="R66" t="inlineStr">
        <is>
          <t>7000</t>
        </is>
      </c>
      <c r="S66" t="inlineStr">
        <is>
          <t>₽/мес</t>
        </is>
      </c>
      <c r="T66" t="inlineStr">
        <is>
          <t>ws_mode=office</t>
        </is>
      </c>
      <c r="U66" t="inlineStr">
        <is>
          <t>wsY</t>
        </is>
      </c>
      <c r="V66" t="inlineStr">
        <is>
          <t>Переменные расходы</t>
        </is>
      </c>
      <c r="W66" t="inlineStr">
        <is>
          <t>Рабочее место</t>
        </is>
      </c>
      <c r="Y66" t="inlineStr">
        <is>
          <t>ветка wsY</t>
        </is>
      </c>
      <c r="Z66" t="inlineStr">
        <is>
          <t>расходы</t>
        </is>
      </c>
      <c r="AA66" t="inlineStr">
        <is>
          <t>да</t>
        </is>
      </c>
      <c r="AB66" s="229" t="inlineStr">
        <is>
          <t>RULE-011; RULE-018</t>
        </is>
      </c>
    </row>
    <row r="67">
      <c r="A67" t="inlineStr">
        <is>
          <t>39</t>
        </is>
      </c>
      <c r="B67" t="inlineStr">
        <is>
          <t>PAGE-CALC</t>
        </is>
      </c>
      <c r="C67" t="inlineStr">
        <is>
          <t>Анкета · calc.html</t>
        </is>
      </c>
      <c r="D67" t="inlineStr">
        <is>
          <t>12</t>
        </is>
      </c>
      <c r="E67" t="inlineStr">
        <is>
          <t>CALC-B12</t>
        </is>
      </c>
      <c r="F67" t="inlineStr">
        <is>
          <t>12</t>
        </is>
      </c>
      <c r="G67" t="inlineStr">
        <is>
          <t>Рабочее место</t>
        </is>
      </c>
      <c r="H67" t="inlineStr">
        <is>
          <t>CALC-F12</t>
        </is>
      </c>
      <c r="I67" t="inlineStr">
        <is>
          <t>Рабочее место</t>
        </is>
      </c>
      <c r="J67" t="inlineStr">
        <is>
          <t>CALC-F12-009</t>
        </is>
      </c>
      <c r="K67" t="inlineStr">
        <is>
          <t>Form013.name</t>
        </is>
      </c>
      <c r="L67" t="inlineStr">
        <is>
          <t>Form013.name</t>
        </is>
      </c>
      <c r="M67" t="inlineStr">
        <is>
          <t>Наименование обустройства</t>
        </is>
      </c>
      <c r="N67" t="inlineStr">
        <is>
          <t>input_text</t>
        </is>
      </c>
      <c r="O67" t="inlineStr">
        <is>
          <t>input</t>
        </is>
      </c>
      <c r="P67" t="inlineStr">
        <is>
          <t>Мебель или ремонт</t>
        </is>
      </c>
      <c r="Q67" t="inlineStr">
        <is>
          <t>Свободный текст</t>
        </is>
      </c>
      <c r="T67" t="inlineStr">
        <is>
          <t>ws_mode=home или office</t>
        </is>
      </c>
      <c r="U67" t="inlineStr">
        <is>
          <t>catalog</t>
        </is>
      </c>
      <c r="V67" t="inlineStr">
        <is>
          <t>Вложения и инвестиции</t>
        </is>
      </c>
      <c r="W67" t="inlineStr">
        <is>
          <t>Рабочее место</t>
        </is>
      </c>
      <c r="Y67" t="inlineStr">
        <is>
          <t>каталог Form013</t>
        </is>
      </c>
      <c r="Z67" t="inlineStr">
        <is>
          <t>амортизация</t>
        </is>
      </c>
      <c r="AA67" t="inlineStr">
        <is>
          <t>НЕТ — добавить в глоссарий</t>
        </is>
      </c>
      <c r="AB67" s="229" t="n"/>
    </row>
    <row r="68">
      <c r="A68" t="inlineStr">
        <is>
          <t>40</t>
        </is>
      </c>
      <c r="B68" t="inlineStr">
        <is>
          <t>PAGE-CALC</t>
        </is>
      </c>
      <c r="C68" t="inlineStr">
        <is>
          <t>Анкета · calc.html</t>
        </is>
      </c>
      <c r="D68" t="inlineStr">
        <is>
          <t>12</t>
        </is>
      </c>
      <c r="E68" t="inlineStr">
        <is>
          <t>CALC-B12</t>
        </is>
      </c>
      <c r="F68" t="inlineStr">
        <is>
          <t>12</t>
        </is>
      </c>
      <c r="G68" t="inlineStr">
        <is>
          <t>Рабочее место</t>
        </is>
      </c>
      <c r="H68" t="inlineStr">
        <is>
          <t>CALC-F12</t>
        </is>
      </c>
      <c r="I68" t="inlineStr">
        <is>
          <t>Рабочее место</t>
        </is>
      </c>
      <c r="J68" t="inlineStr">
        <is>
          <t>CALC-F12-010</t>
        </is>
      </c>
      <c r="K68" t="inlineStr">
        <is>
          <t>Form013.price</t>
        </is>
      </c>
      <c r="L68" t="inlineStr">
        <is>
          <t>Form013.price</t>
        </is>
      </c>
      <c r="M68" t="inlineStr">
        <is>
          <t>Стоимость обустройства</t>
        </is>
      </c>
      <c r="N68" t="inlineStr">
        <is>
          <t>input_number</t>
        </is>
      </c>
      <c r="O68" t="inlineStr">
        <is>
          <t>input</t>
        </is>
      </c>
      <c r="P68" t="inlineStr">
        <is>
          <t>Цена</t>
        </is>
      </c>
      <c r="Q68" t="inlineStr">
        <is>
          <t>Число 0 или больше</t>
        </is>
      </c>
      <c r="S68" t="inlineStr">
        <is>
          <t>₽</t>
        </is>
      </c>
      <c r="T68" t="inlineStr">
        <is>
          <t>ws_mode=home или office</t>
        </is>
      </c>
      <c r="U68" t="inlineStr">
        <is>
          <t>catalog</t>
        </is>
      </c>
      <c r="V68" t="inlineStr">
        <is>
          <t>Вложения и инвестиции</t>
        </is>
      </c>
      <c r="W68" t="inlineStr">
        <is>
          <t>Рабочее место</t>
        </is>
      </c>
      <c r="Y68" t="inlineStr">
        <is>
          <t>каталог Form013</t>
        </is>
      </c>
      <c r="Z68" t="inlineStr">
        <is>
          <t>амортизация</t>
        </is>
      </c>
      <c r="AA68" t="inlineStr">
        <is>
          <t>да</t>
        </is>
      </c>
      <c r="AB68" s="229" t="inlineStr">
        <is>
          <t>RULE-011; RULE-018</t>
        </is>
      </c>
    </row>
    <row r="69">
      <c r="A69" t="inlineStr">
        <is>
          <t>41</t>
        </is>
      </c>
      <c r="B69" t="inlineStr">
        <is>
          <t>PAGE-CALC</t>
        </is>
      </c>
      <c r="C69" t="inlineStr">
        <is>
          <t>Анкета · calc.html</t>
        </is>
      </c>
      <c r="D69" t="inlineStr">
        <is>
          <t>12</t>
        </is>
      </c>
      <c r="E69" t="inlineStr">
        <is>
          <t>CALC-B12</t>
        </is>
      </c>
      <c r="F69" t="inlineStr">
        <is>
          <t>12</t>
        </is>
      </c>
      <c r="G69" t="inlineStr">
        <is>
          <t>Рабочее место</t>
        </is>
      </c>
      <c r="H69" t="inlineStr">
        <is>
          <t>CALC-F12</t>
        </is>
      </c>
      <c r="I69" t="inlineStr">
        <is>
          <t>Рабочее место</t>
        </is>
      </c>
      <c r="J69" t="inlineStr">
        <is>
          <t>CALC-F12-011</t>
        </is>
      </c>
      <c r="K69" t="inlineStr">
        <is>
          <t>Form013.term</t>
        </is>
      </c>
      <c r="L69" t="inlineStr">
        <is>
          <t>Form013.term</t>
        </is>
      </c>
      <c r="M69" t="inlineStr">
        <is>
          <t>Срок службы</t>
        </is>
      </c>
      <c r="N69" t="inlineStr">
        <is>
          <t>input_number</t>
        </is>
      </c>
      <c r="O69" t="inlineStr">
        <is>
          <t>input</t>
        </is>
      </c>
      <c r="P69" t="inlineStr">
        <is>
          <t>Лет</t>
        </is>
      </c>
      <c r="Q69" t="inlineStr">
        <is>
          <t>Число 0 или больше</t>
        </is>
      </c>
      <c r="S69" t="inlineStr">
        <is>
          <t>лет</t>
        </is>
      </c>
      <c r="T69" t="inlineStr">
        <is>
          <t>ws_mode=home или office</t>
        </is>
      </c>
      <c r="U69" t="inlineStr">
        <is>
          <t>catalog</t>
        </is>
      </c>
      <c r="V69" t="inlineStr">
        <is>
          <t>Вложения и инвестиции</t>
        </is>
      </c>
      <c r="W69" t="inlineStr">
        <is>
          <t>Рабочее место</t>
        </is>
      </c>
      <c r="Y69" t="inlineStr">
        <is>
          <t>каталог Form013</t>
        </is>
      </c>
      <c r="Z69" t="inlineStr">
        <is>
          <t>амортизация</t>
        </is>
      </c>
      <c r="AA69" t="inlineStr">
        <is>
          <t>да</t>
        </is>
      </c>
      <c r="AB69" s="229" t="inlineStr">
        <is>
          <t>RULE-008</t>
        </is>
      </c>
    </row>
    <row r="70">
      <c r="A70" t="inlineStr">
        <is>
          <t>42</t>
        </is>
      </c>
      <c r="B70" t="inlineStr">
        <is>
          <t>PAGE-CALC</t>
        </is>
      </c>
      <c r="C70" t="inlineStr">
        <is>
          <t>Анкета · calc.html</t>
        </is>
      </c>
      <c r="D70" t="inlineStr">
        <is>
          <t>12</t>
        </is>
      </c>
      <c r="E70" t="inlineStr">
        <is>
          <t>CALC-B12</t>
        </is>
      </c>
      <c r="F70" t="inlineStr">
        <is>
          <t>12</t>
        </is>
      </c>
      <c r="G70" t="inlineStr">
        <is>
          <t>Рабочее место</t>
        </is>
      </c>
      <c r="H70" t="inlineStr">
        <is>
          <t>CALC-F12</t>
        </is>
      </c>
      <c r="I70" t="inlineStr">
        <is>
          <t>Рабочее место</t>
        </is>
      </c>
      <c r="J70" t="inlineStr">
        <is>
          <t>CALC-F12-012</t>
        </is>
      </c>
      <c r="K70" t="inlineStr">
        <is>
          <t>data-exc=Form009b</t>
        </is>
      </c>
      <c r="L70" t="inlineStr">
        <is>
          <t>use_Form009b</t>
        </is>
      </c>
      <c r="M70" t="inlineStr">
        <is>
          <t>Учитывать рабочее место</t>
        </is>
      </c>
      <c r="N70" t="inlineStr">
        <is>
          <t>exclude_checkbox</t>
        </is>
      </c>
      <c r="O70" t="inlineStr">
        <is>
          <t>choice</t>
        </is>
      </c>
      <c r="P70" t="inlineStr">
        <is>
          <t>Исключает расходы места и Form013</t>
        </is>
      </c>
      <c r="Q70" t="inlineStr">
        <is>
          <t>учитывать / не учитывать</t>
        </is>
      </c>
      <c r="R70" t="inlineStr">
        <is>
          <t>учитывать</t>
        </is>
      </c>
      <c r="V70" t="inlineStr">
        <is>
          <t>Переменные расходы</t>
        </is>
      </c>
      <c r="W70" t="inlineStr">
        <is>
          <t>Рабочее место</t>
        </is>
      </c>
      <c r="Y70" t="inlineStr">
        <is>
          <t>EXC.Form009b</t>
        </is>
      </c>
      <c r="Z70" t="inlineStr">
        <is>
          <t>анкета</t>
        </is>
      </c>
      <c r="AA70" t="inlineStr">
        <is>
          <t>да</t>
        </is>
      </c>
      <c r="AB70" s="229" t="inlineStr">
        <is>
          <t>RULE-004; RULE-006</t>
        </is>
      </c>
    </row>
    <row r="71">
      <c r="A71" t="inlineStr">
        <is>
          <t>БЛОК · Обучение и курсы [CALC-B13]</t>
        </is>
      </c>
      <c r="AB71" s="229" t="n"/>
    </row>
    <row r="72">
      <c r="A72" t="inlineStr">
        <is>
          <t>№</t>
        </is>
      </c>
      <c r="B72" t="inlineStr">
        <is>
          <t>Страница ID</t>
        </is>
      </c>
      <c r="C72" t="inlineStr">
        <is>
          <t>Страница</t>
        </is>
      </c>
      <c r="D72" t="inlineStr">
        <is>
          <t>Порядок</t>
        </is>
      </c>
      <c r="E72" t="inlineStr">
        <is>
          <t>Блок ID</t>
        </is>
      </c>
      <c r="F72" t="inlineStr">
        <is>
          <t>№ блока</t>
        </is>
      </c>
      <c r="G72" t="inlineStr">
        <is>
          <t>Название блока</t>
        </is>
      </c>
      <c r="H72" t="inlineStr">
        <is>
          <t>Форма ID</t>
        </is>
      </c>
      <c r="I72" t="inlineStr">
        <is>
          <t>Название формы</t>
        </is>
      </c>
      <c r="J72" t="inlineStr">
        <is>
          <t>Поле ID реестра</t>
        </is>
      </c>
      <c r="K72" t="inlineStr">
        <is>
          <t>DOM / код ID</t>
        </is>
      </c>
      <c r="L72" t="inlineStr">
        <is>
          <t>Параметр модели</t>
        </is>
      </c>
      <c r="M72" t="inlineStr">
        <is>
          <t>Наименование поля</t>
        </is>
      </c>
      <c r="N72" t="inlineStr">
        <is>
          <t>Тип поля</t>
        </is>
      </c>
      <c r="O72" t="inlineStr">
        <is>
          <t>Роль</t>
        </is>
      </c>
      <c r="P72" t="inlineStr">
        <is>
          <t>Что вводим / что означает</t>
        </is>
      </c>
      <c r="Q72" t="inlineStr">
        <is>
          <t>Допустимые ответы / варианты</t>
        </is>
      </c>
      <c r="R72" t="inlineStr">
        <is>
          <t>По умолчанию</t>
        </is>
      </c>
      <c r="S72" t="inlineStr">
        <is>
          <t>Единица</t>
        </is>
      </c>
      <c r="T72" t="inlineStr">
        <is>
          <t>Условие показа / включения</t>
        </is>
      </c>
      <c r="U72" t="inlineStr">
        <is>
          <t>Поле результата d</t>
        </is>
      </c>
      <c r="V72" t="inlineStr">
        <is>
          <t>Группа результата</t>
        </is>
      </c>
      <c r="W72" t="inlineStr">
        <is>
          <t>Подгруппа результата</t>
        </is>
      </c>
      <c r="X72" t="inlineStr">
        <is>
          <t>Группа диаграммы</t>
        </is>
      </c>
      <c r="Y72" t="inlineStr">
        <is>
          <t>Формула / источник</t>
        </is>
      </c>
      <c r="Z72" t="inlineStr">
        <is>
          <t>Где выводится</t>
        </is>
      </c>
      <c r="AA72" t="inlineStr">
        <is>
          <t>Тип есть в глоссарии</t>
        </is>
      </c>
      <c r="AB72" s="229" t="inlineStr">
        <is>
          <t>Правило ID</t>
        </is>
      </c>
    </row>
    <row r="73">
      <c r="A73" t="inlineStr">
        <is>
          <t>43</t>
        </is>
      </c>
      <c r="B73" t="inlineStr">
        <is>
          <t>PAGE-CALC</t>
        </is>
      </c>
      <c r="C73" t="inlineStr">
        <is>
          <t>Анкета · calc.html</t>
        </is>
      </c>
      <c r="D73" t="inlineStr">
        <is>
          <t>13</t>
        </is>
      </c>
      <c r="E73" t="inlineStr">
        <is>
          <t>CALC-B13</t>
        </is>
      </c>
      <c r="F73" t="inlineStr">
        <is>
          <t>13</t>
        </is>
      </c>
      <c r="G73" t="inlineStr">
        <is>
          <t>Обучение и курсы</t>
        </is>
      </c>
      <c r="H73" t="inlineStr">
        <is>
          <t>CALC-F13</t>
        </is>
      </c>
      <c r="I73" t="inlineStr">
        <is>
          <t>Обучение и курсы</t>
        </is>
      </c>
      <c r="J73" t="inlineStr">
        <is>
          <t>CALC-F13-001</t>
        </is>
      </c>
      <c r="K73" t="inlineStr">
        <is>
          <t>Form006.name</t>
        </is>
      </c>
      <c r="L73" t="inlineStr">
        <is>
          <t>Form006.name</t>
        </is>
      </c>
      <c r="M73" t="inlineStr">
        <is>
          <t>Название курса</t>
        </is>
      </c>
      <c r="N73" t="inlineStr">
        <is>
          <t>input_text</t>
        </is>
      </c>
      <c r="O73" t="inlineStr">
        <is>
          <t>input</t>
        </is>
      </c>
      <c r="P73" t="inlineStr">
        <is>
          <t>Курс или программа</t>
        </is>
      </c>
      <c r="Q73" t="inlineStr">
        <is>
          <t>Свободный текст</t>
        </is>
      </c>
      <c r="U73" t="inlineStr">
        <is>
          <t>catalog</t>
        </is>
      </c>
      <c r="V73" t="inlineStr">
        <is>
          <t>Вложения и инвестиции</t>
        </is>
      </c>
      <c r="W73" t="inlineStr">
        <is>
          <t>Обучение</t>
        </is>
      </c>
      <c r="Y73" t="inlineStr">
        <is>
          <t>каталог Form006</t>
        </is>
      </c>
      <c r="Z73" t="inlineStr">
        <is>
          <t>амортизация</t>
        </is>
      </c>
      <c r="AA73" t="inlineStr">
        <is>
          <t>НЕТ — добавить в глоссарий</t>
        </is>
      </c>
      <c r="AB73" s="229" t="n"/>
    </row>
    <row r="74">
      <c r="A74" t="inlineStr">
        <is>
          <t>44</t>
        </is>
      </c>
      <c r="B74" t="inlineStr">
        <is>
          <t>PAGE-CALC</t>
        </is>
      </c>
      <c r="C74" t="inlineStr">
        <is>
          <t>Анкета · calc.html</t>
        </is>
      </c>
      <c r="D74" t="inlineStr">
        <is>
          <t>13</t>
        </is>
      </c>
      <c r="E74" t="inlineStr">
        <is>
          <t>CALC-B13</t>
        </is>
      </c>
      <c r="F74" t="inlineStr">
        <is>
          <t>13</t>
        </is>
      </c>
      <c r="G74" t="inlineStr">
        <is>
          <t>Обучение и курсы</t>
        </is>
      </c>
      <c r="H74" t="inlineStr">
        <is>
          <t>CALC-F13</t>
        </is>
      </c>
      <c r="I74" t="inlineStr">
        <is>
          <t>Обучение и курсы</t>
        </is>
      </c>
      <c r="J74" t="inlineStr">
        <is>
          <t>CALC-F13-002</t>
        </is>
      </c>
      <c r="K74" t="inlineStr">
        <is>
          <t>Form006.price</t>
        </is>
      </c>
      <c r="L74" t="inlineStr">
        <is>
          <t>Form006.price</t>
        </is>
      </c>
      <c r="M74" t="inlineStr">
        <is>
          <t>Стоимость обучения</t>
        </is>
      </c>
      <c r="N74" t="inlineStr">
        <is>
          <t>input_number</t>
        </is>
      </c>
      <c r="O74" t="inlineStr">
        <is>
          <t>input</t>
        </is>
      </c>
      <c r="P74" t="inlineStr">
        <is>
          <t>Цена обучения</t>
        </is>
      </c>
      <c r="Q74" t="inlineStr">
        <is>
          <t>Число 0 или больше</t>
        </is>
      </c>
      <c r="S74" t="inlineStr">
        <is>
          <t>₽</t>
        </is>
      </c>
      <c r="U74" t="inlineStr">
        <is>
          <t>catalog</t>
        </is>
      </c>
      <c r="V74" t="inlineStr">
        <is>
          <t>Вложения и инвестиции</t>
        </is>
      </c>
      <c r="W74" t="inlineStr">
        <is>
          <t>Обучение</t>
        </is>
      </c>
      <c r="Y74" t="inlineStr">
        <is>
          <t>каталог Form006</t>
        </is>
      </c>
      <c r="Z74" t="inlineStr">
        <is>
          <t>амортизация</t>
        </is>
      </c>
      <c r="AA74" t="inlineStr">
        <is>
          <t>да</t>
        </is>
      </c>
      <c r="AB74" s="229" t="inlineStr">
        <is>
          <t>RULE-011; RULE-018</t>
        </is>
      </c>
    </row>
    <row r="75">
      <c r="A75" t="inlineStr">
        <is>
          <t>45</t>
        </is>
      </c>
      <c r="B75" t="inlineStr">
        <is>
          <t>PAGE-CALC</t>
        </is>
      </c>
      <c r="C75" t="inlineStr">
        <is>
          <t>Анкета · calc.html</t>
        </is>
      </c>
      <c r="D75" t="inlineStr">
        <is>
          <t>13</t>
        </is>
      </c>
      <c r="E75" t="inlineStr">
        <is>
          <t>CALC-B13</t>
        </is>
      </c>
      <c r="F75" t="inlineStr">
        <is>
          <t>13</t>
        </is>
      </c>
      <c r="G75" t="inlineStr">
        <is>
          <t>Обучение и курсы</t>
        </is>
      </c>
      <c r="H75" t="inlineStr">
        <is>
          <t>CALC-F13</t>
        </is>
      </c>
      <c r="I75" t="inlineStr">
        <is>
          <t>Обучение и курсы</t>
        </is>
      </c>
      <c r="J75" t="inlineStr">
        <is>
          <t>CALC-F13-003</t>
        </is>
      </c>
      <c r="K75" t="inlineStr">
        <is>
          <t>Form006.months</t>
        </is>
      </c>
      <c r="L75" t="inlineStr">
        <is>
          <t>Form006.months</t>
        </is>
      </c>
      <c r="M75" t="inlineStr">
        <is>
          <t>Месяцев без дохода</t>
        </is>
      </c>
      <c r="N75" t="inlineStr">
        <is>
          <t>input_number</t>
        </is>
      </c>
      <c r="O75" t="inlineStr">
        <is>
          <t>input</t>
        </is>
      </c>
      <c r="P75" t="inlineStr">
        <is>
          <t>Продолжительность обучения</t>
        </is>
      </c>
      <c r="Q75" t="inlineStr">
        <is>
          <t>Число 0 или больше</t>
        </is>
      </c>
      <c r="S75" t="inlineStr">
        <is>
          <t>мес</t>
        </is>
      </c>
      <c r="U75" t="inlineStr">
        <is>
          <t>catalog</t>
        </is>
      </c>
      <c r="V75" t="inlineStr">
        <is>
          <t>Вложения и инвестиции</t>
        </is>
      </c>
      <c r="W75" t="inlineStr">
        <is>
          <t>Обучение</t>
        </is>
      </c>
      <c r="Y75" t="inlineStr">
        <is>
          <t>каталог Form006</t>
        </is>
      </c>
      <c r="Z75" t="inlineStr">
        <is>
          <t>амортизация</t>
        </is>
      </c>
      <c r="AA75" t="inlineStr">
        <is>
          <t>да</t>
        </is>
      </c>
      <c r="AB75" s="229" t="n"/>
    </row>
    <row r="76">
      <c r="A76" t="inlineStr">
        <is>
          <t>46</t>
        </is>
      </c>
      <c r="B76" t="inlineStr">
        <is>
          <t>PAGE-CALC</t>
        </is>
      </c>
      <c r="C76" t="inlineStr">
        <is>
          <t>Анкета · calc.html</t>
        </is>
      </c>
      <c r="D76" t="inlineStr">
        <is>
          <t>13</t>
        </is>
      </c>
      <c r="E76" t="inlineStr">
        <is>
          <t>CALC-B13</t>
        </is>
      </c>
      <c r="F76" t="inlineStr">
        <is>
          <t>13</t>
        </is>
      </c>
      <c r="G76" t="inlineStr">
        <is>
          <t>Обучение и курсы</t>
        </is>
      </c>
      <c r="H76" t="inlineStr">
        <is>
          <t>CALC-F13</t>
        </is>
      </c>
      <c r="I76" t="inlineStr">
        <is>
          <t>Обучение и курсы</t>
        </is>
      </c>
      <c r="J76" t="inlineStr">
        <is>
          <t>CALC-F13-004</t>
        </is>
      </c>
      <c r="K76" t="inlineStr">
        <is>
          <t>edu_life</t>
        </is>
      </c>
      <c r="L76" t="inlineStr">
        <is>
          <t>edu_life</t>
        </is>
      </c>
      <c r="M76" t="inlineStr">
        <is>
          <t>Срок окупаемости обучения</t>
        </is>
      </c>
      <c r="N76" t="inlineStr">
        <is>
          <t>input_number</t>
        </is>
      </c>
      <c r="O76" t="inlineStr">
        <is>
          <t>input</t>
        </is>
      </c>
      <c r="P76" t="inlineStr">
        <is>
          <t>На сколько лет распределить вложение</t>
        </is>
      </c>
      <c r="Q76" t="inlineStr">
        <is>
          <t>Число больше 0</t>
        </is>
      </c>
      <c r="R76" t="inlineStr">
        <is>
          <t>7</t>
        </is>
      </c>
      <c r="S76" t="inlineStr">
        <is>
          <t>лет</t>
        </is>
      </c>
      <c r="U76" t="inlineStr">
        <is>
          <t>eduY</t>
        </is>
      </c>
      <c r="V76" t="inlineStr">
        <is>
          <t>Вложения и инвестиции</t>
        </is>
      </c>
      <c r="W76" t="inlineStr">
        <is>
          <t>Обучение</t>
        </is>
      </c>
      <c r="Y76" t="inlineStr">
        <is>
          <t>(цена + упущенный доход)/срок</t>
        </is>
      </c>
      <c r="Z76" t="inlineStr">
        <is>
          <t>расходы</t>
        </is>
      </c>
      <c r="AA76" t="inlineStr">
        <is>
          <t>да</t>
        </is>
      </c>
      <c r="AB76" s="229" t="inlineStr">
        <is>
          <t>RULE-008</t>
        </is>
      </c>
    </row>
    <row r="77">
      <c r="A77" t="inlineStr">
        <is>
          <t>47</t>
        </is>
      </c>
      <c r="B77" t="inlineStr">
        <is>
          <t>PAGE-CALC</t>
        </is>
      </c>
      <c r="C77" t="inlineStr">
        <is>
          <t>Анкета · calc.html</t>
        </is>
      </c>
      <c r="D77" t="inlineStr">
        <is>
          <t>13</t>
        </is>
      </c>
      <c r="E77" t="inlineStr">
        <is>
          <t>CALC-B13</t>
        </is>
      </c>
      <c r="F77" t="inlineStr">
        <is>
          <t>13</t>
        </is>
      </c>
      <c r="G77" t="inlineStr">
        <is>
          <t>Обучение и курсы</t>
        </is>
      </c>
      <c r="H77" t="inlineStr">
        <is>
          <t>CALC-F13</t>
        </is>
      </c>
      <c r="I77" t="inlineStr">
        <is>
          <t>Обучение и курсы</t>
        </is>
      </c>
      <c r="J77" t="inlineStr">
        <is>
          <t>CALC-F13-005</t>
        </is>
      </c>
      <c r="K77" t="inlineStr">
        <is>
          <t>data-exc=Form006</t>
        </is>
      </c>
      <c r="L77" t="inlineStr">
        <is>
          <t>use_Form006</t>
        </is>
      </c>
      <c r="M77" t="inlineStr">
        <is>
          <t>Учитывать обучение</t>
        </is>
      </c>
      <c r="N77" t="inlineStr">
        <is>
          <t>exclude_checkbox</t>
        </is>
      </c>
      <c r="O77" t="inlineStr">
        <is>
          <t>choice</t>
        </is>
      </c>
      <c r="P77" t="inlineStr">
        <is>
          <t>Включает или исключает обучение</t>
        </is>
      </c>
      <c r="Q77" t="inlineStr">
        <is>
          <t>учитывать / не учитывать</t>
        </is>
      </c>
      <c r="R77" t="inlineStr">
        <is>
          <t>учитывать</t>
        </is>
      </c>
      <c r="V77" t="inlineStr">
        <is>
          <t>Вложения и инвестиции</t>
        </is>
      </c>
      <c r="W77" t="inlineStr">
        <is>
          <t>Обучение</t>
        </is>
      </c>
      <c r="Y77" t="inlineStr">
        <is>
          <t>EXC.Form006</t>
        </is>
      </c>
      <c r="Z77" t="inlineStr">
        <is>
          <t>анкета</t>
        </is>
      </c>
      <c r="AA77" t="inlineStr">
        <is>
          <t>да</t>
        </is>
      </c>
      <c r="AB77" s="229" t="inlineStr">
        <is>
          <t>RULE-004; RULE-006</t>
        </is>
      </c>
    </row>
    <row r="78">
      <c r="A78" t="inlineStr">
        <is>
          <t>БЛОК · Создание сайта [CALC-B14]</t>
        </is>
      </c>
      <c r="AB78" s="229" t="n"/>
    </row>
    <row r="79">
      <c r="A79" t="inlineStr">
        <is>
          <t>№</t>
        </is>
      </c>
      <c r="B79" t="inlineStr">
        <is>
          <t>Страница ID</t>
        </is>
      </c>
      <c r="C79" t="inlineStr">
        <is>
          <t>Страница</t>
        </is>
      </c>
      <c r="D79" t="inlineStr">
        <is>
          <t>Порядок</t>
        </is>
      </c>
      <c r="E79" t="inlineStr">
        <is>
          <t>Блок ID</t>
        </is>
      </c>
      <c r="F79" t="inlineStr">
        <is>
          <t>№ блока</t>
        </is>
      </c>
      <c r="G79" t="inlineStr">
        <is>
          <t>Название блока</t>
        </is>
      </c>
      <c r="H79" t="inlineStr">
        <is>
          <t>Форма ID</t>
        </is>
      </c>
      <c r="I79" t="inlineStr">
        <is>
          <t>Название формы</t>
        </is>
      </c>
      <c r="J79" t="inlineStr">
        <is>
          <t>Поле ID реестра</t>
        </is>
      </c>
      <c r="K79" t="inlineStr">
        <is>
          <t>DOM / код ID</t>
        </is>
      </c>
      <c r="L79" t="inlineStr">
        <is>
          <t>Параметр модели</t>
        </is>
      </c>
      <c r="M79" t="inlineStr">
        <is>
          <t>Наименование поля</t>
        </is>
      </c>
      <c r="N79" t="inlineStr">
        <is>
          <t>Тип поля</t>
        </is>
      </c>
      <c r="O79" t="inlineStr">
        <is>
          <t>Роль</t>
        </is>
      </c>
      <c r="P79" t="inlineStr">
        <is>
          <t>Что вводим / что означает</t>
        </is>
      </c>
      <c r="Q79" t="inlineStr">
        <is>
          <t>Допустимые ответы / варианты</t>
        </is>
      </c>
      <c r="R79" t="inlineStr">
        <is>
          <t>По умолчанию</t>
        </is>
      </c>
      <c r="S79" t="inlineStr">
        <is>
          <t>Единица</t>
        </is>
      </c>
      <c r="T79" t="inlineStr">
        <is>
          <t>Условие показа / включения</t>
        </is>
      </c>
      <c r="U79" t="inlineStr">
        <is>
          <t>Поле результата d</t>
        </is>
      </c>
      <c r="V79" t="inlineStr">
        <is>
          <t>Группа результата</t>
        </is>
      </c>
      <c r="W79" t="inlineStr">
        <is>
          <t>Подгруппа результата</t>
        </is>
      </c>
      <c r="X79" t="inlineStr">
        <is>
          <t>Группа диаграммы</t>
        </is>
      </c>
      <c r="Y79" t="inlineStr">
        <is>
          <t>Формула / источник</t>
        </is>
      </c>
      <c r="Z79" t="inlineStr">
        <is>
          <t>Где выводится</t>
        </is>
      </c>
      <c r="AA79" t="inlineStr">
        <is>
          <t>Тип есть в глоссарии</t>
        </is>
      </c>
      <c r="AB79" s="229" t="inlineStr">
        <is>
          <t>Правило ID</t>
        </is>
      </c>
    </row>
    <row r="80">
      <c r="A80" t="inlineStr">
        <is>
          <t>48</t>
        </is>
      </c>
      <c r="B80" t="inlineStr">
        <is>
          <t>PAGE-CALC</t>
        </is>
      </c>
      <c r="C80" t="inlineStr">
        <is>
          <t>Анкета · calc.html</t>
        </is>
      </c>
      <c r="D80" t="inlineStr">
        <is>
          <t>14</t>
        </is>
      </c>
      <c r="E80" t="inlineStr">
        <is>
          <t>CALC-B14</t>
        </is>
      </c>
      <c r="F80" t="inlineStr">
        <is>
          <t>14</t>
        </is>
      </c>
      <c r="G80" t="inlineStr">
        <is>
          <t>Создание сайта</t>
        </is>
      </c>
      <c r="H80" t="inlineStr">
        <is>
          <t>CALC-F14</t>
        </is>
      </c>
      <c r="I80" t="inlineStr">
        <is>
          <t>Создание сайта</t>
        </is>
      </c>
      <c r="J80" t="inlineStr">
        <is>
          <t>CALC-F14-001</t>
        </is>
      </c>
      <c r="K80" t="inlineStr">
        <is>
          <t>name=site_mode</t>
        </is>
      </c>
      <c r="L80" t="inlineStr">
        <is>
          <t>site_mode</t>
        </is>
      </c>
      <c r="M80" t="inlineStr">
        <is>
          <t>Кто делал сайт</t>
        </is>
      </c>
      <c r="N80" t="inlineStr">
        <is>
          <t>radio</t>
        </is>
      </c>
      <c r="O80" t="inlineStr">
        <is>
          <t>choice</t>
        </is>
      </c>
      <c r="P80" t="inlineStr">
        <is>
          <t>Подрядчик или собственная работа</t>
        </is>
      </c>
      <c r="Q80" t="inlineStr">
        <is>
          <t>hired / self</t>
        </is>
      </c>
      <c r="R80" t="inlineStr">
        <is>
          <t>hired</t>
        </is>
      </c>
      <c r="U80" t="inlineStr">
        <is>
          <t>siteY / sdiv</t>
        </is>
      </c>
      <c r="V80" t="inlineStr">
        <is>
          <t>Вложения и инвестиции</t>
        </is>
      </c>
      <c r="W80" t="inlineStr">
        <is>
          <t>Сайт</t>
        </is>
      </c>
      <c r="Y80" t="inlineStr">
        <is>
          <t>ветка site_mode</t>
        </is>
      </c>
      <c r="Z80" t="inlineStr">
        <is>
          <t>расходы</t>
        </is>
      </c>
      <c r="AA80" t="inlineStr">
        <is>
          <t>да</t>
        </is>
      </c>
      <c r="AB80" s="229" t="inlineStr">
        <is>
          <t>RULE-007</t>
        </is>
      </c>
    </row>
    <row r="81">
      <c r="A81" t="inlineStr">
        <is>
          <t>49</t>
        </is>
      </c>
      <c r="B81" t="inlineStr">
        <is>
          <t>PAGE-CALC</t>
        </is>
      </c>
      <c r="C81" t="inlineStr">
        <is>
          <t>Анкета · calc.html</t>
        </is>
      </c>
      <c r="D81" t="inlineStr">
        <is>
          <t>14</t>
        </is>
      </c>
      <c r="E81" t="inlineStr">
        <is>
          <t>CALC-B14</t>
        </is>
      </c>
      <c r="F81" t="inlineStr">
        <is>
          <t>14</t>
        </is>
      </c>
      <c r="G81" t="inlineStr">
        <is>
          <t>Создание сайта</t>
        </is>
      </c>
      <c r="H81" t="inlineStr">
        <is>
          <t>CALC-F14</t>
        </is>
      </c>
      <c r="I81" t="inlineStr">
        <is>
          <t>Создание сайта</t>
        </is>
      </c>
      <c r="J81" t="inlineStr">
        <is>
          <t>CALC-F14-002</t>
        </is>
      </c>
      <c r="K81" t="inlineStr">
        <is>
          <t>site_cost</t>
        </is>
      </c>
      <c r="L81" t="inlineStr">
        <is>
          <t>site_cost</t>
        </is>
      </c>
      <c r="M81" t="inlineStr">
        <is>
          <t>Стоимость подрядчика</t>
        </is>
      </c>
      <c r="N81" t="inlineStr">
        <is>
          <t>input_number</t>
        </is>
      </c>
      <c r="O81" t="inlineStr">
        <is>
          <t>input</t>
        </is>
      </c>
      <c r="P81" t="inlineStr">
        <is>
          <t>Параметр создания сайта</t>
        </is>
      </c>
      <c r="Q81" t="inlineStr">
        <is>
          <t>Число 0 или больше</t>
        </is>
      </c>
      <c r="R81" t="inlineStr">
        <is>
          <t>70000</t>
        </is>
      </c>
      <c r="S81" t="inlineStr">
        <is>
          <t>₽</t>
        </is>
      </c>
      <c r="T81" t="inlineStr">
        <is>
          <t>site_mode=hired</t>
        </is>
      </c>
      <c r="U81" t="inlineStr">
        <is>
          <t>siteY / sdiv</t>
        </is>
      </c>
      <c r="V81" t="inlineStr">
        <is>
          <t>Вложения и инвестиции</t>
        </is>
      </c>
      <c r="W81" t="inlineStr">
        <is>
          <t>Сайт</t>
        </is>
      </c>
      <c r="Y81" t="inlineStr">
        <is>
          <t>ветка сайта</t>
        </is>
      </c>
      <c r="Z81" t="inlineStr">
        <is>
          <t>расходы</t>
        </is>
      </c>
      <c r="AA81" t="inlineStr">
        <is>
          <t>да</t>
        </is>
      </c>
      <c r="AB81" s="229" t="inlineStr">
        <is>
          <t>RULE-011; RULE-018</t>
        </is>
      </c>
    </row>
    <row r="82">
      <c r="A82" t="inlineStr">
        <is>
          <t>50</t>
        </is>
      </c>
      <c r="B82" t="inlineStr">
        <is>
          <t>PAGE-CALC</t>
        </is>
      </c>
      <c r="C82" t="inlineStr">
        <is>
          <t>Анкета · calc.html</t>
        </is>
      </c>
      <c r="D82" t="inlineStr">
        <is>
          <t>14</t>
        </is>
      </c>
      <c r="E82" t="inlineStr">
        <is>
          <t>CALC-B14</t>
        </is>
      </c>
      <c r="F82" t="inlineStr">
        <is>
          <t>14</t>
        </is>
      </c>
      <c r="G82" t="inlineStr">
        <is>
          <t>Создание сайта</t>
        </is>
      </c>
      <c r="H82" t="inlineStr">
        <is>
          <t>CALC-F14</t>
        </is>
      </c>
      <c r="I82" t="inlineStr">
        <is>
          <t>Создание сайта</t>
        </is>
      </c>
      <c r="J82" t="inlineStr">
        <is>
          <t>CALC-F14-003</t>
        </is>
      </c>
      <c r="K82" t="inlineStr">
        <is>
          <t>site_hours</t>
        </is>
      </c>
      <c r="L82" t="inlineStr">
        <is>
          <t>site_hours</t>
        </is>
      </c>
      <c r="M82" t="inlineStr">
        <is>
          <t>Собственные часы на сайт</t>
        </is>
      </c>
      <c r="N82" t="inlineStr">
        <is>
          <t>input_number</t>
        </is>
      </c>
      <c r="O82" t="inlineStr">
        <is>
          <t>input</t>
        </is>
      </c>
      <c r="P82" t="inlineStr">
        <is>
          <t>Параметр создания сайта</t>
        </is>
      </c>
      <c r="Q82" t="inlineStr">
        <is>
          <t>Число 0 или больше</t>
        </is>
      </c>
      <c r="R82" t="inlineStr">
        <is>
          <t>80</t>
        </is>
      </c>
      <c r="S82" t="inlineStr">
        <is>
          <t>ч</t>
        </is>
      </c>
      <c r="T82" t="inlineStr">
        <is>
          <t>site_mode=self</t>
        </is>
      </c>
      <c r="U82" t="inlineStr">
        <is>
          <t>siteY / sdiv</t>
        </is>
      </c>
      <c r="V82" t="inlineStr">
        <is>
          <t>Вложения и инвестиции</t>
        </is>
      </c>
      <c r="W82" t="inlineStr">
        <is>
          <t>Сайт</t>
        </is>
      </c>
      <c r="Y82" t="inlineStr">
        <is>
          <t>ветка сайта</t>
        </is>
      </c>
      <c r="Z82" t="inlineStr">
        <is>
          <t>расходы</t>
        </is>
      </c>
      <c r="AA82" t="inlineStr">
        <is>
          <t>да</t>
        </is>
      </c>
      <c r="AB82" s="229" t="n"/>
    </row>
    <row r="83">
      <c r="A83" t="inlineStr">
        <is>
          <t>51</t>
        </is>
      </c>
      <c r="B83" t="inlineStr">
        <is>
          <t>PAGE-CALC</t>
        </is>
      </c>
      <c r="C83" t="inlineStr">
        <is>
          <t>Анкета · calc.html</t>
        </is>
      </c>
      <c r="D83" t="inlineStr">
        <is>
          <t>14</t>
        </is>
      </c>
      <c r="E83" t="inlineStr">
        <is>
          <t>CALC-B14</t>
        </is>
      </c>
      <c r="F83" t="inlineStr">
        <is>
          <t>14</t>
        </is>
      </c>
      <c r="G83" t="inlineStr">
        <is>
          <t>Создание сайта</t>
        </is>
      </c>
      <c r="H83" t="inlineStr">
        <is>
          <t>CALC-F14</t>
        </is>
      </c>
      <c r="I83" t="inlineStr">
        <is>
          <t>Создание сайта</t>
        </is>
      </c>
      <c r="J83" t="inlineStr">
        <is>
          <t>CALC-F14-004</t>
        </is>
      </c>
      <c r="K83" t="inlineStr">
        <is>
          <t>site_life</t>
        </is>
      </c>
      <c r="L83" t="inlineStr">
        <is>
          <t>site_life</t>
        </is>
      </c>
      <c r="M83" t="inlineStr">
        <is>
          <t>Срок окупаемости сайта</t>
        </is>
      </c>
      <c r="N83" t="inlineStr">
        <is>
          <t>input_number</t>
        </is>
      </c>
      <c r="O83" t="inlineStr">
        <is>
          <t>input</t>
        </is>
      </c>
      <c r="P83" t="inlineStr">
        <is>
          <t>Параметр создания сайта</t>
        </is>
      </c>
      <c r="Q83" t="inlineStr">
        <is>
          <t>Число 0 или больше</t>
        </is>
      </c>
      <c r="R83" t="inlineStr">
        <is>
          <t>7</t>
        </is>
      </c>
      <c r="S83" t="inlineStr">
        <is>
          <t>лет</t>
        </is>
      </c>
      <c r="T83" t="inlineStr">
        <is>
          <t>всегда</t>
        </is>
      </c>
      <c r="U83" t="inlineStr">
        <is>
          <t>siteY / sdiv</t>
        </is>
      </c>
      <c r="V83" t="inlineStr">
        <is>
          <t>Вложения и инвестиции</t>
        </is>
      </c>
      <c r="W83" t="inlineStr">
        <is>
          <t>Сайт</t>
        </is>
      </c>
      <c r="Y83" t="inlineStr">
        <is>
          <t>ветка сайта</t>
        </is>
      </c>
      <c r="Z83" t="inlineStr">
        <is>
          <t>расходы</t>
        </is>
      </c>
      <c r="AA83" t="inlineStr">
        <is>
          <t>да</t>
        </is>
      </c>
      <c r="AB83" s="229" t="inlineStr">
        <is>
          <t>RULE-008</t>
        </is>
      </c>
    </row>
    <row r="84">
      <c r="A84" t="inlineStr">
        <is>
          <t>52</t>
        </is>
      </c>
      <c r="B84" t="inlineStr">
        <is>
          <t>PAGE-CALC</t>
        </is>
      </c>
      <c r="C84" t="inlineStr">
        <is>
          <t>Анкета · calc.html</t>
        </is>
      </c>
      <c r="D84" t="inlineStr">
        <is>
          <t>14</t>
        </is>
      </c>
      <c r="E84" t="inlineStr">
        <is>
          <t>CALC-B14</t>
        </is>
      </c>
      <c r="F84" t="inlineStr">
        <is>
          <t>14</t>
        </is>
      </c>
      <c r="G84" t="inlineStr">
        <is>
          <t>Создание сайта</t>
        </is>
      </c>
      <c r="H84" t="inlineStr">
        <is>
          <t>CALC-F14</t>
        </is>
      </c>
      <c r="I84" t="inlineStr">
        <is>
          <t>Создание сайта</t>
        </is>
      </c>
      <c r="J84" t="inlineStr">
        <is>
          <t>CALC-F14-005</t>
        </is>
      </c>
      <c r="K84" t="inlineStr">
        <is>
          <t>data-exc=Form014</t>
        </is>
      </c>
      <c r="L84" t="inlineStr">
        <is>
          <t>use_Form014</t>
        </is>
      </c>
      <c r="M84" t="inlineStr">
        <is>
          <t>Учитывать сайт</t>
        </is>
      </c>
      <c r="N84" t="inlineStr">
        <is>
          <t>exclude_checkbox</t>
        </is>
      </c>
      <c r="O84" t="inlineStr">
        <is>
          <t>choice</t>
        </is>
      </c>
      <c r="P84" t="inlineStr">
        <is>
          <t>Исключает обе ветки сайта</t>
        </is>
      </c>
      <c r="Q84" t="inlineStr">
        <is>
          <t>учитывать / не учитывать</t>
        </is>
      </c>
      <c r="R84" t="inlineStr">
        <is>
          <t>учитывать</t>
        </is>
      </c>
      <c r="V84" t="inlineStr">
        <is>
          <t>Вложения и инвестиции</t>
        </is>
      </c>
      <c r="W84" t="inlineStr">
        <is>
          <t>Сайт</t>
        </is>
      </c>
      <c r="Y84" t="inlineStr">
        <is>
          <t>EXC.Form014</t>
        </is>
      </c>
      <c r="Z84" t="inlineStr">
        <is>
          <t>анкета</t>
        </is>
      </c>
      <c r="AA84" t="inlineStr">
        <is>
          <t>да</t>
        </is>
      </c>
      <c r="AB84" s="229" t="inlineStr">
        <is>
          <t>RULE-004; RULE-006</t>
        </is>
      </c>
    </row>
    <row r="85">
      <c r="A85" t="inlineStr">
        <is>
          <t>БЛОК · Реклама и продвижение [CALC-B15]</t>
        </is>
      </c>
      <c r="AB85" s="229" t="n"/>
    </row>
    <row r="86">
      <c r="A86" t="inlineStr">
        <is>
          <t>№</t>
        </is>
      </c>
      <c r="B86" t="inlineStr">
        <is>
          <t>Страница ID</t>
        </is>
      </c>
      <c r="C86" t="inlineStr">
        <is>
          <t>Страница</t>
        </is>
      </c>
      <c r="D86" t="inlineStr">
        <is>
          <t>Порядок</t>
        </is>
      </c>
      <c r="E86" t="inlineStr">
        <is>
          <t>Блок ID</t>
        </is>
      </c>
      <c r="F86" t="inlineStr">
        <is>
          <t>№ блока</t>
        </is>
      </c>
      <c r="G86" t="inlineStr">
        <is>
          <t>Название блока</t>
        </is>
      </c>
      <c r="H86" t="inlineStr">
        <is>
          <t>Форма ID</t>
        </is>
      </c>
      <c r="I86" t="inlineStr">
        <is>
          <t>Название формы</t>
        </is>
      </c>
      <c r="J86" t="inlineStr">
        <is>
          <t>Поле ID реестра</t>
        </is>
      </c>
      <c r="K86" t="inlineStr">
        <is>
          <t>DOM / код ID</t>
        </is>
      </c>
      <c r="L86" t="inlineStr">
        <is>
          <t>Параметр модели</t>
        </is>
      </c>
      <c r="M86" t="inlineStr">
        <is>
          <t>Наименование поля</t>
        </is>
      </c>
      <c r="N86" t="inlineStr">
        <is>
          <t>Тип поля</t>
        </is>
      </c>
      <c r="O86" t="inlineStr">
        <is>
          <t>Роль</t>
        </is>
      </c>
      <c r="P86" t="inlineStr">
        <is>
          <t>Что вводим / что означает</t>
        </is>
      </c>
      <c r="Q86" t="inlineStr">
        <is>
          <t>Допустимые ответы / варианты</t>
        </is>
      </c>
      <c r="R86" t="inlineStr">
        <is>
          <t>По умолчанию</t>
        </is>
      </c>
      <c r="S86" t="inlineStr">
        <is>
          <t>Единица</t>
        </is>
      </c>
      <c r="T86" t="inlineStr">
        <is>
          <t>Условие показа / включения</t>
        </is>
      </c>
      <c r="U86" t="inlineStr">
        <is>
          <t>Поле результата d</t>
        </is>
      </c>
      <c r="V86" t="inlineStr">
        <is>
          <t>Группа результата</t>
        </is>
      </c>
      <c r="W86" t="inlineStr">
        <is>
          <t>Подгруппа результата</t>
        </is>
      </c>
      <c r="X86" t="inlineStr">
        <is>
          <t>Группа диаграммы</t>
        </is>
      </c>
      <c r="Y86" t="inlineStr">
        <is>
          <t>Формула / источник</t>
        </is>
      </c>
      <c r="Z86" t="inlineStr">
        <is>
          <t>Где выводится</t>
        </is>
      </c>
      <c r="AA86" t="inlineStr">
        <is>
          <t>Тип есть в глоссарии</t>
        </is>
      </c>
      <c r="AB86" s="229" t="inlineStr">
        <is>
          <t>Правило ID</t>
        </is>
      </c>
    </row>
    <row r="87">
      <c r="A87" t="inlineStr">
        <is>
          <t>53</t>
        </is>
      </c>
      <c r="B87" t="inlineStr">
        <is>
          <t>PAGE-CALC</t>
        </is>
      </c>
      <c r="C87" t="inlineStr">
        <is>
          <t>Анкета · calc.html</t>
        </is>
      </c>
      <c r="D87" t="inlineStr">
        <is>
          <t>15</t>
        </is>
      </c>
      <c r="E87" t="inlineStr">
        <is>
          <t>CALC-B15</t>
        </is>
      </c>
      <c r="F87" t="inlineStr">
        <is>
          <t>15</t>
        </is>
      </c>
      <c r="G87" t="inlineStr">
        <is>
          <t>Реклама и продвижение</t>
        </is>
      </c>
      <c r="H87" t="inlineStr">
        <is>
          <t>CALC-F15</t>
        </is>
      </c>
      <c r="I87" t="inlineStr">
        <is>
          <t>Реклама и продвижение</t>
        </is>
      </c>
      <c r="J87" t="inlineStr">
        <is>
          <t>CALC-F15-001</t>
        </is>
      </c>
      <c r="K87" t="inlineStr">
        <is>
          <t>data-exc=Form010</t>
        </is>
      </c>
      <c r="L87" t="inlineStr">
        <is>
          <t>use_Form010</t>
        </is>
      </c>
      <c r="M87" t="inlineStr">
        <is>
          <t>Учитывать реклама и продвижение</t>
        </is>
      </c>
      <c r="N87" t="inlineStr">
        <is>
          <t>exclude_checkbox</t>
        </is>
      </c>
      <c r="O87" t="inlineStr">
        <is>
          <t>choice</t>
        </is>
      </c>
      <c r="P87" t="inlineStr">
        <is>
          <t>Включает или исключает весь каталог</t>
        </is>
      </c>
      <c r="Q87" t="inlineStr">
        <is>
          <t>учитывать / не учитывать</t>
        </is>
      </c>
      <c r="R87" t="inlineStr">
        <is>
          <t>учитывать</t>
        </is>
      </c>
      <c r="V87" t="inlineStr">
        <is>
          <t>Переменные расходы</t>
        </is>
      </c>
      <c r="W87" t="inlineStr">
        <is>
          <t>Реклама и продвижение</t>
        </is>
      </c>
      <c r="Y87" t="inlineStr">
        <is>
          <t>EXC.Form010</t>
        </is>
      </c>
      <c r="Z87" t="inlineStr">
        <is>
          <t>анкета</t>
        </is>
      </c>
      <c r="AA87" t="inlineStr">
        <is>
          <t>да</t>
        </is>
      </c>
      <c r="AB87" s="229" t="inlineStr">
        <is>
          <t>RULE-004; RULE-006</t>
        </is>
      </c>
    </row>
    <row r="88">
      <c r="A88" t="inlineStr">
        <is>
          <t>54</t>
        </is>
      </c>
      <c r="B88" t="inlineStr">
        <is>
          <t>PAGE-CALC</t>
        </is>
      </c>
      <c r="C88" t="inlineStr">
        <is>
          <t>Анкета · calc.html</t>
        </is>
      </c>
      <c r="D88" t="inlineStr">
        <is>
          <t>15</t>
        </is>
      </c>
      <c r="E88" t="inlineStr">
        <is>
          <t>CALC-B15</t>
        </is>
      </c>
      <c r="F88" t="inlineStr">
        <is>
          <t>15</t>
        </is>
      </c>
      <c r="G88" t="inlineStr">
        <is>
          <t>Реклама и продвижение</t>
        </is>
      </c>
      <c r="H88" t="inlineStr">
        <is>
          <t>CALC-F15</t>
        </is>
      </c>
      <c r="I88" t="inlineStr">
        <is>
          <t>Реклама и продвижение</t>
        </is>
      </c>
      <c r="J88" t="inlineStr">
        <is>
          <t>CALC-F15-002</t>
        </is>
      </c>
      <c r="K88" t="inlineStr">
        <is>
          <t>Form010.item_name</t>
        </is>
      </c>
      <c r="L88" t="inlineStr">
        <is>
          <t>Form010.name</t>
        </is>
      </c>
      <c r="M88" t="inlineStr">
        <is>
          <t>Наименование позиции</t>
        </is>
      </c>
      <c r="N88" t="inlineStr">
        <is>
          <t>input_text</t>
        </is>
      </c>
      <c r="O88" t="inlineStr">
        <is>
          <t>input</t>
        </is>
      </c>
      <c r="P88" t="inlineStr">
        <is>
          <t>Название позиции динамической таблицы</t>
        </is>
      </c>
      <c r="Q88" t="inlineStr">
        <is>
          <t>Свободный текст</t>
        </is>
      </c>
      <c r="R88" t="inlineStr">
        <is>
          <t>Канал рекламы</t>
        </is>
      </c>
      <c r="U88" t="inlineStr">
        <is>
          <t>catalog</t>
        </is>
      </c>
      <c r="V88" t="inlineStr">
        <is>
          <t>Служебные данные</t>
        </is>
      </c>
      <c r="W88" t="inlineStr">
        <is>
          <t>Каталог</t>
        </is>
      </c>
      <c r="Y88" t="inlineStr">
        <is>
          <t>строка CAT/DOM .c1</t>
        </is>
      </c>
      <c r="Z88" t="inlineStr">
        <is>
          <t>вводные отчёта</t>
        </is>
      </c>
      <c r="AA88" t="inlineStr">
        <is>
          <t>НЕТ — добавить в глоссарий</t>
        </is>
      </c>
      <c r="AB88" s="229" t="n"/>
    </row>
    <row r="89">
      <c r="A89" t="inlineStr">
        <is>
          <t>55</t>
        </is>
      </c>
      <c r="B89" t="inlineStr">
        <is>
          <t>PAGE-CALC</t>
        </is>
      </c>
      <c r="C89" t="inlineStr">
        <is>
          <t>Анкета · calc.html</t>
        </is>
      </c>
      <c r="D89" t="inlineStr">
        <is>
          <t>15</t>
        </is>
      </c>
      <c r="E89" t="inlineStr">
        <is>
          <t>CALC-B15</t>
        </is>
      </c>
      <c r="F89" t="inlineStr">
        <is>
          <t>15</t>
        </is>
      </c>
      <c r="G89" t="inlineStr">
        <is>
          <t>Реклама и продвижение</t>
        </is>
      </c>
      <c r="H89" t="inlineStr">
        <is>
          <t>CALC-F15</t>
        </is>
      </c>
      <c r="I89" t="inlineStr">
        <is>
          <t>Реклама и продвижение</t>
        </is>
      </c>
      <c r="J89" t="inlineStr">
        <is>
          <t>CALC-F15-003</t>
        </is>
      </c>
      <c r="K89" t="inlineStr">
        <is>
          <t>Form010.price</t>
        </is>
      </c>
      <c r="L89" t="inlineStr">
        <is>
          <t>Form010.price</t>
        </is>
      </c>
      <c r="M89" t="inlineStr">
        <is>
          <t>Стоимость / платёж</t>
        </is>
      </c>
      <c r="N89" t="inlineStr">
        <is>
          <t>input_number</t>
        </is>
      </c>
      <c r="O89" t="inlineStr">
        <is>
          <t>input</t>
        </is>
      </c>
      <c r="P89" t="inlineStr">
        <is>
          <t>Цена покупки или одного платежа</t>
        </is>
      </c>
      <c r="Q89" t="inlineStr">
        <is>
          <t>Число 0 или больше</t>
        </is>
      </c>
      <c r="S89" t="inlineStr">
        <is>
          <t>₽</t>
        </is>
      </c>
      <c r="U89" t="inlineStr">
        <is>
          <t>catalog</t>
        </is>
      </c>
      <c r="V89" t="inlineStr">
        <is>
          <t>Деньги</t>
        </is>
      </c>
      <c r="W89" t="inlineStr">
        <is>
          <t>Реклама и продвижение</t>
        </is>
      </c>
      <c r="Y89" t="inlineStr">
        <is>
          <t>DOM .c2</t>
        </is>
      </c>
      <c r="Z89" t="inlineStr">
        <is>
          <t>расходы</t>
        </is>
      </c>
      <c r="AA89" t="inlineStr">
        <is>
          <t>да</t>
        </is>
      </c>
      <c r="AB89" s="229" t="inlineStr">
        <is>
          <t>RULE-011; RULE-018</t>
        </is>
      </c>
    </row>
    <row r="90">
      <c r="A90" t="inlineStr">
        <is>
          <t>56</t>
        </is>
      </c>
      <c r="B90" t="inlineStr">
        <is>
          <t>PAGE-CALC</t>
        </is>
      </c>
      <c r="C90" t="inlineStr">
        <is>
          <t>Анкета · calc.html</t>
        </is>
      </c>
      <c r="D90" t="inlineStr">
        <is>
          <t>15</t>
        </is>
      </c>
      <c r="E90" t="inlineStr">
        <is>
          <t>CALC-B15</t>
        </is>
      </c>
      <c r="F90" t="inlineStr">
        <is>
          <t>15</t>
        </is>
      </c>
      <c r="G90" t="inlineStr">
        <is>
          <t>Реклама и продвижение</t>
        </is>
      </c>
      <c r="H90" t="inlineStr">
        <is>
          <t>CALC-F15</t>
        </is>
      </c>
      <c r="I90" t="inlineStr">
        <is>
          <t>Реклама и продвижение</t>
        </is>
      </c>
      <c r="J90" t="inlineStr">
        <is>
          <t>CALC-F15-004</t>
        </is>
      </c>
      <c r="K90" t="inlineStr">
        <is>
          <t>Form010.term</t>
        </is>
      </c>
      <c r="L90" t="inlineStr">
        <is>
          <t>Form010.term</t>
        </is>
      </c>
      <c r="M90" t="inlineStr">
        <is>
          <t>Срок / период</t>
        </is>
      </c>
      <c r="N90" t="inlineStr">
        <is>
          <t>dropdown</t>
        </is>
      </c>
      <c r="O90" t="inlineStr">
        <is>
          <t>choice</t>
        </is>
      </c>
      <c r="P90" t="inlineStr">
        <is>
          <t>Срок службы либо число платежей за год</t>
        </is>
      </c>
      <c r="Q90" t="inlineStr">
        <is>
          <t>лет или Год/Квартал/Месяц</t>
        </is>
      </c>
      <c r="S90" t="inlineStr">
        <is>
          <t>лет / период</t>
        </is>
      </c>
      <c r="U90" t="inlineStr">
        <is>
          <t>catalog</t>
        </is>
      </c>
      <c r="V90" t="inlineStr">
        <is>
          <t>Деньги</t>
        </is>
      </c>
      <c r="W90" t="inlineStr">
        <is>
          <t>Реклама и продвижение</t>
        </is>
      </c>
      <c r="Y90" t="inlineStr">
        <is>
          <t>DOM .c3</t>
        </is>
      </c>
      <c r="Z90" t="inlineStr">
        <is>
          <t>расходы</t>
        </is>
      </c>
      <c r="AA90" t="inlineStr">
        <is>
          <t>да</t>
        </is>
      </c>
      <c r="AB90" s="229" t="inlineStr">
        <is>
          <t>RULE-008</t>
        </is>
      </c>
    </row>
    <row r="91">
      <c r="A91" t="inlineStr">
        <is>
          <t>БЛОК · Банковское обслуживание [CALC-B16]</t>
        </is>
      </c>
      <c r="AB91" s="229" t="n"/>
    </row>
    <row r="92">
      <c r="A92" t="inlineStr">
        <is>
          <t>№</t>
        </is>
      </c>
      <c r="B92" t="inlineStr">
        <is>
          <t>Страница ID</t>
        </is>
      </c>
      <c r="C92" t="inlineStr">
        <is>
          <t>Страница</t>
        </is>
      </c>
      <c r="D92" t="inlineStr">
        <is>
          <t>Порядок</t>
        </is>
      </c>
      <c r="E92" t="inlineStr">
        <is>
          <t>Блок ID</t>
        </is>
      </c>
      <c r="F92" t="inlineStr">
        <is>
          <t>№ блока</t>
        </is>
      </c>
      <c r="G92" t="inlineStr">
        <is>
          <t>Название блока</t>
        </is>
      </c>
      <c r="H92" t="inlineStr">
        <is>
          <t>Форма ID</t>
        </is>
      </c>
      <c r="I92" t="inlineStr">
        <is>
          <t>Название формы</t>
        </is>
      </c>
      <c r="J92" t="inlineStr">
        <is>
          <t>Поле ID реестра</t>
        </is>
      </c>
      <c r="K92" t="inlineStr">
        <is>
          <t>DOM / код ID</t>
        </is>
      </c>
      <c r="L92" t="inlineStr">
        <is>
          <t>Параметр модели</t>
        </is>
      </c>
      <c r="M92" t="inlineStr">
        <is>
          <t>Наименование поля</t>
        </is>
      </c>
      <c r="N92" t="inlineStr">
        <is>
          <t>Тип поля</t>
        </is>
      </c>
      <c r="O92" t="inlineStr">
        <is>
          <t>Роль</t>
        </is>
      </c>
      <c r="P92" t="inlineStr">
        <is>
          <t>Что вводим / что означает</t>
        </is>
      </c>
      <c r="Q92" t="inlineStr">
        <is>
          <t>Допустимые ответы / варианты</t>
        </is>
      </c>
      <c r="R92" t="inlineStr">
        <is>
          <t>По умолчанию</t>
        </is>
      </c>
      <c r="S92" t="inlineStr">
        <is>
          <t>Единица</t>
        </is>
      </c>
      <c r="T92" t="inlineStr">
        <is>
          <t>Условие показа / включения</t>
        </is>
      </c>
      <c r="U92" t="inlineStr">
        <is>
          <t>Поле результата d</t>
        </is>
      </c>
      <c r="V92" t="inlineStr">
        <is>
          <t>Группа результата</t>
        </is>
      </c>
      <c r="W92" t="inlineStr">
        <is>
          <t>Подгруппа результата</t>
        </is>
      </c>
      <c r="X92" t="inlineStr">
        <is>
          <t>Группа диаграммы</t>
        </is>
      </c>
      <c r="Y92" t="inlineStr">
        <is>
          <t>Формула / источник</t>
        </is>
      </c>
      <c r="Z92" t="inlineStr">
        <is>
          <t>Где выводится</t>
        </is>
      </c>
      <c r="AA92" t="inlineStr">
        <is>
          <t>Тип есть в глоссарии</t>
        </is>
      </c>
      <c r="AB92" s="229" t="inlineStr">
        <is>
          <t>Правило ID</t>
        </is>
      </c>
    </row>
    <row r="93">
      <c r="A93" t="inlineStr">
        <is>
          <t>57</t>
        </is>
      </c>
      <c r="B93" t="inlineStr">
        <is>
          <t>PAGE-CALC</t>
        </is>
      </c>
      <c r="C93" t="inlineStr">
        <is>
          <t>Анкета · calc.html</t>
        </is>
      </c>
      <c r="D93" t="inlineStr">
        <is>
          <t>16</t>
        </is>
      </c>
      <c r="E93" t="inlineStr">
        <is>
          <t>CALC-B16</t>
        </is>
      </c>
      <c r="F93" t="inlineStr">
        <is>
          <t>16</t>
        </is>
      </c>
      <c r="G93" t="inlineStr">
        <is>
          <t>Банковское обслуживание</t>
        </is>
      </c>
      <c r="H93" t="inlineStr">
        <is>
          <t>CALC-F16</t>
        </is>
      </c>
      <c r="I93" t="inlineStr">
        <is>
          <t>Банковское обслуживание</t>
        </is>
      </c>
      <c r="J93" t="inlineStr">
        <is>
          <t>CALC-F16-001</t>
        </is>
      </c>
      <c r="K93" t="inlineStr">
        <is>
          <t>data-exc=Form007</t>
        </is>
      </c>
      <c r="L93" t="inlineStr">
        <is>
          <t>use_Form007</t>
        </is>
      </c>
      <c r="M93" t="inlineStr">
        <is>
          <t>Учитывать банковские услуги</t>
        </is>
      </c>
      <c r="N93" t="inlineStr">
        <is>
          <t>exclude_checkbox</t>
        </is>
      </c>
      <c r="O93" t="inlineStr">
        <is>
          <t>choice</t>
        </is>
      </c>
      <c r="P93" t="inlineStr">
        <is>
          <t>Включает или исключает весь каталог</t>
        </is>
      </c>
      <c r="Q93" t="inlineStr">
        <is>
          <t>учитывать / не учитывать</t>
        </is>
      </c>
      <c r="R93" t="inlineStr">
        <is>
          <t>учитывать</t>
        </is>
      </c>
      <c r="V93" t="inlineStr">
        <is>
          <t>Переменные расходы</t>
        </is>
      </c>
      <c r="W93" t="inlineStr">
        <is>
          <t>Банковские услуги</t>
        </is>
      </c>
      <c r="Y93" t="inlineStr">
        <is>
          <t>EXC.Form007</t>
        </is>
      </c>
      <c r="Z93" t="inlineStr">
        <is>
          <t>анкета</t>
        </is>
      </c>
      <c r="AA93" t="inlineStr">
        <is>
          <t>да</t>
        </is>
      </c>
      <c r="AB93" s="229" t="inlineStr">
        <is>
          <t>RULE-004; RULE-006</t>
        </is>
      </c>
    </row>
    <row r="94">
      <c r="A94" t="inlineStr">
        <is>
          <t>58</t>
        </is>
      </c>
      <c r="B94" t="inlineStr">
        <is>
          <t>PAGE-CALC</t>
        </is>
      </c>
      <c r="C94" t="inlineStr">
        <is>
          <t>Анкета · calc.html</t>
        </is>
      </c>
      <c r="D94" t="inlineStr">
        <is>
          <t>16</t>
        </is>
      </c>
      <c r="E94" t="inlineStr">
        <is>
          <t>CALC-B16</t>
        </is>
      </c>
      <c r="F94" t="inlineStr">
        <is>
          <t>16</t>
        </is>
      </c>
      <c r="G94" t="inlineStr">
        <is>
          <t>Банковское обслуживание</t>
        </is>
      </c>
      <c r="H94" t="inlineStr">
        <is>
          <t>CALC-F16</t>
        </is>
      </c>
      <c r="I94" t="inlineStr">
        <is>
          <t>Банковское обслуживание</t>
        </is>
      </c>
      <c r="J94" t="inlineStr">
        <is>
          <t>CALC-F16-002</t>
        </is>
      </c>
      <c r="K94" t="inlineStr">
        <is>
          <t>Form007.item_name</t>
        </is>
      </c>
      <c r="L94" t="inlineStr">
        <is>
          <t>Form007.name</t>
        </is>
      </c>
      <c r="M94" t="inlineStr">
        <is>
          <t>Наименование позиции</t>
        </is>
      </c>
      <c r="N94" t="inlineStr">
        <is>
          <t>input_text</t>
        </is>
      </c>
      <c r="O94" t="inlineStr">
        <is>
          <t>input</t>
        </is>
      </c>
      <c r="P94" t="inlineStr">
        <is>
          <t>Название позиции динамической таблицы</t>
        </is>
      </c>
      <c r="Q94" t="inlineStr">
        <is>
          <t>Свободный текст</t>
        </is>
      </c>
      <c r="R94" t="inlineStr">
        <is>
          <t>РКО или уведомления</t>
        </is>
      </c>
      <c r="U94" t="inlineStr">
        <is>
          <t>catalog</t>
        </is>
      </c>
      <c r="V94" t="inlineStr">
        <is>
          <t>Служебные данные</t>
        </is>
      </c>
      <c r="W94" t="inlineStr">
        <is>
          <t>Каталог</t>
        </is>
      </c>
      <c r="Y94" t="inlineStr">
        <is>
          <t>строка CAT/DOM .c1</t>
        </is>
      </c>
      <c r="Z94" t="inlineStr">
        <is>
          <t>вводные отчёта</t>
        </is>
      </c>
      <c r="AA94" t="inlineStr">
        <is>
          <t>НЕТ — добавить в глоссарий</t>
        </is>
      </c>
      <c r="AB94" s="229" t="n"/>
    </row>
    <row r="95">
      <c r="A95" t="inlineStr">
        <is>
          <t>59</t>
        </is>
      </c>
      <c r="B95" t="inlineStr">
        <is>
          <t>PAGE-CALC</t>
        </is>
      </c>
      <c r="C95" t="inlineStr">
        <is>
          <t>Анкета · calc.html</t>
        </is>
      </c>
      <c r="D95" t="inlineStr">
        <is>
          <t>16</t>
        </is>
      </c>
      <c r="E95" t="inlineStr">
        <is>
          <t>CALC-B16</t>
        </is>
      </c>
      <c r="F95" t="inlineStr">
        <is>
          <t>16</t>
        </is>
      </c>
      <c r="G95" t="inlineStr">
        <is>
          <t>Банковское обслуживание</t>
        </is>
      </c>
      <c r="H95" t="inlineStr">
        <is>
          <t>CALC-F16</t>
        </is>
      </c>
      <c r="I95" t="inlineStr">
        <is>
          <t>Банковское обслуживание</t>
        </is>
      </c>
      <c r="J95" t="inlineStr">
        <is>
          <t>CALC-F16-003</t>
        </is>
      </c>
      <c r="K95" t="inlineStr">
        <is>
          <t>Form007.price</t>
        </is>
      </c>
      <c r="L95" t="inlineStr">
        <is>
          <t>Form007.price</t>
        </is>
      </c>
      <c r="M95" t="inlineStr">
        <is>
          <t>Стоимость / платёж</t>
        </is>
      </c>
      <c r="N95" t="inlineStr">
        <is>
          <t>input_number</t>
        </is>
      </c>
      <c r="O95" t="inlineStr">
        <is>
          <t>input</t>
        </is>
      </c>
      <c r="P95" t="inlineStr">
        <is>
          <t>Цена покупки или одного платежа</t>
        </is>
      </c>
      <c r="Q95" t="inlineStr">
        <is>
          <t>Число 0 или больше</t>
        </is>
      </c>
      <c r="S95" t="inlineStr">
        <is>
          <t>₽</t>
        </is>
      </c>
      <c r="U95" t="inlineStr">
        <is>
          <t>catalog</t>
        </is>
      </c>
      <c r="V95" t="inlineStr">
        <is>
          <t>Деньги</t>
        </is>
      </c>
      <c r="W95" t="inlineStr">
        <is>
          <t>Банковские услуги</t>
        </is>
      </c>
      <c r="Y95" t="inlineStr">
        <is>
          <t>DOM .c2</t>
        </is>
      </c>
      <c r="Z95" t="inlineStr">
        <is>
          <t>расходы</t>
        </is>
      </c>
      <c r="AA95" t="inlineStr">
        <is>
          <t>да</t>
        </is>
      </c>
      <c r="AB95" s="229" t="inlineStr">
        <is>
          <t>RULE-011; RULE-018</t>
        </is>
      </c>
    </row>
    <row r="96">
      <c r="A96" t="inlineStr">
        <is>
          <t>60</t>
        </is>
      </c>
      <c r="B96" t="inlineStr">
        <is>
          <t>PAGE-CALC</t>
        </is>
      </c>
      <c r="C96" t="inlineStr">
        <is>
          <t>Анкета · calc.html</t>
        </is>
      </c>
      <c r="D96" t="inlineStr">
        <is>
          <t>16</t>
        </is>
      </c>
      <c r="E96" t="inlineStr">
        <is>
          <t>CALC-B16</t>
        </is>
      </c>
      <c r="F96" t="inlineStr">
        <is>
          <t>16</t>
        </is>
      </c>
      <c r="G96" t="inlineStr">
        <is>
          <t>Банковское обслуживание</t>
        </is>
      </c>
      <c r="H96" t="inlineStr">
        <is>
          <t>CALC-F16</t>
        </is>
      </c>
      <c r="I96" t="inlineStr">
        <is>
          <t>Банковское обслуживание</t>
        </is>
      </c>
      <c r="J96" t="inlineStr">
        <is>
          <t>CALC-F16-004</t>
        </is>
      </c>
      <c r="K96" t="inlineStr">
        <is>
          <t>Form007.term</t>
        </is>
      </c>
      <c r="L96" t="inlineStr">
        <is>
          <t>Form007.term</t>
        </is>
      </c>
      <c r="M96" t="inlineStr">
        <is>
          <t>Срок / период</t>
        </is>
      </c>
      <c r="N96" t="inlineStr">
        <is>
          <t>dropdown</t>
        </is>
      </c>
      <c r="O96" t="inlineStr">
        <is>
          <t>choice</t>
        </is>
      </c>
      <c r="P96" t="inlineStr">
        <is>
          <t>Срок службы либо число платежей за год</t>
        </is>
      </c>
      <c r="Q96" t="inlineStr">
        <is>
          <t>лет или Год/Квартал/Месяц</t>
        </is>
      </c>
      <c r="S96" t="inlineStr">
        <is>
          <t>лет / период</t>
        </is>
      </c>
      <c r="U96" t="inlineStr">
        <is>
          <t>catalog</t>
        </is>
      </c>
      <c r="V96" t="inlineStr">
        <is>
          <t>Деньги</t>
        </is>
      </c>
      <c r="W96" t="inlineStr">
        <is>
          <t>Банковские услуги</t>
        </is>
      </c>
      <c r="Y96" t="inlineStr">
        <is>
          <t>DOM .c3</t>
        </is>
      </c>
      <c r="Z96" t="inlineStr">
        <is>
          <t>расходы</t>
        </is>
      </c>
      <c r="AA96" t="inlineStr">
        <is>
          <t>да</t>
        </is>
      </c>
      <c r="AB96" s="229" t="inlineStr">
        <is>
          <t>RULE-008</t>
        </is>
      </c>
    </row>
    <row r="97">
      <c r="A97" t="inlineStr">
        <is>
          <t>61</t>
        </is>
      </c>
      <c r="B97" t="inlineStr">
        <is>
          <t>PAGE-CALC</t>
        </is>
      </c>
      <c r="C97" t="inlineStr">
        <is>
          <t>Анкета · calc.html</t>
        </is>
      </c>
      <c r="D97" t="inlineStr">
        <is>
          <t>16</t>
        </is>
      </c>
      <c r="E97" t="inlineStr">
        <is>
          <t>CALC-B16</t>
        </is>
      </c>
      <c r="F97" t="inlineStr">
        <is>
          <t>16</t>
        </is>
      </c>
      <c r="G97" t="inlineStr">
        <is>
          <t>Банковское обслуживание</t>
        </is>
      </c>
      <c r="H97" t="inlineStr">
        <is>
          <t>CALC-F16</t>
        </is>
      </c>
      <c r="I97" t="inlineStr">
        <is>
          <t>Банковское обслуживание</t>
        </is>
      </c>
      <c r="J97" t="inlineStr">
        <is>
          <t>CALC-F16-005</t>
        </is>
      </c>
      <c r="K97" t="inlineStr">
        <is>
          <t>acq_name</t>
        </is>
      </c>
      <c r="L97" t="inlineStr">
        <is>
          <t>acq_name</t>
        </is>
      </c>
      <c r="M97" t="inlineStr">
        <is>
          <t>Название процентной комиссии</t>
        </is>
      </c>
      <c r="N97" t="inlineStr">
        <is>
          <t>input_text</t>
        </is>
      </c>
      <c r="O97" t="inlineStr">
        <is>
          <t>input</t>
        </is>
      </c>
      <c r="P97" t="inlineStr">
        <is>
          <t>Название строки эквайринга</t>
        </is>
      </c>
      <c r="Q97" t="inlineStr">
        <is>
          <t>Свободный текст</t>
        </is>
      </c>
      <c r="R97" t="inlineStr">
        <is>
          <t>Эквайринг</t>
        </is>
      </c>
      <c r="V97" t="inlineStr">
        <is>
          <t>Банковские платежи</t>
        </is>
      </c>
      <c r="W97" t="inlineStr">
        <is>
          <t>Эквайринг</t>
        </is>
      </c>
      <c r="Y97" t="inlineStr">
        <is>
          <t>UI-подпись</t>
        </is>
      </c>
      <c r="Z97" t="inlineStr">
        <is>
          <t>вводные отчёта</t>
        </is>
      </c>
      <c r="AA97" t="inlineStr">
        <is>
          <t>НЕТ — добавить в глоссарий</t>
        </is>
      </c>
      <c r="AB97" s="229" t="n"/>
    </row>
    <row r="98">
      <c r="A98" t="inlineStr">
        <is>
          <t>62</t>
        </is>
      </c>
      <c r="B98" t="inlineStr">
        <is>
          <t>PAGE-CALC</t>
        </is>
      </c>
      <c r="C98" t="inlineStr">
        <is>
          <t>Анкета · calc.html</t>
        </is>
      </c>
      <c r="D98" t="inlineStr">
        <is>
          <t>16</t>
        </is>
      </c>
      <c r="E98" t="inlineStr">
        <is>
          <t>CALC-B16</t>
        </is>
      </c>
      <c r="F98" t="inlineStr">
        <is>
          <t>16</t>
        </is>
      </c>
      <c r="G98" t="inlineStr">
        <is>
          <t>Банковское обслуживание</t>
        </is>
      </c>
      <c r="H98" t="inlineStr">
        <is>
          <t>CALC-F16</t>
        </is>
      </c>
      <c r="I98" t="inlineStr">
        <is>
          <t>Банковское обслуживание</t>
        </is>
      </c>
      <c r="J98" t="inlineStr">
        <is>
          <t>CALC-F16-006</t>
        </is>
      </c>
      <c r="K98" t="inlineStr">
        <is>
          <t>acq_rate</t>
        </is>
      </c>
      <c r="L98" t="inlineStr">
        <is>
          <t>acq_rate</t>
        </is>
      </c>
      <c r="M98" t="inlineStr">
        <is>
          <t>Ставка эквайринга</t>
        </is>
      </c>
      <c r="N98" t="inlineStr">
        <is>
          <t>input_number</t>
        </is>
      </c>
      <c r="O98" t="inlineStr">
        <is>
          <t>input</t>
        </is>
      </c>
      <c r="P98" t="inlineStr">
        <is>
          <t>Процент комиссии с безналичной оплаты</t>
        </is>
      </c>
      <c r="Q98" t="inlineStr">
        <is>
          <t>0–100</t>
        </is>
      </c>
      <c r="R98" t="inlineStr">
        <is>
          <t>2.7</t>
        </is>
      </c>
      <c r="S98" t="inlineStr">
        <is>
          <t>%</t>
        </is>
      </c>
      <c r="U98" t="inlineStr">
        <is>
          <t>aq</t>
        </is>
      </c>
      <c r="V98" t="inlineStr">
        <is>
          <t>Банковские платежи</t>
        </is>
      </c>
      <c r="W98" t="inlineStr">
        <is>
          <t>Эквайринг</t>
        </is>
      </c>
      <c r="X98" t="inlineStr">
        <is>
          <t>Расходы · эквайринг</t>
        </is>
      </c>
      <c r="Y98" t="inlineStr">
        <is>
          <t>R × a</t>
        </is>
      </c>
      <c r="Z98" t="inlineStr">
        <is>
          <t>card01, налоги</t>
        </is>
      </c>
      <c r="AA98" t="inlineStr">
        <is>
          <t>да</t>
        </is>
      </c>
      <c r="AB98" s="229" t="n"/>
    </row>
    <row r="99">
      <c r="A99" t="inlineStr">
        <is>
          <t>63</t>
        </is>
      </c>
      <c r="B99" t="inlineStr">
        <is>
          <t>PAGE-CALC</t>
        </is>
      </c>
      <c r="C99" t="inlineStr">
        <is>
          <t>Анкета · calc.html</t>
        </is>
      </c>
      <c r="D99" t="inlineStr">
        <is>
          <t>16</t>
        </is>
      </c>
      <c r="E99" t="inlineStr">
        <is>
          <t>CALC-B16</t>
        </is>
      </c>
      <c r="F99" t="inlineStr">
        <is>
          <t>16</t>
        </is>
      </c>
      <c r="G99" t="inlineStr">
        <is>
          <t>Банковское обслуживание</t>
        </is>
      </c>
      <c r="H99" t="inlineStr">
        <is>
          <t>CALC-F16</t>
        </is>
      </c>
      <c r="I99" t="inlineStr">
        <is>
          <t>Банковское обслуживание</t>
        </is>
      </c>
      <c r="J99" t="inlineStr">
        <is>
          <t>CALC-F16-007</t>
        </is>
      </c>
      <c r="K99" t="inlineStr">
        <is>
          <t>acq_share</t>
        </is>
      </c>
      <c r="L99" t="inlineStr">
        <is>
          <t>acq_share</t>
        </is>
      </c>
      <c r="M99" t="inlineStr">
        <is>
          <t>Доля безналичных платежей</t>
        </is>
      </c>
      <c r="N99" t="inlineStr">
        <is>
          <t>input_number</t>
        </is>
      </c>
      <c r="O99" t="inlineStr">
        <is>
          <t>input</t>
        </is>
      </c>
      <c r="P99" t="inlineStr">
        <is>
          <t>Какая часть выручки проходит через эквайринг</t>
        </is>
      </c>
      <c r="Q99" t="inlineStr">
        <is>
          <t>0–100</t>
        </is>
      </c>
      <c r="R99" t="inlineStr">
        <is>
          <t>100</t>
        </is>
      </c>
      <c r="S99" t="inlineStr">
        <is>
          <t>%</t>
        </is>
      </c>
      <c r="U99" t="inlineStr">
        <is>
          <t>aq</t>
        </is>
      </c>
      <c r="V99" t="inlineStr">
        <is>
          <t>Банковские платежи</t>
        </is>
      </c>
      <c r="W99" t="inlineStr">
        <is>
          <t>Эквайринг</t>
        </is>
      </c>
      <c r="X99" t="inlineStr">
        <is>
          <t>Расходы · эквайринг</t>
        </is>
      </c>
      <c r="Y99" t="inlineStr">
        <is>
          <t>rate × share</t>
        </is>
      </c>
      <c r="Z99" t="inlineStr">
        <is>
          <t>card01</t>
        </is>
      </c>
      <c r="AA99" t="inlineStr">
        <is>
          <t>да</t>
        </is>
      </c>
      <c r="AB99" s="229" t="n"/>
    </row>
    <row r="100">
      <c r="A100" t="inlineStr">
        <is>
          <t>64</t>
        </is>
      </c>
      <c r="B100" t="inlineStr">
        <is>
          <t>PAGE-CALC</t>
        </is>
      </c>
      <c r="C100" t="inlineStr">
        <is>
          <t>Анкета · calc.html</t>
        </is>
      </c>
      <c r="D100" t="inlineStr">
        <is>
          <t>16</t>
        </is>
      </c>
      <c r="E100" t="inlineStr">
        <is>
          <t>CALC-B16</t>
        </is>
      </c>
      <c r="F100" t="inlineStr">
        <is>
          <t>16</t>
        </is>
      </c>
      <c r="G100" t="inlineStr">
        <is>
          <t>Банковское обслуживание</t>
        </is>
      </c>
      <c r="H100" t="inlineStr">
        <is>
          <t>CALC-F16</t>
        </is>
      </c>
      <c r="I100" t="inlineStr">
        <is>
          <t>Банковское обслуживание</t>
        </is>
      </c>
      <c r="J100" t="inlineStr">
        <is>
          <t>CALC-F16-008</t>
        </is>
      </c>
      <c r="K100" t="inlineStr">
        <is>
          <t>bank_extra_name_*</t>
        </is>
      </c>
      <c r="L100" t="inlineStr">
        <is>
          <t>bank_extra.name</t>
        </is>
      </c>
      <c r="M100" t="inlineStr">
        <is>
          <t>Название дополнительной комиссии</t>
        </is>
      </c>
      <c r="N100" t="inlineStr">
        <is>
          <t>input_text</t>
        </is>
      </c>
      <c r="O100" t="inlineStr">
        <is>
          <t>input</t>
        </is>
      </c>
      <c r="P100" t="inlineStr">
        <is>
          <t>Динамически добавляемая банковская комиссия</t>
        </is>
      </c>
      <c r="Q100" t="inlineStr">
        <is>
          <t>Свободный текст</t>
        </is>
      </c>
      <c r="U100" t="inlineStr">
        <is>
          <t>aq</t>
        </is>
      </c>
      <c r="V100" t="inlineStr">
        <is>
          <t>Банковские платежи</t>
        </is>
      </c>
      <c r="W100" t="inlineStr">
        <is>
          <t>Эквайринг</t>
        </is>
      </c>
      <c r="X100" t="inlineStr">
        <is>
          <t>Расходы · эквайринг</t>
        </is>
      </c>
      <c r="Y100" t="inlineStr">
        <is>
          <t>добавляется к a</t>
        </is>
      </c>
      <c r="Z100" t="inlineStr">
        <is>
          <t>card01</t>
        </is>
      </c>
      <c r="AA100" t="inlineStr">
        <is>
          <t>НЕТ — добавить в глоссарий</t>
        </is>
      </c>
      <c r="AB100" s="229" t="n"/>
    </row>
    <row r="101">
      <c r="A101" t="inlineStr">
        <is>
          <t>65</t>
        </is>
      </c>
      <c r="B101" t="inlineStr">
        <is>
          <t>PAGE-CALC</t>
        </is>
      </c>
      <c r="C101" t="inlineStr">
        <is>
          <t>Анкета · calc.html</t>
        </is>
      </c>
      <c r="D101" t="inlineStr">
        <is>
          <t>16</t>
        </is>
      </c>
      <c r="E101" t="inlineStr">
        <is>
          <t>CALC-B16</t>
        </is>
      </c>
      <c r="F101" t="inlineStr">
        <is>
          <t>16</t>
        </is>
      </c>
      <c r="G101" t="inlineStr">
        <is>
          <t>Банковское обслуживание</t>
        </is>
      </c>
      <c r="H101" t="inlineStr">
        <is>
          <t>CALC-F16</t>
        </is>
      </c>
      <c r="I101" t="inlineStr">
        <is>
          <t>Банковское обслуживание</t>
        </is>
      </c>
      <c r="J101" t="inlineStr">
        <is>
          <t>CALC-F16-009</t>
        </is>
      </c>
      <c r="K101" t="inlineStr">
        <is>
          <t>bank_extra_rate_*</t>
        </is>
      </c>
      <c r="L101" t="inlineStr">
        <is>
          <t>bank_extra.rate</t>
        </is>
      </c>
      <c r="M101" t="inlineStr">
        <is>
          <t>Ставка дополнительной комиссии</t>
        </is>
      </c>
      <c r="N101" t="inlineStr">
        <is>
          <t>input_number</t>
        </is>
      </c>
      <c r="O101" t="inlineStr">
        <is>
          <t>input</t>
        </is>
      </c>
      <c r="P101" t="inlineStr">
        <is>
          <t>Процент от всей выручки</t>
        </is>
      </c>
      <c r="Q101" t="inlineStr">
        <is>
          <t>0–100</t>
        </is>
      </c>
      <c r="S101" t="inlineStr">
        <is>
          <t>%</t>
        </is>
      </c>
      <c r="U101" t="inlineStr">
        <is>
          <t>aq</t>
        </is>
      </c>
      <c r="V101" t="inlineStr">
        <is>
          <t>Банковские платежи</t>
        </is>
      </c>
      <c r="W101" t="inlineStr">
        <is>
          <t>Эквайринг</t>
        </is>
      </c>
      <c r="X101" t="inlineStr">
        <is>
          <t>Расходы · эквайринг</t>
        </is>
      </c>
      <c r="Y101" t="inlineStr">
        <is>
          <t>добавляется к a</t>
        </is>
      </c>
      <c r="Z101" t="inlineStr">
        <is>
          <t>card01</t>
        </is>
      </c>
      <c r="AA101" t="inlineStr">
        <is>
          <t>да</t>
        </is>
      </c>
      <c r="AB101" s="229" t="n"/>
    </row>
    <row r="102">
      <c r="A102" t="inlineStr">
        <is>
          <t>66</t>
        </is>
      </c>
      <c r="B102" t="inlineStr">
        <is>
          <t>PAGE-CALC</t>
        </is>
      </c>
      <c r="C102" t="inlineStr">
        <is>
          <t>Анкета · calc.html</t>
        </is>
      </c>
      <c r="D102" t="inlineStr">
        <is>
          <t>16</t>
        </is>
      </c>
      <c r="E102" t="inlineStr">
        <is>
          <t>CALC-B16</t>
        </is>
      </c>
      <c r="F102" t="inlineStr">
        <is>
          <t>16</t>
        </is>
      </c>
      <c r="G102" t="inlineStr">
        <is>
          <t>Банковское обслуживание</t>
        </is>
      </c>
      <c r="H102" t="inlineStr">
        <is>
          <t>CALC-F16</t>
        </is>
      </c>
      <c r="I102" t="inlineStr">
        <is>
          <t>Банковское обслуживание</t>
        </is>
      </c>
      <c r="J102" t="inlineStr">
        <is>
          <t>CALC-F16-010</t>
        </is>
      </c>
      <c r="K102" t="inlineStr">
        <is>
          <t>data-exc=Form015b</t>
        </is>
      </c>
      <c r="L102" t="inlineStr">
        <is>
          <t>use_Form015b</t>
        </is>
      </c>
      <c r="M102" t="inlineStr">
        <is>
          <t>Учитывать банковский блок</t>
        </is>
      </c>
      <c r="N102" t="inlineStr">
        <is>
          <t>exclude_checkbox</t>
        </is>
      </c>
      <c r="O102" t="inlineStr">
        <is>
          <t>choice</t>
        </is>
      </c>
      <c r="P102" t="inlineStr">
        <is>
          <t>Обнуляет РКО и все процентные комиссии</t>
        </is>
      </c>
      <c r="Q102" t="inlineStr">
        <is>
          <t>учитывать / не учитывать</t>
        </is>
      </c>
      <c r="R102" t="inlineStr">
        <is>
          <t>учитывать</t>
        </is>
      </c>
      <c r="V102" t="inlineStr">
        <is>
          <t>Банковские платежи</t>
        </is>
      </c>
      <c r="W102" t="inlineStr">
        <is>
          <t>Банк</t>
        </is>
      </c>
      <c r="Y102" t="inlineStr">
        <is>
          <t>EXC.Form015b</t>
        </is>
      </c>
      <c r="Z102" t="inlineStr">
        <is>
          <t>анкета</t>
        </is>
      </c>
      <c r="AA102" t="inlineStr">
        <is>
          <t>да</t>
        </is>
      </c>
      <c r="AB102" s="229" t="inlineStr">
        <is>
          <t>RULE-004; RULE-006</t>
        </is>
      </c>
    </row>
    <row r="103">
      <c r="A103" t="inlineStr">
        <is>
          <t>БЛОК · Бухгалтерия и учёт [CALC-B17]</t>
        </is>
      </c>
      <c r="AB103" s="229" t="n"/>
    </row>
    <row r="104">
      <c r="A104" t="inlineStr">
        <is>
          <t>№</t>
        </is>
      </c>
      <c r="B104" t="inlineStr">
        <is>
          <t>Страница ID</t>
        </is>
      </c>
      <c r="C104" t="inlineStr">
        <is>
          <t>Страница</t>
        </is>
      </c>
      <c r="D104" t="inlineStr">
        <is>
          <t>Порядок</t>
        </is>
      </c>
      <c r="E104" t="inlineStr">
        <is>
          <t>Блок ID</t>
        </is>
      </c>
      <c r="F104" t="inlineStr">
        <is>
          <t>№ блока</t>
        </is>
      </c>
      <c r="G104" t="inlineStr">
        <is>
          <t>Название блока</t>
        </is>
      </c>
      <c r="H104" t="inlineStr">
        <is>
          <t>Форма ID</t>
        </is>
      </c>
      <c r="I104" t="inlineStr">
        <is>
          <t>Название формы</t>
        </is>
      </c>
      <c r="J104" t="inlineStr">
        <is>
          <t>Поле ID реестра</t>
        </is>
      </c>
      <c r="K104" t="inlineStr">
        <is>
          <t>DOM / код ID</t>
        </is>
      </c>
      <c r="L104" t="inlineStr">
        <is>
          <t>Параметр модели</t>
        </is>
      </c>
      <c r="M104" t="inlineStr">
        <is>
          <t>Наименование поля</t>
        </is>
      </c>
      <c r="N104" t="inlineStr">
        <is>
          <t>Тип поля</t>
        </is>
      </c>
      <c r="O104" t="inlineStr">
        <is>
          <t>Роль</t>
        </is>
      </c>
      <c r="P104" t="inlineStr">
        <is>
          <t>Что вводим / что означает</t>
        </is>
      </c>
      <c r="Q104" t="inlineStr">
        <is>
          <t>Допустимые ответы / варианты</t>
        </is>
      </c>
      <c r="R104" t="inlineStr">
        <is>
          <t>По умолчанию</t>
        </is>
      </c>
      <c r="S104" t="inlineStr">
        <is>
          <t>Единица</t>
        </is>
      </c>
      <c r="T104" t="inlineStr">
        <is>
          <t>Условие показа / включения</t>
        </is>
      </c>
      <c r="U104" t="inlineStr">
        <is>
          <t>Поле результата d</t>
        </is>
      </c>
      <c r="V104" t="inlineStr">
        <is>
          <t>Группа результата</t>
        </is>
      </c>
      <c r="W104" t="inlineStr">
        <is>
          <t>Подгруппа результата</t>
        </is>
      </c>
      <c r="X104" t="inlineStr">
        <is>
          <t>Группа диаграммы</t>
        </is>
      </c>
      <c r="Y104" t="inlineStr">
        <is>
          <t>Формула / источник</t>
        </is>
      </c>
      <c r="Z104" t="inlineStr">
        <is>
          <t>Где выводится</t>
        </is>
      </c>
      <c r="AA104" t="inlineStr">
        <is>
          <t>Тип есть в глоссарии</t>
        </is>
      </c>
      <c r="AB104" s="229" t="inlineStr">
        <is>
          <t>Правило ID</t>
        </is>
      </c>
    </row>
    <row r="105">
      <c r="A105" t="inlineStr">
        <is>
          <t>67</t>
        </is>
      </c>
      <c r="B105" t="inlineStr">
        <is>
          <t>PAGE-CALC</t>
        </is>
      </c>
      <c r="C105" t="inlineStr">
        <is>
          <t>Анкета · calc.html</t>
        </is>
      </c>
      <c r="D105" t="inlineStr">
        <is>
          <t>17</t>
        </is>
      </c>
      <c r="E105" t="inlineStr">
        <is>
          <t>CALC-B17</t>
        </is>
      </c>
      <c r="F105" t="inlineStr">
        <is>
          <t>17</t>
        </is>
      </c>
      <c r="G105" t="inlineStr">
        <is>
          <t>Бухгалтерия и учёт</t>
        </is>
      </c>
      <c r="H105" t="inlineStr">
        <is>
          <t>CALC-F17</t>
        </is>
      </c>
      <c r="I105" t="inlineStr">
        <is>
          <t>Бухгалтерия и учёт</t>
        </is>
      </c>
      <c r="J105" t="inlineStr">
        <is>
          <t>CALC-F17-001</t>
        </is>
      </c>
      <c r="K105" t="inlineStr">
        <is>
          <t>name=acc_mode</t>
        </is>
      </c>
      <c r="L105" t="inlineStr">
        <is>
          <t>acc_mode</t>
        </is>
      </c>
      <c r="M105" t="inlineStr">
        <is>
          <t>Кто ведёт учёт</t>
        </is>
      </c>
      <c r="N105" t="inlineStr">
        <is>
          <t>radio</t>
        </is>
      </c>
      <c r="O105" t="inlineStr">
        <is>
          <t>choice</t>
        </is>
      </c>
      <c r="P105" t="inlineStr">
        <is>
          <t>Самостоятельный учёт или специалист</t>
        </is>
      </c>
      <c r="Q105" t="inlineStr">
        <is>
          <t>self / hired</t>
        </is>
      </c>
      <c r="R105" t="inlineStr">
        <is>
          <t>self</t>
        </is>
      </c>
      <c r="U105" t="inlineStr">
        <is>
          <t>accT / varAcc</t>
        </is>
      </c>
      <c r="V105" t="inlineStr">
        <is>
          <t>Время / Переменные расходы</t>
        </is>
      </c>
      <c r="W105" t="inlineStr">
        <is>
          <t>Учёт</t>
        </is>
      </c>
      <c r="Y105" t="inlineStr">
        <is>
          <t>ветка acc_mode</t>
        </is>
      </c>
      <c r="Z105" t="inlineStr">
        <is>
          <t>неделя, расходы</t>
        </is>
      </c>
      <c r="AA105" t="inlineStr">
        <is>
          <t>да</t>
        </is>
      </c>
      <c r="AB105" s="229" t="inlineStr">
        <is>
          <t>RULE-007</t>
        </is>
      </c>
    </row>
    <row r="106">
      <c r="A106" t="inlineStr">
        <is>
          <t>68</t>
        </is>
      </c>
      <c r="B106" t="inlineStr">
        <is>
          <t>PAGE-CALC</t>
        </is>
      </c>
      <c r="C106" t="inlineStr">
        <is>
          <t>Анкета · calc.html</t>
        </is>
      </c>
      <c r="D106" t="inlineStr">
        <is>
          <t>17</t>
        </is>
      </c>
      <c r="E106" t="inlineStr">
        <is>
          <t>CALC-B17</t>
        </is>
      </c>
      <c r="F106" t="inlineStr">
        <is>
          <t>17</t>
        </is>
      </c>
      <c r="G106" t="inlineStr">
        <is>
          <t>Бухгалтерия и учёт</t>
        </is>
      </c>
      <c r="H106" t="inlineStr">
        <is>
          <t>CALC-F17</t>
        </is>
      </c>
      <c r="I106" t="inlineStr">
        <is>
          <t>Бухгалтерия и учёт</t>
        </is>
      </c>
      <c r="J106" t="inlineStr">
        <is>
          <t>CALC-F17-002</t>
        </is>
      </c>
      <c r="K106" t="inlineStr">
        <is>
          <t>acc_per_quarter</t>
        </is>
      </c>
      <c r="L106" t="inlineStr">
        <is>
          <t>acc_per_quarter</t>
        </is>
      </c>
      <c r="M106" t="inlineStr">
        <is>
          <t>Часов учёта в квартал</t>
        </is>
      </c>
      <c r="N106" t="inlineStr">
        <is>
          <t>input_number</t>
        </is>
      </c>
      <c r="O106" t="inlineStr">
        <is>
          <t>input</t>
        </is>
      </c>
      <c r="P106" t="inlineStr">
        <is>
          <t>Время самостоятельного учёта</t>
        </is>
      </c>
      <c r="Q106" t="inlineStr">
        <is>
          <t>Число 0 или больше</t>
        </is>
      </c>
      <c r="R106" t="inlineStr">
        <is>
          <t>3</t>
        </is>
      </c>
      <c r="S106" t="inlineStr">
        <is>
          <t>ч/квартал</t>
        </is>
      </c>
      <c r="T106" t="inlineStr">
        <is>
          <t>acc_mode=self</t>
        </is>
      </c>
      <c r="U106" t="inlineStr">
        <is>
          <t>accT</t>
        </is>
      </c>
      <c r="V106" t="inlineStr">
        <is>
          <t>Время</t>
        </is>
      </c>
      <c r="W106" t="inlineStr">
        <is>
          <t>Накладное время</t>
        </is>
      </c>
      <c r="X106" t="inlineStr">
        <is>
          <t>Доход · учёт</t>
        </is>
      </c>
      <c r="Y106" t="inlineStr">
        <is>
          <t>×4</t>
        </is>
      </c>
      <c r="Z106" t="inlineStr">
        <is>
          <t>card01, неделя</t>
        </is>
      </c>
      <c r="AA106" t="inlineStr">
        <is>
          <t>да</t>
        </is>
      </c>
      <c r="AB106" s="229" t="n"/>
    </row>
    <row r="107">
      <c r="A107" t="inlineStr">
        <is>
          <t>69</t>
        </is>
      </c>
      <c r="B107" t="inlineStr">
        <is>
          <t>PAGE-CALC</t>
        </is>
      </c>
      <c r="C107" t="inlineStr">
        <is>
          <t>Анкета · calc.html</t>
        </is>
      </c>
      <c r="D107" t="inlineStr">
        <is>
          <t>17</t>
        </is>
      </c>
      <c r="E107" t="inlineStr">
        <is>
          <t>CALC-B17</t>
        </is>
      </c>
      <c r="F107" t="inlineStr">
        <is>
          <t>17</t>
        </is>
      </c>
      <c r="G107" t="inlineStr">
        <is>
          <t>Бухгалтерия и учёт</t>
        </is>
      </c>
      <c r="H107" t="inlineStr">
        <is>
          <t>CALC-F17</t>
        </is>
      </c>
      <c r="I107" t="inlineStr">
        <is>
          <t>Бухгалтерия и учёт</t>
        </is>
      </c>
      <c r="J107" t="inlineStr">
        <is>
          <t>CALC-F17-003</t>
        </is>
      </c>
      <c r="K107" t="inlineStr">
        <is>
          <t>acc_cost_month</t>
        </is>
      </c>
      <c r="L107" t="inlineStr">
        <is>
          <t>acc_cost_month</t>
        </is>
      </c>
      <c r="M107" t="inlineStr">
        <is>
          <t>Стоимость бухгалтера</t>
        </is>
      </c>
      <c r="N107" t="inlineStr">
        <is>
          <t>input_number</t>
        </is>
      </c>
      <c r="O107" t="inlineStr">
        <is>
          <t>input</t>
        </is>
      </c>
      <c r="P107" t="inlineStr">
        <is>
          <t>Ежемесячная стоимость специалиста</t>
        </is>
      </c>
      <c r="Q107" t="inlineStr">
        <is>
          <t>Число 0 или больше</t>
        </is>
      </c>
      <c r="R107" t="inlineStr">
        <is>
          <t>10000</t>
        </is>
      </c>
      <c r="S107" t="inlineStr">
        <is>
          <t>₽/мес</t>
        </is>
      </c>
      <c r="T107" t="inlineStr">
        <is>
          <t>acc_mode=hired</t>
        </is>
      </c>
      <c r="U107" t="inlineStr">
        <is>
          <t>varAcc</t>
        </is>
      </c>
      <c r="V107" t="inlineStr">
        <is>
          <t>Переменные расходы</t>
        </is>
      </c>
      <c r="W107" t="inlineStr">
        <is>
          <t>Бухгалтерия</t>
        </is>
      </c>
      <c r="X107" t="inlineStr">
        <is>
          <t>Расходы · текущие счета</t>
        </is>
      </c>
      <c r="Y107" t="inlineStr">
        <is>
          <t>×12</t>
        </is>
      </c>
      <c r="Z107" t="inlineStr">
        <is>
          <t>card01</t>
        </is>
      </c>
      <c r="AA107" t="inlineStr">
        <is>
          <t>да</t>
        </is>
      </c>
      <c r="AB107" s="229" t="inlineStr">
        <is>
          <t>RULE-011; RULE-018</t>
        </is>
      </c>
    </row>
    <row r="108">
      <c r="A108" t="inlineStr">
        <is>
          <t>70</t>
        </is>
      </c>
      <c r="B108" t="inlineStr">
        <is>
          <t>PAGE-CALC</t>
        </is>
      </c>
      <c r="C108" t="inlineStr">
        <is>
          <t>Анкета · calc.html</t>
        </is>
      </c>
      <c r="D108" t="inlineStr">
        <is>
          <t>17</t>
        </is>
      </c>
      <c r="E108" t="inlineStr">
        <is>
          <t>CALC-B17</t>
        </is>
      </c>
      <c r="F108" t="inlineStr">
        <is>
          <t>17</t>
        </is>
      </c>
      <c r="G108" t="inlineStr">
        <is>
          <t>Бухгалтерия и учёт</t>
        </is>
      </c>
      <c r="H108" t="inlineStr">
        <is>
          <t>CALC-F17</t>
        </is>
      </c>
      <c r="I108" t="inlineStr">
        <is>
          <t>Бухгалтерия и учёт</t>
        </is>
      </c>
      <c r="J108" t="inlineStr">
        <is>
          <t>CALC-F17-004</t>
        </is>
      </c>
      <c r="K108" t="inlineStr">
        <is>
          <t>data-exc=Form011</t>
        </is>
      </c>
      <c r="L108" t="inlineStr">
        <is>
          <t>use_Form011</t>
        </is>
      </c>
      <c r="M108" t="inlineStr">
        <is>
          <t>Учитывать учёт</t>
        </is>
      </c>
      <c r="N108" t="inlineStr">
        <is>
          <t>exclude_checkbox</t>
        </is>
      </c>
      <c r="O108" t="inlineStr">
        <is>
          <t>choice</t>
        </is>
      </c>
      <c r="P108" t="inlineStr">
        <is>
          <t>Обнуляет время и деньги учёта</t>
        </is>
      </c>
      <c r="Q108" t="inlineStr">
        <is>
          <t>учитывать / не учитывать</t>
        </is>
      </c>
      <c r="R108" t="inlineStr">
        <is>
          <t>учитывать</t>
        </is>
      </c>
      <c r="V108" t="inlineStr">
        <is>
          <t>Время / Переменные расходы</t>
        </is>
      </c>
      <c r="W108" t="inlineStr">
        <is>
          <t>Учёт</t>
        </is>
      </c>
      <c r="Y108" t="inlineStr">
        <is>
          <t>EXC.Form011</t>
        </is>
      </c>
      <c r="Z108" t="inlineStr">
        <is>
          <t>анкета</t>
        </is>
      </c>
      <c r="AA108" t="inlineStr">
        <is>
          <t>да</t>
        </is>
      </c>
      <c r="AB108" s="229" t="inlineStr">
        <is>
          <t>RULE-004; RULE-006</t>
        </is>
      </c>
    </row>
    <row r="109">
      <c r="A109" t="inlineStr">
        <is>
          <t>БЛОК · Резерв времени на простой и форс-мажоры [CALC-B18]</t>
        </is>
      </c>
      <c r="AB109" s="229" t="n"/>
    </row>
    <row r="110">
      <c r="A110" t="inlineStr">
        <is>
          <t>№</t>
        </is>
      </c>
      <c r="B110" t="inlineStr">
        <is>
          <t>Страница ID</t>
        </is>
      </c>
      <c r="C110" t="inlineStr">
        <is>
          <t>Страница</t>
        </is>
      </c>
      <c r="D110" t="inlineStr">
        <is>
          <t>Порядок</t>
        </is>
      </c>
      <c r="E110" t="inlineStr">
        <is>
          <t>Блок ID</t>
        </is>
      </c>
      <c r="F110" t="inlineStr">
        <is>
          <t>№ блока</t>
        </is>
      </c>
      <c r="G110" t="inlineStr">
        <is>
          <t>Название блока</t>
        </is>
      </c>
      <c r="H110" t="inlineStr">
        <is>
          <t>Форма ID</t>
        </is>
      </c>
      <c r="I110" t="inlineStr">
        <is>
          <t>Название формы</t>
        </is>
      </c>
      <c r="J110" t="inlineStr">
        <is>
          <t>Поле ID реестра</t>
        </is>
      </c>
      <c r="K110" t="inlineStr">
        <is>
          <t>DOM / код ID</t>
        </is>
      </c>
      <c r="L110" t="inlineStr">
        <is>
          <t>Параметр модели</t>
        </is>
      </c>
      <c r="M110" t="inlineStr">
        <is>
          <t>Наименование поля</t>
        </is>
      </c>
      <c r="N110" t="inlineStr">
        <is>
          <t>Тип поля</t>
        </is>
      </c>
      <c r="O110" t="inlineStr">
        <is>
          <t>Роль</t>
        </is>
      </c>
      <c r="P110" t="inlineStr">
        <is>
          <t>Что вводим / что означает</t>
        </is>
      </c>
      <c r="Q110" t="inlineStr">
        <is>
          <t>Допустимые ответы / варианты</t>
        </is>
      </c>
      <c r="R110" t="inlineStr">
        <is>
          <t>По умолчанию</t>
        </is>
      </c>
      <c r="S110" t="inlineStr">
        <is>
          <t>Единица</t>
        </is>
      </c>
      <c r="T110" t="inlineStr">
        <is>
          <t>Условие показа / включения</t>
        </is>
      </c>
      <c r="U110" t="inlineStr">
        <is>
          <t>Поле результата d</t>
        </is>
      </c>
      <c r="V110" t="inlineStr">
        <is>
          <t>Группа результата</t>
        </is>
      </c>
      <c r="W110" t="inlineStr">
        <is>
          <t>Подгруппа результата</t>
        </is>
      </c>
      <c r="X110" t="inlineStr">
        <is>
          <t>Группа диаграммы</t>
        </is>
      </c>
      <c r="Y110" t="inlineStr">
        <is>
          <t>Формула / источник</t>
        </is>
      </c>
      <c r="Z110" t="inlineStr">
        <is>
          <t>Где выводится</t>
        </is>
      </c>
      <c r="AA110" t="inlineStr">
        <is>
          <t>Тип есть в глоссарии</t>
        </is>
      </c>
      <c r="AB110" s="229" t="inlineStr">
        <is>
          <t>Правило ID</t>
        </is>
      </c>
    </row>
    <row r="111">
      <c r="A111" t="inlineStr">
        <is>
          <t>71</t>
        </is>
      </c>
      <c r="B111" t="inlineStr">
        <is>
          <t>PAGE-CALC</t>
        </is>
      </c>
      <c r="C111" t="inlineStr">
        <is>
          <t>Анкета · calc.html</t>
        </is>
      </c>
      <c r="D111" t="inlineStr">
        <is>
          <t>18</t>
        </is>
      </c>
      <c r="E111" t="inlineStr">
        <is>
          <t>CALC-B18</t>
        </is>
      </c>
      <c r="F111" t="inlineStr">
        <is>
          <t>18</t>
        </is>
      </c>
      <c r="G111" t="inlineStr">
        <is>
          <t>Резерв времени на простой и форс-мажоры</t>
        </is>
      </c>
      <c r="H111" t="inlineStr">
        <is>
          <t>CALC-F18</t>
        </is>
      </c>
      <c r="I111" t="inlineStr">
        <is>
          <t>Резерв времени</t>
        </is>
      </c>
      <c r="J111" t="inlineStr">
        <is>
          <t>CALC-F18-001</t>
        </is>
      </c>
      <c r="K111" t="inlineStr">
        <is>
          <t>fm_on</t>
        </is>
      </c>
      <c r="L111" t="inlineStr">
        <is>
          <t>fm_on</t>
        </is>
      </c>
      <c r="M111" t="inlineStr">
        <is>
          <t>Включить резерв времени</t>
        </is>
      </c>
      <c r="N111" t="inlineStr">
        <is>
          <t>checkbox</t>
        </is>
      </c>
      <c r="O111" t="inlineStr">
        <is>
          <t>choice</t>
        </is>
      </c>
      <c r="P111" t="inlineStr">
        <is>
          <t>Включает резерв времени на простой и форс-мажоры</t>
        </is>
      </c>
      <c r="Q111" t="inlineStr">
        <is>
          <t>включено / выключено</t>
        </is>
      </c>
      <c r="R111" t="inlineStr">
        <is>
          <t>выключено</t>
        </is>
      </c>
      <c r="U111" t="inlineStr">
        <is>
          <t>fmT</t>
        </is>
      </c>
      <c r="V111" t="inlineStr">
        <is>
          <t>Резервы</t>
        </is>
      </c>
      <c r="W111" t="inlineStr">
        <is>
          <t>Резерв времени</t>
        </is>
      </c>
      <c r="X111" t="inlineStr">
        <is>
          <t>Доход · простой</t>
        </is>
      </c>
      <c r="Y111" t="inlineStr">
        <is>
          <t>gross × fm_pct</t>
        </is>
      </c>
      <c r="Z111" t="inlineStr">
        <is>
          <t>card01, неделя</t>
        </is>
      </c>
      <c r="AA111" t="inlineStr">
        <is>
          <t>да</t>
        </is>
      </c>
      <c r="AB111" s="229" t="inlineStr">
        <is>
          <t>RULE-004; RULE-005</t>
        </is>
      </c>
    </row>
    <row r="112">
      <c r="A112" t="inlineStr">
        <is>
          <t>72</t>
        </is>
      </c>
      <c r="B112" t="inlineStr">
        <is>
          <t>PAGE-CALC</t>
        </is>
      </c>
      <c r="C112" t="inlineStr">
        <is>
          <t>Анкета · calc.html</t>
        </is>
      </c>
      <c r="D112" t="inlineStr">
        <is>
          <t>18</t>
        </is>
      </c>
      <c r="E112" t="inlineStr">
        <is>
          <t>CALC-B18</t>
        </is>
      </c>
      <c r="F112" t="inlineStr">
        <is>
          <t>18</t>
        </is>
      </c>
      <c r="G112" t="inlineStr">
        <is>
          <t>Резерв времени на простой и форс-мажоры</t>
        </is>
      </c>
      <c r="H112" t="inlineStr">
        <is>
          <t>CALC-F18</t>
        </is>
      </c>
      <c r="I112" t="inlineStr">
        <is>
          <t>Резерв времени</t>
        </is>
      </c>
      <c r="J112" t="inlineStr">
        <is>
          <t>CALC-F18-002</t>
        </is>
      </c>
      <c r="K112" t="inlineStr">
        <is>
          <t>fm_pct</t>
        </is>
      </c>
      <c r="L112" t="inlineStr">
        <is>
          <t>fm_pct</t>
        </is>
      </c>
      <c r="M112" t="inlineStr">
        <is>
          <t>Размер резерва времени</t>
        </is>
      </c>
      <c r="N112" t="inlineStr">
        <is>
          <t>range</t>
        </is>
      </c>
      <c r="O112" t="inlineStr">
        <is>
          <t>input</t>
        </is>
      </c>
      <c r="P112" t="inlineStr">
        <is>
          <t>Доля времени на простой и форс-мажоры</t>
        </is>
      </c>
      <c r="Q112" t="inlineStr">
        <is>
          <t>0–15</t>
        </is>
      </c>
      <c r="R112" t="inlineStr">
        <is>
          <t>5</t>
        </is>
      </c>
      <c r="S112" t="inlineStr">
        <is>
          <t>%</t>
        </is>
      </c>
      <c r="T112" t="inlineStr">
        <is>
          <t>fm_on=true</t>
        </is>
      </c>
      <c r="U112" t="inlineStr">
        <is>
          <t>fmT</t>
        </is>
      </c>
      <c r="V112" t="inlineStr">
        <is>
          <t>Резервы</t>
        </is>
      </c>
      <c r="W112" t="inlineStr">
        <is>
          <t>Резерв времени</t>
        </is>
      </c>
      <c r="X112" t="inlineStr">
        <is>
          <t>Доход · простой</t>
        </is>
      </c>
      <c r="Y112" t="inlineStr">
        <is>
          <t>gross × %</t>
        </is>
      </c>
      <c r="Z112" t="inlineStr">
        <is>
          <t>card01</t>
        </is>
      </c>
      <c r="AA112" t="inlineStr">
        <is>
          <t>НЕТ — добавить в глоссарий</t>
        </is>
      </c>
      <c r="AB112" s="229" t="n"/>
    </row>
    <row r="113">
      <c r="A113" t="inlineStr">
        <is>
          <t>73</t>
        </is>
      </c>
      <c r="B113" t="inlineStr">
        <is>
          <t>PAGE-CALC</t>
        </is>
      </c>
      <c r="C113" t="inlineStr">
        <is>
          <t>Анкета · calc.html</t>
        </is>
      </c>
      <c r="D113" t="inlineStr">
        <is>
          <t>18</t>
        </is>
      </c>
      <c r="E113" t="inlineStr">
        <is>
          <t>CALC-B18</t>
        </is>
      </c>
      <c r="F113" t="inlineStr">
        <is>
          <t>18</t>
        </is>
      </c>
      <c r="G113" t="inlineStr">
        <is>
          <t>Резерв времени на простой и форс-мажоры</t>
        </is>
      </c>
      <c r="H113" t="inlineStr">
        <is>
          <t>CALC-F18</t>
        </is>
      </c>
      <c r="I113" t="inlineStr">
        <is>
          <t>Резерв времени</t>
        </is>
      </c>
      <c r="J113" t="inlineStr">
        <is>
          <t>CALC-F18-003</t>
        </is>
      </c>
      <c r="K113" t="inlineStr">
        <is>
          <t>fm_out</t>
        </is>
      </c>
      <c r="L113" t="inlineStr">
        <is>
          <t>fm_pct</t>
        </is>
      </c>
      <c r="M113" t="inlineStr">
        <is>
          <t>Показанное значение резерва</t>
        </is>
      </c>
      <c r="N113" t="inlineStr">
        <is>
          <t>output</t>
        </is>
      </c>
      <c r="O113" t="inlineStr">
        <is>
          <t>result</t>
        </is>
      </c>
      <c r="P113" t="inlineStr">
        <is>
          <t>Текст рядом с ползунком</t>
        </is>
      </c>
      <c r="R113" t="inlineStr">
        <is>
          <t>5%</t>
        </is>
      </c>
      <c r="S113" t="inlineStr">
        <is>
          <t>%</t>
        </is>
      </c>
      <c r="T113" t="inlineStr">
        <is>
          <t>динамически</t>
        </is>
      </c>
      <c r="U113" t="inlineStr">
        <is>
          <t>fmT</t>
        </is>
      </c>
      <c r="V113" t="inlineStr">
        <is>
          <t>Резервы</t>
        </is>
      </c>
      <c r="W113" t="inlineStr">
        <is>
          <t>Резерв времени</t>
        </is>
      </c>
      <c r="Y113" t="inlineStr">
        <is>
          <t>UI output</t>
        </is>
      </c>
      <c r="Z113" t="inlineStr">
        <is>
          <t>анкета</t>
        </is>
      </c>
      <c r="AA113" t="inlineStr">
        <is>
          <t>НЕТ — добавить в глоссарий</t>
        </is>
      </c>
      <c r="AB113" s="229" t="n"/>
    </row>
    <row r="114">
      <c r="A114" t="inlineStr">
        <is>
          <t>БЛОК · Фонд развития [CALC-B19]</t>
        </is>
      </c>
      <c r="AB114" s="229" t="n"/>
    </row>
    <row r="115">
      <c r="A115" t="inlineStr">
        <is>
          <t>№</t>
        </is>
      </c>
      <c r="B115" t="inlineStr">
        <is>
          <t>Страница ID</t>
        </is>
      </c>
      <c r="C115" t="inlineStr">
        <is>
          <t>Страница</t>
        </is>
      </c>
      <c r="D115" t="inlineStr">
        <is>
          <t>Порядок</t>
        </is>
      </c>
      <c r="E115" t="inlineStr">
        <is>
          <t>Блок ID</t>
        </is>
      </c>
      <c r="F115" t="inlineStr">
        <is>
          <t>№ блока</t>
        </is>
      </c>
      <c r="G115" t="inlineStr">
        <is>
          <t>Название блока</t>
        </is>
      </c>
      <c r="H115" t="inlineStr">
        <is>
          <t>Форма ID</t>
        </is>
      </c>
      <c r="I115" t="inlineStr">
        <is>
          <t>Название формы</t>
        </is>
      </c>
      <c r="J115" t="inlineStr">
        <is>
          <t>Поле ID реестра</t>
        </is>
      </c>
      <c r="K115" t="inlineStr">
        <is>
          <t>DOM / код ID</t>
        </is>
      </c>
      <c r="L115" t="inlineStr">
        <is>
          <t>Параметр модели</t>
        </is>
      </c>
      <c r="M115" t="inlineStr">
        <is>
          <t>Наименование поля</t>
        </is>
      </c>
      <c r="N115" t="inlineStr">
        <is>
          <t>Тип поля</t>
        </is>
      </c>
      <c r="O115" t="inlineStr">
        <is>
          <t>Роль</t>
        </is>
      </c>
      <c r="P115" t="inlineStr">
        <is>
          <t>Что вводим / что означает</t>
        </is>
      </c>
      <c r="Q115" t="inlineStr">
        <is>
          <t>Допустимые ответы / варианты</t>
        </is>
      </c>
      <c r="R115" t="inlineStr">
        <is>
          <t>По умолчанию</t>
        </is>
      </c>
      <c r="S115" t="inlineStr">
        <is>
          <t>Единица</t>
        </is>
      </c>
      <c r="T115" t="inlineStr">
        <is>
          <t>Условие показа / включения</t>
        </is>
      </c>
      <c r="U115" t="inlineStr">
        <is>
          <t>Поле результата d</t>
        </is>
      </c>
      <c r="V115" t="inlineStr">
        <is>
          <t>Группа результата</t>
        </is>
      </c>
      <c r="W115" t="inlineStr">
        <is>
          <t>Подгруппа результата</t>
        </is>
      </c>
      <c r="X115" t="inlineStr">
        <is>
          <t>Группа диаграммы</t>
        </is>
      </c>
      <c r="Y115" t="inlineStr">
        <is>
          <t>Формула / источник</t>
        </is>
      </c>
      <c r="Z115" t="inlineStr">
        <is>
          <t>Где выводится</t>
        </is>
      </c>
      <c r="AA115" t="inlineStr">
        <is>
          <t>Тип есть в глоссарии</t>
        </is>
      </c>
      <c r="AB115" s="229" t="inlineStr">
        <is>
          <t>Правило ID</t>
        </is>
      </c>
    </row>
    <row r="116">
      <c r="A116" t="inlineStr">
        <is>
          <t>74</t>
        </is>
      </c>
      <c r="B116" t="inlineStr">
        <is>
          <t>PAGE-CALC</t>
        </is>
      </c>
      <c r="C116" t="inlineStr">
        <is>
          <t>Анкета · calc.html</t>
        </is>
      </c>
      <c r="D116" t="inlineStr">
        <is>
          <t>19</t>
        </is>
      </c>
      <c r="E116" t="inlineStr">
        <is>
          <t>CALC-B19</t>
        </is>
      </c>
      <c r="F116" t="inlineStr">
        <is>
          <t>19</t>
        </is>
      </c>
      <c r="G116" t="inlineStr">
        <is>
          <t>Фонд развития</t>
        </is>
      </c>
      <c r="H116" t="inlineStr">
        <is>
          <t>CALC-F19</t>
        </is>
      </c>
      <c r="I116" t="inlineStr">
        <is>
          <t>Фонд развития</t>
        </is>
      </c>
      <c r="J116" t="inlineStr">
        <is>
          <t>CALC-F19-001</t>
        </is>
      </c>
      <c r="K116" t="inlineStr">
        <is>
          <t>fund_on</t>
        </is>
      </c>
      <c r="L116" t="inlineStr">
        <is>
          <t>fund_on</t>
        </is>
      </c>
      <c r="M116" t="inlineStr">
        <is>
          <t>Включить фонд развития</t>
        </is>
      </c>
      <c r="N116" t="inlineStr">
        <is>
          <t>checkbox</t>
        </is>
      </c>
      <c r="O116" t="inlineStr">
        <is>
          <t>choice</t>
        </is>
      </c>
      <c r="P116" t="inlineStr">
        <is>
          <t>Включает денежный фонд развития</t>
        </is>
      </c>
      <c r="Q116" t="inlineStr">
        <is>
          <t>включено / выключено</t>
        </is>
      </c>
      <c r="R116" t="inlineStr">
        <is>
          <t>выключено</t>
        </is>
      </c>
      <c r="U116" t="inlineStr">
        <is>
          <t>fundY</t>
        </is>
      </c>
      <c r="V116" t="inlineStr">
        <is>
          <t>Резервы</t>
        </is>
      </c>
      <c r="W116" t="inlineStr">
        <is>
          <t>Развитие</t>
        </is>
      </c>
      <c r="X116" t="inlineStr">
        <is>
          <t>Резерв · развитие</t>
        </is>
      </c>
      <c r="Y116" t="inlineStr">
        <is>
          <t>R × fundP</t>
        </is>
      </c>
      <c r="Z116" t="inlineStr">
        <is>
          <t>card01</t>
        </is>
      </c>
      <c r="AA116" t="inlineStr">
        <is>
          <t>да</t>
        </is>
      </c>
      <c r="AB116" s="229" t="inlineStr">
        <is>
          <t>RULE-004; RULE-005</t>
        </is>
      </c>
    </row>
    <row r="117">
      <c r="A117" t="inlineStr">
        <is>
          <t>75</t>
        </is>
      </c>
      <c r="B117" t="inlineStr">
        <is>
          <t>PAGE-CALC</t>
        </is>
      </c>
      <c r="C117" t="inlineStr">
        <is>
          <t>Анкета · calc.html</t>
        </is>
      </c>
      <c r="D117" t="inlineStr">
        <is>
          <t>19</t>
        </is>
      </c>
      <c r="E117" t="inlineStr">
        <is>
          <t>CALC-B19</t>
        </is>
      </c>
      <c r="F117" t="inlineStr">
        <is>
          <t>19</t>
        </is>
      </c>
      <c r="G117" t="inlineStr">
        <is>
          <t>Фонд развития</t>
        </is>
      </c>
      <c r="H117" t="inlineStr">
        <is>
          <t>CALC-F19</t>
        </is>
      </c>
      <c r="I117" t="inlineStr">
        <is>
          <t>Фонд развития</t>
        </is>
      </c>
      <c r="J117" t="inlineStr">
        <is>
          <t>CALC-F19-002</t>
        </is>
      </c>
      <c r="K117" t="inlineStr">
        <is>
          <t>fund_pct</t>
        </is>
      </c>
      <c r="L117" t="inlineStr">
        <is>
          <t>fund_pct</t>
        </is>
      </c>
      <c r="M117" t="inlineStr">
        <is>
          <t>Размер фонда развития</t>
        </is>
      </c>
      <c r="N117" t="inlineStr">
        <is>
          <t>range</t>
        </is>
      </c>
      <c r="O117" t="inlineStr">
        <is>
          <t>input</t>
        </is>
      </c>
      <c r="P117" t="inlineStr">
        <is>
          <t>Доля выручки в фонд</t>
        </is>
      </c>
      <c r="Q117" t="inlineStr">
        <is>
          <t>0–20</t>
        </is>
      </c>
      <c r="R117" t="inlineStr">
        <is>
          <t>10</t>
        </is>
      </c>
      <c r="S117" t="inlineStr">
        <is>
          <t>%</t>
        </is>
      </c>
      <c r="T117" t="inlineStr">
        <is>
          <t>fund_on=true</t>
        </is>
      </c>
      <c r="U117" t="inlineStr">
        <is>
          <t>fundY</t>
        </is>
      </c>
      <c r="V117" t="inlineStr">
        <is>
          <t>Резервы</t>
        </is>
      </c>
      <c r="W117" t="inlineStr">
        <is>
          <t>Развитие</t>
        </is>
      </c>
      <c r="X117" t="inlineStr">
        <is>
          <t>Резерв · развитие</t>
        </is>
      </c>
      <c r="Y117" t="inlineStr">
        <is>
          <t>R × %</t>
        </is>
      </c>
      <c r="Z117" t="inlineStr">
        <is>
          <t>card01</t>
        </is>
      </c>
      <c r="AA117" t="inlineStr">
        <is>
          <t>НЕТ — добавить в глоссарий</t>
        </is>
      </c>
      <c r="AB117" s="229" t="n"/>
    </row>
    <row r="118">
      <c r="A118" t="inlineStr">
        <is>
          <t>76</t>
        </is>
      </c>
      <c r="B118" t="inlineStr">
        <is>
          <t>PAGE-CALC</t>
        </is>
      </c>
      <c r="C118" t="inlineStr">
        <is>
          <t>Анкета · calc.html</t>
        </is>
      </c>
      <c r="D118" t="inlineStr">
        <is>
          <t>19</t>
        </is>
      </c>
      <c r="E118" t="inlineStr">
        <is>
          <t>CALC-B19</t>
        </is>
      </c>
      <c r="F118" t="inlineStr">
        <is>
          <t>19</t>
        </is>
      </c>
      <c r="G118" t="inlineStr">
        <is>
          <t>Фонд развития</t>
        </is>
      </c>
      <c r="H118" t="inlineStr">
        <is>
          <t>CALC-F19</t>
        </is>
      </c>
      <c r="I118" t="inlineStr">
        <is>
          <t>Фонд развития</t>
        </is>
      </c>
      <c r="J118" t="inlineStr">
        <is>
          <t>CALC-F19-003</t>
        </is>
      </c>
      <c r="K118" t="inlineStr">
        <is>
          <t>fund_out</t>
        </is>
      </c>
      <c r="L118" t="inlineStr">
        <is>
          <t>fund_pct</t>
        </is>
      </c>
      <c r="M118" t="inlineStr">
        <is>
          <t>Показанное значение фонда</t>
        </is>
      </c>
      <c r="N118" t="inlineStr">
        <is>
          <t>output</t>
        </is>
      </c>
      <c r="O118" t="inlineStr">
        <is>
          <t>result</t>
        </is>
      </c>
      <c r="P118" t="inlineStr">
        <is>
          <t>Текст рядом с ползунком</t>
        </is>
      </c>
      <c r="R118" t="inlineStr">
        <is>
          <t>10%</t>
        </is>
      </c>
      <c r="S118" t="inlineStr">
        <is>
          <t>%</t>
        </is>
      </c>
      <c r="T118" t="inlineStr">
        <is>
          <t>динамически</t>
        </is>
      </c>
      <c r="U118" t="inlineStr">
        <is>
          <t>fundY</t>
        </is>
      </c>
      <c r="V118" t="inlineStr">
        <is>
          <t>Резервы</t>
        </is>
      </c>
      <c r="W118" t="inlineStr">
        <is>
          <t>Развитие</t>
        </is>
      </c>
      <c r="Y118" t="inlineStr">
        <is>
          <t>UI output</t>
        </is>
      </c>
      <c r="Z118" t="inlineStr">
        <is>
          <t>анкета</t>
        </is>
      </c>
      <c r="AA118" t="inlineStr">
        <is>
          <t>НЕТ — добавить в глоссарий</t>
        </is>
      </c>
      <c r="AB118" s="229" t="n"/>
    </row>
    <row r="119">
      <c r="A119" t="inlineStr">
        <is>
          <t>БЛОК · Запас на скидку [CALC-B20]</t>
        </is>
      </c>
      <c r="AB119" s="229" t="n"/>
    </row>
    <row r="120">
      <c r="A120" t="inlineStr">
        <is>
          <t>№</t>
        </is>
      </c>
      <c r="B120" t="inlineStr">
        <is>
          <t>Страница ID</t>
        </is>
      </c>
      <c r="C120" t="inlineStr">
        <is>
          <t>Страница</t>
        </is>
      </c>
      <c r="D120" t="inlineStr">
        <is>
          <t>Порядок</t>
        </is>
      </c>
      <c r="E120" t="inlineStr">
        <is>
          <t>Блок ID</t>
        </is>
      </c>
      <c r="F120" t="inlineStr">
        <is>
          <t>№ блока</t>
        </is>
      </c>
      <c r="G120" t="inlineStr">
        <is>
          <t>Название блока</t>
        </is>
      </c>
      <c r="H120" t="inlineStr">
        <is>
          <t>Форма ID</t>
        </is>
      </c>
      <c r="I120" t="inlineStr">
        <is>
          <t>Название формы</t>
        </is>
      </c>
      <c r="J120" t="inlineStr">
        <is>
          <t>Поле ID реестра</t>
        </is>
      </c>
      <c r="K120" t="inlineStr">
        <is>
          <t>DOM / код ID</t>
        </is>
      </c>
      <c r="L120" t="inlineStr">
        <is>
          <t>Параметр модели</t>
        </is>
      </c>
      <c r="M120" t="inlineStr">
        <is>
          <t>Наименование поля</t>
        </is>
      </c>
      <c r="N120" t="inlineStr">
        <is>
          <t>Тип поля</t>
        </is>
      </c>
      <c r="O120" t="inlineStr">
        <is>
          <t>Роль</t>
        </is>
      </c>
      <c r="P120" t="inlineStr">
        <is>
          <t>Что вводим / что означает</t>
        </is>
      </c>
      <c r="Q120" t="inlineStr">
        <is>
          <t>Допустимые ответы / варианты</t>
        </is>
      </c>
      <c r="R120" t="inlineStr">
        <is>
          <t>По умолчанию</t>
        </is>
      </c>
      <c r="S120" t="inlineStr">
        <is>
          <t>Единица</t>
        </is>
      </c>
      <c r="T120" t="inlineStr">
        <is>
          <t>Условие показа / включения</t>
        </is>
      </c>
      <c r="U120" t="inlineStr">
        <is>
          <t>Поле результата d</t>
        </is>
      </c>
      <c r="V120" t="inlineStr">
        <is>
          <t>Группа результата</t>
        </is>
      </c>
      <c r="W120" t="inlineStr">
        <is>
          <t>Подгруппа результата</t>
        </is>
      </c>
      <c r="X120" t="inlineStr">
        <is>
          <t>Группа диаграммы</t>
        </is>
      </c>
      <c r="Y120" t="inlineStr">
        <is>
          <t>Формула / источник</t>
        </is>
      </c>
      <c r="Z120" t="inlineStr">
        <is>
          <t>Где выводится</t>
        </is>
      </c>
      <c r="AA120" t="inlineStr">
        <is>
          <t>Тип есть в глоссарии</t>
        </is>
      </c>
      <c r="AB120" s="229" t="inlineStr">
        <is>
          <t>Правило ID</t>
        </is>
      </c>
    </row>
    <row r="121">
      <c r="A121" t="inlineStr">
        <is>
          <t>77</t>
        </is>
      </c>
      <c r="B121" t="inlineStr">
        <is>
          <t>PAGE-CALC</t>
        </is>
      </c>
      <c r="C121" t="inlineStr">
        <is>
          <t>Анкета · calc.html</t>
        </is>
      </c>
      <c r="D121" t="inlineStr">
        <is>
          <t>20</t>
        </is>
      </c>
      <c r="E121" t="inlineStr">
        <is>
          <t>CALC-B20</t>
        </is>
      </c>
      <c r="F121" t="inlineStr">
        <is>
          <t>20</t>
        </is>
      </c>
      <c r="G121" t="inlineStr">
        <is>
          <t>Запас на скидку</t>
        </is>
      </c>
      <c r="H121" t="inlineStr">
        <is>
          <t>CALC-F20</t>
        </is>
      </c>
      <c r="I121" t="inlineStr">
        <is>
          <t>Резерв программы лояльности</t>
        </is>
      </c>
      <c r="J121" t="inlineStr">
        <is>
          <t>CALC-F20-001</t>
        </is>
      </c>
      <c r="K121" t="inlineStr">
        <is>
          <t>disc_on</t>
        </is>
      </c>
      <c r="L121" t="inlineStr">
        <is>
          <t>disc_on</t>
        </is>
      </c>
      <c r="M121" t="inlineStr">
        <is>
          <t>Включить резерв скидки</t>
        </is>
      </c>
      <c r="N121" t="inlineStr">
        <is>
          <t>checkbox</t>
        </is>
      </c>
      <c r="O121" t="inlineStr">
        <is>
          <t>choice</t>
        </is>
      </c>
      <c r="P121" t="inlineStr">
        <is>
          <t>Включает фонд программы лояльности</t>
        </is>
      </c>
      <c r="Q121" t="inlineStr">
        <is>
          <t>включено / выключено</t>
        </is>
      </c>
      <c r="R121" t="inlineStr">
        <is>
          <t>выключено</t>
        </is>
      </c>
      <c r="U121" t="inlineStr">
        <is>
          <t>discY</t>
        </is>
      </c>
      <c r="V121" t="inlineStr">
        <is>
          <t>Резервы</t>
        </is>
      </c>
      <c r="W121" t="inlineStr">
        <is>
          <t>Лояльность</t>
        </is>
      </c>
      <c r="X121" t="inlineStr">
        <is>
          <t>Резерв · лояльность</t>
        </is>
      </c>
      <c r="Y121" t="inlineStr">
        <is>
          <t>R × discP</t>
        </is>
      </c>
      <c r="Z121" t="inlineStr">
        <is>
          <t>card01, card06</t>
        </is>
      </c>
      <c r="AA121" t="inlineStr">
        <is>
          <t>да</t>
        </is>
      </c>
      <c r="AB121" s="229" t="inlineStr">
        <is>
          <t>RULE-004; RULE-005</t>
        </is>
      </c>
    </row>
    <row r="122">
      <c r="A122" t="inlineStr">
        <is>
          <t>78</t>
        </is>
      </c>
      <c r="B122" t="inlineStr">
        <is>
          <t>PAGE-CALC</t>
        </is>
      </c>
      <c r="C122" t="inlineStr">
        <is>
          <t>Анкета · calc.html</t>
        </is>
      </c>
      <c r="D122" t="inlineStr">
        <is>
          <t>20</t>
        </is>
      </c>
      <c r="E122" t="inlineStr">
        <is>
          <t>CALC-B20</t>
        </is>
      </c>
      <c r="F122" t="inlineStr">
        <is>
          <t>20</t>
        </is>
      </c>
      <c r="G122" t="inlineStr">
        <is>
          <t>Запас на скидку</t>
        </is>
      </c>
      <c r="H122" t="inlineStr">
        <is>
          <t>CALC-F20</t>
        </is>
      </c>
      <c r="I122" t="inlineStr">
        <is>
          <t>Резерв программы лояльности</t>
        </is>
      </c>
      <c r="J122" t="inlineStr">
        <is>
          <t>CALC-F20-002</t>
        </is>
      </c>
      <c r="K122" t="inlineStr">
        <is>
          <t>name=disc_lvl</t>
        </is>
      </c>
      <c r="L122" t="inlineStr">
        <is>
          <t>disc_lvl</t>
        </is>
      </c>
      <c r="M122" t="inlineStr">
        <is>
          <t>Уровень резерва скидки</t>
        </is>
      </c>
      <c r="N122" t="inlineStr">
        <is>
          <t>radio</t>
        </is>
      </c>
      <c r="O122" t="inlineStr">
        <is>
          <t>choice</t>
        </is>
      </c>
      <c r="P122" t="inlineStr">
        <is>
          <t>Один из трёх готовых уровней</t>
        </is>
      </c>
      <c r="Q122" t="inlineStr">
        <is>
          <t>5 / 10 / 15</t>
        </is>
      </c>
      <c r="R122" t="inlineStr">
        <is>
          <t>15</t>
        </is>
      </c>
      <c r="S122" t="inlineStr">
        <is>
          <t>%</t>
        </is>
      </c>
      <c r="T122" t="inlineStr">
        <is>
          <t>disc_on=true</t>
        </is>
      </c>
      <c r="U122" t="inlineStr">
        <is>
          <t>discP</t>
        </is>
      </c>
      <c r="V122" t="inlineStr">
        <is>
          <t>Резервы</t>
        </is>
      </c>
      <c r="W122" t="inlineStr">
        <is>
          <t>Лояльность</t>
        </is>
      </c>
      <c r="Y122" t="inlineStr">
        <is>
          <t>копируется в disc_pct</t>
        </is>
      </c>
      <c r="Z122" t="inlineStr">
        <is>
          <t>card06</t>
        </is>
      </c>
      <c r="AA122" t="inlineStr">
        <is>
          <t>да</t>
        </is>
      </c>
      <c r="AB122" s="229" t="inlineStr">
        <is>
          <t>RULE-007</t>
        </is>
      </c>
    </row>
    <row r="123">
      <c r="A123" t="inlineStr">
        <is>
          <t>79</t>
        </is>
      </c>
      <c r="B123" t="inlineStr">
        <is>
          <t>PAGE-CALC</t>
        </is>
      </c>
      <c r="C123" t="inlineStr">
        <is>
          <t>Анкета · calc.html</t>
        </is>
      </c>
      <c r="D123" t="inlineStr">
        <is>
          <t>20</t>
        </is>
      </c>
      <c r="E123" t="inlineStr">
        <is>
          <t>CALC-B20</t>
        </is>
      </c>
      <c r="F123" t="inlineStr">
        <is>
          <t>20</t>
        </is>
      </c>
      <c r="G123" t="inlineStr">
        <is>
          <t>Запас на скидку</t>
        </is>
      </c>
      <c r="H123" t="inlineStr">
        <is>
          <t>CALC-F20</t>
        </is>
      </c>
      <c r="I123" t="inlineStr">
        <is>
          <t>Резерв программы лояльности</t>
        </is>
      </c>
      <c r="J123" t="inlineStr">
        <is>
          <t>CALC-F20-003</t>
        </is>
      </c>
      <c r="K123" t="inlineStr">
        <is>
          <t>disc_pct</t>
        </is>
      </c>
      <c r="L123" t="inlineStr">
        <is>
          <t>disc_pct</t>
        </is>
      </c>
      <c r="M123" t="inlineStr">
        <is>
          <t>Размер резерва скидки</t>
        </is>
      </c>
      <c r="N123" t="inlineStr">
        <is>
          <t>hidden</t>
        </is>
      </c>
      <c r="O123" t="inlineStr">
        <is>
          <t>service</t>
        </is>
      </c>
      <c r="P123" t="inlineStr">
        <is>
          <t>Скрытое итоговое значение выбранного уровня</t>
        </is>
      </c>
      <c r="Q123" t="inlineStr">
        <is>
          <t>5 / 10 / 15</t>
        </is>
      </c>
      <c r="R123" t="inlineStr">
        <is>
          <t>15</t>
        </is>
      </c>
      <c r="S123" t="inlineStr">
        <is>
          <t>%</t>
        </is>
      </c>
      <c r="U123" t="inlineStr">
        <is>
          <t>discY</t>
        </is>
      </c>
      <c r="V123" t="inlineStr">
        <is>
          <t>Резервы</t>
        </is>
      </c>
      <c r="W123" t="inlineStr">
        <is>
          <t>Лояльность</t>
        </is>
      </c>
      <c r="X123" t="inlineStr">
        <is>
          <t>Резерв · лояльность</t>
        </is>
      </c>
      <c r="Y123" t="inlineStr">
        <is>
          <t>R × %</t>
        </is>
      </c>
      <c r="Z123" t="inlineStr">
        <is>
          <t>card01, card06</t>
        </is>
      </c>
      <c r="AA123" t="inlineStr">
        <is>
          <t>НЕТ — добавить в глоссарий</t>
        </is>
      </c>
      <c r="AB123" s="229" t="n"/>
    </row>
    <row r="124">
      <c r="AB124" s="229" t="n"/>
    </row>
    <row r="125">
      <c r="A125" t="inlineStr">
        <is>
          <t>СТРАНИЦА · Модель · calc()</t>
        </is>
      </c>
      <c r="AB125" s="229" t="n"/>
    </row>
    <row r="126">
      <c r="A126" t="inlineStr">
        <is>
          <t>БЛОК · Служебные данные [MODEL-01]</t>
        </is>
      </c>
      <c r="AB126" s="229" t="n"/>
    </row>
    <row r="127">
      <c r="A127" t="inlineStr">
        <is>
          <t>№</t>
        </is>
      </c>
      <c r="B127" t="inlineStr">
        <is>
          <t>Страница ID</t>
        </is>
      </c>
      <c r="C127" t="inlineStr">
        <is>
          <t>Страница</t>
        </is>
      </c>
      <c r="D127" t="inlineStr">
        <is>
          <t>Порядок</t>
        </is>
      </c>
      <c r="E127" t="inlineStr">
        <is>
          <t>Блок ID</t>
        </is>
      </c>
      <c r="F127" t="inlineStr">
        <is>
          <t>№ блока</t>
        </is>
      </c>
      <c r="G127" t="inlineStr">
        <is>
          <t>Название блока</t>
        </is>
      </c>
      <c r="H127" t="inlineStr">
        <is>
          <t>Форма ID</t>
        </is>
      </c>
      <c r="I127" t="inlineStr">
        <is>
          <t>Название формы</t>
        </is>
      </c>
      <c r="J127" t="inlineStr">
        <is>
          <t>Поле ID реестра</t>
        </is>
      </c>
      <c r="K127" t="inlineStr">
        <is>
          <t>DOM / код ID</t>
        </is>
      </c>
      <c r="L127" t="inlineStr">
        <is>
          <t>Параметр модели</t>
        </is>
      </c>
      <c r="M127" t="inlineStr">
        <is>
          <t>Наименование поля</t>
        </is>
      </c>
      <c r="N127" t="inlineStr">
        <is>
          <t>Тип поля</t>
        </is>
      </c>
      <c r="O127" t="inlineStr">
        <is>
          <t>Роль</t>
        </is>
      </c>
      <c r="P127" t="inlineStr">
        <is>
          <t>Что вводим / что означает</t>
        </is>
      </c>
      <c r="Q127" t="inlineStr">
        <is>
          <t>Допустимые ответы / варианты</t>
        </is>
      </c>
      <c r="R127" t="inlineStr">
        <is>
          <t>По умолчанию</t>
        </is>
      </c>
      <c r="S127" t="inlineStr">
        <is>
          <t>Единица</t>
        </is>
      </c>
      <c r="T127" t="inlineStr">
        <is>
          <t>Условие показа / включения</t>
        </is>
      </c>
      <c r="U127" t="inlineStr">
        <is>
          <t>Поле результата d</t>
        </is>
      </c>
      <c r="V127" t="inlineStr">
        <is>
          <t>Группа результата</t>
        </is>
      </c>
      <c r="W127" t="inlineStr">
        <is>
          <t>Подгруппа результата</t>
        </is>
      </c>
      <c r="X127" t="inlineStr">
        <is>
          <t>Группа диаграммы</t>
        </is>
      </c>
      <c r="Y127" t="inlineStr">
        <is>
          <t>Формула / источник</t>
        </is>
      </c>
      <c r="Z127" t="inlineStr">
        <is>
          <t>Где выводится</t>
        </is>
      </c>
      <c r="AA127" t="inlineStr">
        <is>
          <t>Тип есть в глоссарии</t>
        </is>
      </c>
      <c r="AB127" s="229" t="inlineStr">
        <is>
          <t>Правило ID</t>
        </is>
      </c>
    </row>
    <row r="128">
      <c r="A128" t="inlineStr">
        <is>
          <t>80</t>
        </is>
      </c>
      <c r="B128" t="inlineStr">
        <is>
          <t>PAGE-MODEL</t>
        </is>
      </c>
      <c r="C128" t="inlineStr">
        <is>
          <t>Модель · calc()</t>
        </is>
      </c>
      <c r="D128" t="inlineStr">
        <is>
          <t>1</t>
        </is>
      </c>
      <c r="E128" t="inlineStr">
        <is>
          <t>MODEL-01</t>
        </is>
      </c>
      <c r="F128" t="inlineStr">
        <is>
          <t>—</t>
        </is>
      </c>
      <c r="G128" t="inlineStr">
        <is>
          <t>Служебные данные</t>
        </is>
      </c>
      <c r="H128" t="inlineStr">
        <is>
          <t>CALC-RESULT</t>
        </is>
      </c>
      <c r="I128" t="inlineStr">
        <is>
          <t>Результаты calc()</t>
        </is>
      </c>
      <c r="J128" t="inlineStr">
        <is>
          <t>RES-answers</t>
        </is>
      </c>
      <c r="K128" t="inlineStr">
        <is>
          <t>d.answers</t>
        </is>
      </c>
      <c r="L128" t="inlineStr">
        <is>
          <t>answers</t>
        </is>
      </c>
      <c r="M128" t="inlineStr">
        <is>
          <t>answers</t>
        </is>
      </c>
      <c r="N128" t="inlineStr">
        <is>
          <t>result</t>
        </is>
      </c>
      <c r="O128" t="inlineStr">
        <is>
          <t>result</t>
        </is>
      </c>
      <c r="P128" t="inlineStr">
        <is>
          <t>Результат расчёта или служебное поле</t>
        </is>
      </c>
      <c r="R128" t="inlineStr">
        <is>
          <t>[{"b": 1, "n": "Желаемый доход", "v": 110216, "u": "₽/мес"}, {"b": 2, "n": "Налоговый режим", "v": "npd5", "u": ""}, {"b": 2, "n": "С кем вы чаще работаете", "v": "", "u": ""}, …</t>
        </is>
      </c>
      <c r="T128" t="inlineStr">
        <is>
          <t>создаётся при каждом calc()</t>
        </is>
      </c>
      <c r="U128" t="inlineStr">
        <is>
          <t>d.answers</t>
        </is>
      </c>
      <c r="V128" t="inlineStr">
        <is>
          <t>Служебные данные</t>
        </is>
      </c>
      <c r="W128" t="inlineStr">
        <is>
          <t>Служебные данные</t>
        </is>
      </c>
      <c r="Z128" t="inlineStr">
        <is>
          <t>report.html / детализация</t>
        </is>
      </c>
      <c r="AA128" t="inlineStr">
        <is>
          <t>НЕТ — добавить в глоссарий</t>
        </is>
      </c>
      <c r="AB128" s="229" t="inlineStr">
        <is>
          <t>RULE-001</t>
        </is>
      </c>
    </row>
    <row r="129">
      <c r="A129" t="inlineStr">
        <is>
          <t>81</t>
        </is>
      </c>
      <c r="B129" t="inlineStr">
        <is>
          <t>PAGE-MODEL</t>
        </is>
      </c>
      <c r="C129" t="inlineStr">
        <is>
          <t>Модель · calc()</t>
        </is>
      </c>
      <c r="D129" t="inlineStr">
        <is>
          <t>1</t>
        </is>
      </c>
      <c r="E129" t="inlineStr">
        <is>
          <t>MODEL-01</t>
        </is>
      </c>
      <c r="F129" t="inlineStr">
        <is>
          <t>—</t>
        </is>
      </c>
      <c r="G129" t="inlineStr">
        <is>
          <t>Служебные данные</t>
        </is>
      </c>
      <c r="H129" t="inlineStr">
        <is>
          <t>CALC-RESULT</t>
        </is>
      </c>
      <c r="I129" t="inlineStr">
        <is>
          <t>Результаты calc()</t>
        </is>
      </c>
      <c r="J129" t="inlineStr">
        <is>
          <t>RES-catalog</t>
        </is>
      </c>
      <c r="K129" t="inlineStr">
        <is>
          <t>d.catalog</t>
        </is>
      </c>
      <c r="L129" t="inlineStr">
        <is>
          <t>catalog</t>
        </is>
      </c>
      <c r="M129" t="inlineStr">
        <is>
          <t>catalog</t>
        </is>
      </c>
      <c r="N129" t="inlineStr">
        <is>
          <t>result</t>
        </is>
      </c>
      <c r="O129" t="inlineStr">
        <is>
          <t>result</t>
        </is>
      </c>
      <c r="P129" t="inlineStr">
        <is>
          <t>Результат расчёта или служебное поле</t>
        </is>
      </c>
      <c r="R129" t="inlineStr">
        <is>
          <t>[{"b": 9, "n": "Canon EOS R6 Mark II Body", "price": 166999, "term": 3, "kind": "life"}, {"b": 9, "n": "Canon RF 24–105mm f/4.0 L IS USM", "price": 130999, "term": 5, "kind": "l…</t>
        </is>
      </c>
      <c r="T129" t="inlineStr">
        <is>
          <t>создаётся при каждом calc()</t>
        </is>
      </c>
      <c r="U129" t="inlineStr">
        <is>
          <t>d.catalog</t>
        </is>
      </c>
      <c r="V129" t="inlineStr">
        <is>
          <t>Служебные данные</t>
        </is>
      </c>
      <c r="W129" t="inlineStr">
        <is>
          <t>Служебные данные</t>
        </is>
      </c>
      <c r="Z129" t="inlineStr">
        <is>
          <t>report.html / детализация</t>
        </is>
      </c>
      <c r="AA129" t="inlineStr">
        <is>
          <t>НЕТ — добавить в глоссарий</t>
        </is>
      </c>
      <c r="AB129" s="229" t="inlineStr">
        <is>
          <t>RULE-001</t>
        </is>
      </c>
    </row>
    <row r="130">
      <c r="A130" t="inlineStr">
        <is>
          <t>82</t>
        </is>
      </c>
      <c r="B130" t="inlineStr">
        <is>
          <t>PAGE-MODEL</t>
        </is>
      </c>
      <c r="C130" t="inlineStr">
        <is>
          <t>Модель · calc()</t>
        </is>
      </c>
      <c r="D130" t="inlineStr">
        <is>
          <t>1</t>
        </is>
      </c>
      <c r="E130" t="inlineStr">
        <is>
          <t>MODEL-01</t>
        </is>
      </c>
      <c r="F130" t="inlineStr">
        <is>
          <t>—</t>
        </is>
      </c>
      <c r="G130" t="inlineStr">
        <is>
          <t>Служебные данные</t>
        </is>
      </c>
      <c r="H130" t="inlineStr">
        <is>
          <t>CALC-RESULT</t>
        </is>
      </c>
      <c r="I130" t="inlineStr">
        <is>
          <t>Результаты calc()</t>
        </is>
      </c>
      <c r="J130" t="inlineStr">
        <is>
          <t>RES-regime</t>
        </is>
      </c>
      <c r="K130" t="inlineStr">
        <is>
          <t>d.regime</t>
        </is>
      </c>
      <c r="L130" t="inlineStr">
        <is>
          <t>regime</t>
        </is>
      </c>
      <c r="M130" t="inlineStr">
        <is>
          <t>regime</t>
        </is>
      </c>
      <c r="N130" t="inlineStr">
        <is>
          <t>result</t>
        </is>
      </c>
      <c r="O130" t="inlineStr">
        <is>
          <t>result</t>
        </is>
      </c>
      <c r="P130" t="inlineStr">
        <is>
          <t>Результат расчёта или служебное поле</t>
        </is>
      </c>
      <c r="R130" t="inlineStr">
        <is>
          <t>"npd5"</t>
        </is>
      </c>
      <c r="T130" t="inlineStr">
        <is>
          <t>создаётся при каждом calc()</t>
        </is>
      </c>
      <c r="U130" t="inlineStr">
        <is>
          <t>d.regime</t>
        </is>
      </c>
      <c r="V130" t="inlineStr">
        <is>
          <t>Служебные данные</t>
        </is>
      </c>
      <c r="W130" t="inlineStr">
        <is>
          <t>Служебные данные</t>
        </is>
      </c>
      <c r="Z130" t="inlineStr">
        <is>
          <t>report.html / детализация</t>
        </is>
      </c>
      <c r="AA130" t="inlineStr">
        <is>
          <t>НЕТ — добавить в глоссарий</t>
        </is>
      </c>
      <c r="AB130" s="229" t="inlineStr">
        <is>
          <t>RULE-001</t>
        </is>
      </c>
    </row>
    <row r="131">
      <c r="A131" t="inlineStr">
        <is>
          <t>83</t>
        </is>
      </c>
      <c r="B131" t="inlineStr">
        <is>
          <t>PAGE-MODEL</t>
        </is>
      </c>
      <c r="C131" t="inlineStr">
        <is>
          <t>Модель · calc()</t>
        </is>
      </c>
      <c r="D131" t="inlineStr">
        <is>
          <t>1</t>
        </is>
      </c>
      <c r="E131" t="inlineStr">
        <is>
          <t>MODEL-01</t>
        </is>
      </c>
      <c r="F131" t="inlineStr">
        <is>
          <t>—</t>
        </is>
      </c>
      <c r="G131" t="inlineStr">
        <is>
          <t>Служебные данные</t>
        </is>
      </c>
      <c r="H131" t="inlineStr">
        <is>
          <t>CALC-RESULT</t>
        </is>
      </c>
      <c r="I131" t="inlineStr">
        <is>
          <t>Результаты calc()</t>
        </is>
      </c>
      <c r="J131" t="inlineStr">
        <is>
          <t>RES-regimeCode</t>
        </is>
      </c>
      <c r="K131" t="inlineStr">
        <is>
          <t>d.regimeCode</t>
        </is>
      </c>
      <c r="L131" t="inlineStr">
        <is>
          <t>regimeCode</t>
        </is>
      </c>
      <c r="M131" t="inlineStr">
        <is>
          <t>regimeCode</t>
        </is>
      </c>
      <c r="N131" t="inlineStr">
        <is>
          <t>result</t>
        </is>
      </c>
      <c r="O131" t="inlineStr">
        <is>
          <t>result</t>
        </is>
      </c>
      <c r="P131" t="inlineStr">
        <is>
          <t>Результат расчёта или служебное поле</t>
        </is>
      </c>
      <c r="R131" t="inlineStr">
        <is>
          <t>"npd5"</t>
        </is>
      </c>
      <c r="T131" t="inlineStr">
        <is>
          <t>создаётся при каждом calc()</t>
        </is>
      </c>
      <c r="U131" t="inlineStr">
        <is>
          <t>d.regimeCode</t>
        </is>
      </c>
      <c r="V131" t="inlineStr">
        <is>
          <t>Служебные данные</t>
        </is>
      </c>
      <c r="W131" t="inlineStr">
        <is>
          <t>Служебные данные</t>
        </is>
      </c>
      <c r="Z131" t="inlineStr">
        <is>
          <t>report.html / детализация</t>
        </is>
      </c>
      <c r="AA131" t="inlineStr">
        <is>
          <t>НЕТ — добавить в глоссарий</t>
        </is>
      </c>
      <c r="AB131" s="229" t="inlineStr">
        <is>
          <t>RULE-001</t>
        </is>
      </c>
    </row>
    <row r="132">
      <c r="A132" t="inlineStr">
        <is>
          <t>84</t>
        </is>
      </c>
      <c r="B132" t="inlineStr">
        <is>
          <t>PAGE-MODEL</t>
        </is>
      </c>
      <c r="C132" t="inlineStr">
        <is>
          <t>Модель · calc()</t>
        </is>
      </c>
      <c r="D132" t="inlineStr">
        <is>
          <t>1</t>
        </is>
      </c>
      <c r="E132" t="inlineStr">
        <is>
          <t>MODEL-01</t>
        </is>
      </c>
      <c r="F132" t="inlineStr">
        <is>
          <t>—</t>
        </is>
      </c>
      <c r="G132" t="inlineStr">
        <is>
          <t>Служебные данные</t>
        </is>
      </c>
      <c r="H132" t="inlineStr">
        <is>
          <t>CALC-RESULT</t>
        </is>
      </c>
      <c r="I132" t="inlineStr">
        <is>
          <t>Результаты calc()</t>
        </is>
      </c>
      <c r="J132" t="inlineStr">
        <is>
          <t>RES-clients</t>
        </is>
      </c>
      <c r="K132" t="inlineStr">
        <is>
          <t>d.clients</t>
        </is>
      </c>
      <c r="L132" t="inlineStr">
        <is>
          <t>clients</t>
        </is>
      </c>
      <c r="M132" t="inlineStr">
        <is>
          <t>clients</t>
        </is>
      </c>
      <c r="N132" t="inlineStr">
        <is>
          <t>result</t>
        </is>
      </c>
      <c r="O132" t="inlineStr">
        <is>
          <t>result</t>
        </is>
      </c>
      <c r="P132" t="inlineStr">
        <is>
          <t>Результат расчёта или служебное поле</t>
        </is>
      </c>
      <c r="R132" t="inlineStr">
        <is>
          <t>"mix"</t>
        </is>
      </c>
      <c r="T132" t="inlineStr">
        <is>
          <t>создаётся при каждом calc()</t>
        </is>
      </c>
      <c r="U132" t="inlineStr">
        <is>
          <t>d.clients</t>
        </is>
      </c>
      <c r="V132" t="inlineStr">
        <is>
          <t>Служебные данные</t>
        </is>
      </c>
      <c r="W132" t="inlineStr">
        <is>
          <t>Служебные данные</t>
        </is>
      </c>
      <c r="Z132" t="inlineStr">
        <is>
          <t>report.html / детализация</t>
        </is>
      </c>
      <c r="AA132" t="inlineStr">
        <is>
          <t>НЕТ — добавить в глоссарий</t>
        </is>
      </c>
      <c r="AB132" s="229" t="inlineStr">
        <is>
          <t>RULE-001</t>
        </is>
      </c>
    </row>
    <row r="133">
      <c r="A133" t="inlineStr">
        <is>
          <t>85</t>
        </is>
      </c>
      <c r="B133" t="inlineStr">
        <is>
          <t>PAGE-MODEL</t>
        </is>
      </c>
      <c r="C133" t="inlineStr">
        <is>
          <t>Модель · calc()</t>
        </is>
      </c>
      <c r="D133" t="inlineStr">
        <is>
          <t>1</t>
        </is>
      </c>
      <c r="E133" t="inlineStr">
        <is>
          <t>MODEL-01</t>
        </is>
      </c>
      <c r="F133" t="inlineStr">
        <is>
          <t>—</t>
        </is>
      </c>
      <c r="G133" t="inlineStr">
        <is>
          <t>Служебные данные</t>
        </is>
      </c>
      <c r="H133" t="inlineStr">
        <is>
          <t>CALC-RESULT</t>
        </is>
      </c>
      <c r="I133" t="inlineStr">
        <is>
          <t>Результаты calc()</t>
        </is>
      </c>
      <c r="J133" t="inlineStr">
        <is>
          <t>RES-profession</t>
        </is>
      </c>
      <c r="K133" t="inlineStr">
        <is>
          <t>d.profession</t>
        </is>
      </c>
      <c r="L133" t="inlineStr">
        <is>
          <t>profession</t>
        </is>
      </c>
      <c r="M133" t="inlineStr">
        <is>
          <t>profession</t>
        </is>
      </c>
      <c r="N133" t="inlineStr">
        <is>
          <t>result</t>
        </is>
      </c>
      <c r="O133" t="inlineStr">
        <is>
          <t>result</t>
        </is>
      </c>
      <c r="P133" t="inlineStr">
        <is>
          <t>Результат расчёта или служебное поле</t>
        </is>
      </c>
      <c r="R133" t="inlineStr">
        <is>
          <t>"фотографа"</t>
        </is>
      </c>
      <c r="T133" t="inlineStr">
        <is>
          <t>создаётся при каждом calc()</t>
        </is>
      </c>
      <c r="U133" t="inlineStr">
        <is>
          <t>d.profession</t>
        </is>
      </c>
      <c r="V133" t="inlineStr">
        <is>
          <t>Служебные данные</t>
        </is>
      </c>
      <c r="W133" t="inlineStr">
        <is>
          <t>Служебные данные</t>
        </is>
      </c>
      <c r="Z133" t="inlineStr">
        <is>
          <t>report.html / детализация</t>
        </is>
      </c>
      <c r="AA133" t="inlineStr">
        <is>
          <t>НЕТ — добавить в глоссарий</t>
        </is>
      </c>
      <c r="AB133" s="229" t="inlineStr">
        <is>
          <t>RULE-001</t>
        </is>
      </c>
    </row>
    <row r="134">
      <c r="A134" t="inlineStr">
        <is>
          <t>БЛОК · Время [MODEL-02]</t>
        </is>
      </c>
      <c r="AB134" s="229" t="n"/>
    </row>
    <row r="135">
      <c r="A135" t="inlineStr">
        <is>
          <t>№</t>
        </is>
      </c>
      <c r="B135" t="inlineStr">
        <is>
          <t>Страница ID</t>
        </is>
      </c>
      <c r="C135" t="inlineStr">
        <is>
          <t>Страница</t>
        </is>
      </c>
      <c r="D135" t="inlineStr">
        <is>
          <t>Порядок</t>
        </is>
      </c>
      <c r="E135" t="inlineStr">
        <is>
          <t>Блок ID</t>
        </is>
      </c>
      <c r="F135" t="inlineStr">
        <is>
          <t>№ блока</t>
        </is>
      </c>
      <c r="G135" t="inlineStr">
        <is>
          <t>Название блока</t>
        </is>
      </c>
      <c r="H135" t="inlineStr">
        <is>
          <t>Форма ID</t>
        </is>
      </c>
      <c r="I135" t="inlineStr">
        <is>
          <t>Название формы</t>
        </is>
      </c>
      <c r="J135" t="inlineStr">
        <is>
          <t>Поле ID реестра</t>
        </is>
      </c>
      <c r="K135" t="inlineStr">
        <is>
          <t>DOM / код ID</t>
        </is>
      </c>
      <c r="L135" t="inlineStr">
        <is>
          <t>Параметр модели</t>
        </is>
      </c>
      <c r="M135" t="inlineStr">
        <is>
          <t>Наименование поля</t>
        </is>
      </c>
      <c r="N135" t="inlineStr">
        <is>
          <t>Тип поля</t>
        </is>
      </c>
      <c r="O135" t="inlineStr">
        <is>
          <t>Роль</t>
        </is>
      </c>
      <c r="P135" t="inlineStr">
        <is>
          <t>Что вводим / что означает</t>
        </is>
      </c>
      <c r="Q135" t="inlineStr">
        <is>
          <t>Допустимые ответы / варианты</t>
        </is>
      </c>
      <c r="R135" t="inlineStr">
        <is>
          <t>По умолчанию</t>
        </is>
      </c>
      <c r="S135" t="inlineStr">
        <is>
          <t>Единица</t>
        </is>
      </c>
      <c r="T135" t="inlineStr">
        <is>
          <t>Условие показа / включения</t>
        </is>
      </c>
      <c r="U135" t="inlineStr">
        <is>
          <t>Поле результата d</t>
        </is>
      </c>
      <c r="V135" t="inlineStr">
        <is>
          <t>Группа результата</t>
        </is>
      </c>
      <c r="W135" t="inlineStr">
        <is>
          <t>Подгруппа результата</t>
        </is>
      </c>
      <c r="X135" t="inlineStr">
        <is>
          <t>Группа диаграммы</t>
        </is>
      </c>
      <c r="Y135" t="inlineStr">
        <is>
          <t>Формула / источник</t>
        </is>
      </c>
      <c r="Z135" t="inlineStr">
        <is>
          <t>Где выводится</t>
        </is>
      </c>
      <c r="AA135" t="inlineStr">
        <is>
          <t>Тип есть в глоссарии</t>
        </is>
      </c>
      <c r="AB135" s="229" t="inlineStr">
        <is>
          <t>Правило ID</t>
        </is>
      </c>
    </row>
    <row r="136">
      <c r="A136" t="inlineStr">
        <is>
          <t>86</t>
        </is>
      </c>
      <c r="B136" t="inlineStr">
        <is>
          <t>PAGE-MODEL</t>
        </is>
      </c>
      <c r="C136" t="inlineStr">
        <is>
          <t>Модель · calc()</t>
        </is>
      </c>
      <c r="D136" t="inlineStr">
        <is>
          <t>2</t>
        </is>
      </c>
      <c r="E136" t="inlineStr">
        <is>
          <t>MODEL-02</t>
        </is>
      </c>
      <c r="F136" t="inlineStr">
        <is>
          <t>—</t>
        </is>
      </c>
      <c r="G136" t="inlineStr">
        <is>
          <t>Время</t>
        </is>
      </c>
      <c r="H136" t="inlineStr">
        <is>
          <t>CALC-RESULT</t>
        </is>
      </c>
      <c r="I136" t="inlineStr">
        <is>
          <t>Результаты calc()</t>
        </is>
      </c>
      <c r="J136" t="inlineStr">
        <is>
          <t>RES-NT</t>
        </is>
      </c>
      <c r="K136" t="inlineStr">
        <is>
          <t>d.NT</t>
        </is>
      </c>
      <c r="L136" t="inlineStr">
        <is>
          <t>NT</t>
        </is>
      </c>
      <c r="M136" t="inlineStr">
        <is>
          <t>Эффективное рабочее время</t>
        </is>
      </c>
      <c r="N136" t="inlineStr">
        <is>
          <t>result</t>
        </is>
      </c>
      <c r="O136" t="inlineStr">
        <is>
          <t>result</t>
        </is>
      </c>
      <c r="P136" t="inlineStr">
        <is>
          <t>Результат расчёта или служебное поле</t>
        </is>
      </c>
      <c r="R136" t="inlineStr">
        <is>
          <t>1533</t>
        </is>
      </c>
      <c r="T136" t="inlineStr">
        <is>
          <t>создаётся при каждом calc()</t>
        </is>
      </c>
      <c r="U136" t="inlineStr">
        <is>
          <t>d.NT</t>
        </is>
      </c>
      <c r="V136" t="inlineStr">
        <is>
          <t>Время</t>
        </is>
      </c>
      <c r="W136" t="inlineStr">
        <is>
          <t>Время</t>
        </is>
      </c>
      <c r="Y136" t="inlineStr">
        <is>
          <t>ND × EFF</t>
        </is>
      </c>
      <c r="Z136" t="inlineStr">
        <is>
          <t>report.html / детализация</t>
        </is>
      </c>
      <c r="AA136" t="inlineStr">
        <is>
          <t>НЕТ — добавить в глоссарий</t>
        </is>
      </c>
      <c r="AB136" s="229" t="inlineStr">
        <is>
          <t>RULE-001</t>
        </is>
      </c>
    </row>
    <row r="137">
      <c r="A137" t="inlineStr">
        <is>
          <t>87</t>
        </is>
      </c>
      <c r="B137" t="inlineStr">
        <is>
          <t>PAGE-MODEL</t>
        </is>
      </c>
      <c r="C137" t="inlineStr">
        <is>
          <t>Модель · calc()</t>
        </is>
      </c>
      <c r="D137" t="inlineStr">
        <is>
          <t>2</t>
        </is>
      </c>
      <c r="E137" t="inlineStr">
        <is>
          <t>MODEL-02</t>
        </is>
      </c>
      <c r="F137" t="inlineStr">
        <is>
          <t>—</t>
        </is>
      </c>
      <c r="G137" t="inlineStr">
        <is>
          <t>Время</t>
        </is>
      </c>
      <c r="H137" t="inlineStr">
        <is>
          <t>CALC-RESULT</t>
        </is>
      </c>
      <c r="I137" t="inlineStr">
        <is>
          <t>Результаты calc()</t>
        </is>
      </c>
      <c r="J137" t="inlineStr">
        <is>
          <t>RES-idle</t>
        </is>
      </c>
      <c r="K137" t="inlineStr">
        <is>
          <t>d.idle</t>
        </is>
      </c>
      <c r="L137" t="inlineStr">
        <is>
          <t>idle</t>
        </is>
      </c>
      <c r="M137" t="inlineStr">
        <is>
          <t>idle</t>
        </is>
      </c>
      <c r="N137" t="inlineStr">
        <is>
          <t>result</t>
        </is>
      </c>
      <c r="O137" t="inlineStr">
        <is>
          <t>result</t>
        </is>
      </c>
      <c r="P137" t="inlineStr">
        <is>
          <t>Результат расчёта или служебное поле</t>
        </is>
      </c>
      <c r="R137" t="inlineStr">
        <is>
          <t>219</t>
        </is>
      </c>
      <c r="T137" t="inlineStr">
        <is>
          <t>создаётся при каждом calc()</t>
        </is>
      </c>
      <c r="U137" t="inlineStr">
        <is>
          <t>d.idle</t>
        </is>
      </c>
      <c r="V137" t="inlineStr">
        <is>
          <t>Время</t>
        </is>
      </c>
      <c r="W137" t="inlineStr">
        <is>
          <t>Неэффективное рабочее время</t>
        </is>
      </c>
      <c r="X137" t="inlineStr">
        <is>
          <t>Доход · простой</t>
        </is>
      </c>
      <c r="Y137" t="inlineStr">
        <is>
          <t>ND × (8−EFF)</t>
        </is>
      </c>
      <c r="Z137" t="inlineStr">
        <is>
          <t>card01, card02</t>
        </is>
      </c>
      <c r="AA137" t="inlineStr">
        <is>
          <t>НЕТ — добавить в глоссарий</t>
        </is>
      </c>
      <c r="AB137" s="229" t="inlineStr">
        <is>
          <t>RULE-001</t>
        </is>
      </c>
    </row>
    <row r="138">
      <c r="A138" t="inlineStr">
        <is>
          <t>88</t>
        </is>
      </c>
      <c r="B138" t="inlineStr">
        <is>
          <t>PAGE-MODEL</t>
        </is>
      </c>
      <c r="C138" t="inlineStr">
        <is>
          <t>Модель · calc()</t>
        </is>
      </c>
      <c r="D138" t="inlineStr">
        <is>
          <t>2</t>
        </is>
      </c>
      <c r="E138" t="inlineStr">
        <is>
          <t>MODEL-02</t>
        </is>
      </c>
      <c r="F138" t="inlineStr">
        <is>
          <t>—</t>
        </is>
      </c>
      <c r="G138" t="inlineStr">
        <is>
          <t>Время</t>
        </is>
      </c>
      <c r="H138" t="inlineStr">
        <is>
          <t>CALC-RESULT</t>
        </is>
      </c>
      <c r="I138" t="inlineStr">
        <is>
          <t>Результаты calc()</t>
        </is>
      </c>
      <c r="J138" t="inlineStr">
        <is>
          <t>RES-pool</t>
        </is>
      </c>
      <c r="K138" t="inlineStr">
        <is>
          <t>d.pool</t>
        </is>
      </c>
      <c r="L138" t="inlineStr">
        <is>
          <t>pool</t>
        </is>
      </c>
      <c r="M138" t="inlineStr">
        <is>
          <t>Фонд времени на проекты</t>
        </is>
      </c>
      <c r="N138" t="inlineStr">
        <is>
          <t>result</t>
        </is>
      </c>
      <c r="O138" t="inlineStr">
        <is>
          <t>result</t>
        </is>
      </c>
      <c r="P138" t="inlineStr">
        <is>
          <t>Результат расчёта или служебное поле</t>
        </is>
      </c>
      <c r="R138" t="inlineStr">
        <is>
          <t>1083</t>
        </is>
      </c>
      <c r="T138" t="inlineStr">
        <is>
          <t>создаётся при каждом calc()</t>
        </is>
      </c>
      <c r="U138" t="inlineStr">
        <is>
          <t>d.pool</t>
        </is>
      </c>
      <c r="V138" t="inlineStr">
        <is>
          <t>Время</t>
        </is>
      </c>
      <c r="W138" t="inlineStr">
        <is>
          <t>Время</t>
        </is>
      </c>
      <c r="Y138" t="inlineStr">
        <is>
          <t>NT − side − fmT</t>
        </is>
      </c>
      <c r="Z138" t="inlineStr">
        <is>
          <t>report.html / детализация</t>
        </is>
      </c>
      <c r="AA138" t="inlineStr">
        <is>
          <t>НЕТ — добавить в глоссарий</t>
        </is>
      </c>
      <c r="AB138" s="229" t="inlineStr">
        <is>
          <t>RULE-001</t>
        </is>
      </c>
    </row>
    <row r="139">
      <c r="A139" t="inlineStr">
        <is>
          <t>89</t>
        </is>
      </c>
      <c r="B139" t="inlineStr">
        <is>
          <t>PAGE-MODEL</t>
        </is>
      </c>
      <c r="C139" t="inlineStr">
        <is>
          <t>Модель · calc()</t>
        </is>
      </c>
      <c r="D139" t="inlineStr">
        <is>
          <t>2</t>
        </is>
      </c>
      <c r="E139" t="inlineStr">
        <is>
          <t>MODEL-02</t>
        </is>
      </c>
      <c r="F139" t="inlineStr">
        <is>
          <t>—</t>
        </is>
      </c>
      <c r="G139" t="inlineStr">
        <is>
          <t>Время</t>
        </is>
      </c>
      <c r="H139" t="inlineStr">
        <is>
          <t>CALC-RESULT</t>
        </is>
      </c>
      <c r="I139" t="inlineStr">
        <is>
          <t>Результаты calc()</t>
        </is>
      </c>
      <c r="J139" t="inlineStr">
        <is>
          <t>RES-calDays</t>
        </is>
      </c>
      <c r="K139" t="inlineStr">
        <is>
          <t>d.calDays</t>
        </is>
      </c>
      <c r="L139" t="inlineStr">
        <is>
          <t>calDays</t>
        </is>
      </c>
      <c r="M139" t="inlineStr">
        <is>
          <t>calDays</t>
        </is>
      </c>
      <c r="N139" t="inlineStr">
        <is>
          <t>result</t>
        </is>
      </c>
      <c r="O139" t="inlineStr">
        <is>
          <t>result</t>
        </is>
      </c>
      <c r="P139" t="inlineStr">
        <is>
          <t>Результат расчёта или служебное поле</t>
        </is>
      </c>
      <c r="R139" t="inlineStr">
        <is>
          <t>365</t>
        </is>
      </c>
      <c r="T139" t="inlineStr">
        <is>
          <t>создаётся при каждом calc()</t>
        </is>
      </c>
      <c r="U139" t="inlineStr">
        <is>
          <t>d.calDays</t>
        </is>
      </c>
      <c r="V139" t="inlineStr">
        <is>
          <t>Время</t>
        </is>
      </c>
      <c r="W139" t="inlineStr">
        <is>
          <t>Время</t>
        </is>
      </c>
      <c r="Z139" t="inlineStr">
        <is>
          <t>report.html / детализация</t>
        </is>
      </c>
      <c r="AA139" t="inlineStr">
        <is>
          <t>НЕТ — добавить в глоссарий</t>
        </is>
      </c>
      <c r="AB139" s="229" t="inlineStr">
        <is>
          <t>RULE-001</t>
        </is>
      </c>
    </row>
    <row r="140">
      <c r="A140" t="inlineStr">
        <is>
          <t>90</t>
        </is>
      </c>
      <c r="B140" t="inlineStr">
        <is>
          <t>PAGE-MODEL</t>
        </is>
      </c>
      <c r="C140" t="inlineStr">
        <is>
          <t>Модель · calc()</t>
        </is>
      </c>
      <c r="D140" t="inlineStr">
        <is>
          <t>2</t>
        </is>
      </c>
      <c r="E140" t="inlineStr">
        <is>
          <t>MODEL-02</t>
        </is>
      </c>
      <c r="F140" t="inlineStr">
        <is>
          <t>—</t>
        </is>
      </c>
      <c r="G140" t="inlineStr">
        <is>
          <t>Время</t>
        </is>
      </c>
      <c r="H140" t="inlineStr">
        <is>
          <t>CALC-RESULT</t>
        </is>
      </c>
      <c r="I140" t="inlineStr">
        <is>
          <t>Результаты calc()</t>
        </is>
      </c>
      <c r="J140" t="inlineStr">
        <is>
          <t>RES-weekend</t>
        </is>
      </c>
      <c r="K140" t="inlineStr">
        <is>
          <t>d.weekend</t>
        </is>
      </c>
      <c r="L140" t="inlineStr">
        <is>
          <t>weekend</t>
        </is>
      </c>
      <c r="M140" t="inlineStr">
        <is>
          <t>weekend</t>
        </is>
      </c>
      <c r="N140" t="inlineStr">
        <is>
          <t>result</t>
        </is>
      </c>
      <c r="O140" t="inlineStr">
        <is>
          <t>result</t>
        </is>
      </c>
      <c r="P140" t="inlineStr">
        <is>
          <t>Результат расчёта или служебное поле</t>
        </is>
      </c>
      <c r="R140" t="inlineStr">
        <is>
          <t>104</t>
        </is>
      </c>
      <c r="T140" t="inlineStr">
        <is>
          <t>создаётся при каждом calc()</t>
        </is>
      </c>
      <c r="U140" t="inlineStr">
        <is>
          <t>d.weekend</t>
        </is>
      </c>
      <c r="V140" t="inlineStr">
        <is>
          <t>Время</t>
        </is>
      </c>
      <c r="W140" t="inlineStr">
        <is>
          <t>Время</t>
        </is>
      </c>
      <c r="Z140" t="inlineStr">
        <is>
          <t>report.html / детализация</t>
        </is>
      </c>
      <c r="AA140" t="inlineStr">
        <is>
          <t>НЕТ — добавить в глоссарий</t>
        </is>
      </c>
      <c r="AB140" s="229" t="inlineStr">
        <is>
          <t>RULE-001</t>
        </is>
      </c>
    </row>
    <row r="141">
      <c r="A141" t="inlineStr">
        <is>
          <t>91</t>
        </is>
      </c>
      <c r="B141" t="inlineStr">
        <is>
          <t>PAGE-MODEL</t>
        </is>
      </c>
      <c r="C141" t="inlineStr">
        <is>
          <t>Модель · calc()</t>
        </is>
      </c>
      <c r="D141" t="inlineStr">
        <is>
          <t>2</t>
        </is>
      </c>
      <c r="E141" t="inlineStr">
        <is>
          <t>MODEL-02</t>
        </is>
      </c>
      <c r="F141" t="inlineStr">
        <is>
          <t>—</t>
        </is>
      </c>
      <c r="G141" t="inlineStr">
        <is>
          <t>Время</t>
        </is>
      </c>
      <c r="H141" t="inlineStr">
        <is>
          <t>CALC-RESULT</t>
        </is>
      </c>
      <c r="I141" t="inlineStr">
        <is>
          <t>Результаты calc()</t>
        </is>
      </c>
      <c r="J141" t="inlineStr">
        <is>
          <t>RES-holidays</t>
        </is>
      </c>
      <c r="K141" t="inlineStr">
        <is>
          <t>d.holidays</t>
        </is>
      </c>
      <c r="L141" t="inlineStr">
        <is>
          <t>holidays</t>
        </is>
      </c>
      <c r="M141" t="inlineStr">
        <is>
          <t>holidays</t>
        </is>
      </c>
      <c r="N141" t="inlineStr">
        <is>
          <t>result</t>
        </is>
      </c>
      <c r="O141" t="inlineStr">
        <is>
          <t>result</t>
        </is>
      </c>
      <c r="P141" t="inlineStr">
        <is>
          <t>Результат расчёта или служебное поле</t>
        </is>
      </c>
      <c r="R141" t="inlineStr">
        <is>
          <t>14</t>
        </is>
      </c>
      <c r="T141" t="inlineStr">
        <is>
          <t>создаётся при каждом calc()</t>
        </is>
      </c>
      <c r="U141" t="inlineStr">
        <is>
          <t>d.holidays</t>
        </is>
      </c>
      <c r="V141" t="inlineStr">
        <is>
          <t>Время</t>
        </is>
      </c>
      <c r="W141" t="inlineStr">
        <is>
          <t>Время</t>
        </is>
      </c>
      <c r="Z141" t="inlineStr">
        <is>
          <t>report.html / детализация</t>
        </is>
      </c>
      <c r="AA141" t="inlineStr">
        <is>
          <t>НЕТ — добавить в глоссарий</t>
        </is>
      </c>
      <c r="AB141" s="229" t="inlineStr">
        <is>
          <t>RULE-001</t>
        </is>
      </c>
    </row>
    <row r="142">
      <c r="A142" t="inlineStr">
        <is>
          <t>92</t>
        </is>
      </c>
      <c r="B142" t="inlineStr">
        <is>
          <t>PAGE-MODEL</t>
        </is>
      </c>
      <c r="C142" t="inlineStr">
        <is>
          <t>Модель · calc()</t>
        </is>
      </c>
      <c r="D142" t="inlineStr">
        <is>
          <t>2</t>
        </is>
      </c>
      <c r="E142" t="inlineStr">
        <is>
          <t>MODEL-02</t>
        </is>
      </c>
      <c r="F142" t="inlineStr">
        <is>
          <t>—</t>
        </is>
      </c>
      <c r="G142" t="inlineStr">
        <is>
          <t>Время</t>
        </is>
      </c>
      <c r="H142" t="inlineStr">
        <is>
          <t>CALC-RESULT</t>
        </is>
      </c>
      <c r="I142" t="inlineStr">
        <is>
          <t>Результаты calc()</t>
        </is>
      </c>
      <c r="J142" t="inlineStr">
        <is>
          <t>RES-WD</t>
        </is>
      </c>
      <c r="K142" t="inlineStr">
        <is>
          <t>d.WD</t>
        </is>
      </c>
      <c r="L142" t="inlineStr">
        <is>
          <t>WD</t>
        </is>
      </c>
      <c r="M142" t="inlineStr">
        <is>
          <t>WD</t>
        </is>
      </c>
      <c r="N142" t="inlineStr">
        <is>
          <t>result</t>
        </is>
      </c>
      <c r="O142" t="inlineStr">
        <is>
          <t>result</t>
        </is>
      </c>
      <c r="P142" t="inlineStr">
        <is>
          <t>Результат расчёта или служебное поле</t>
        </is>
      </c>
      <c r="R142" t="inlineStr">
        <is>
          <t>247</t>
        </is>
      </c>
      <c r="T142" t="inlineStr">
        <is>
          <t>создаётся при каждом calc()</t>
        </is>
      </c>
      <c r="U142" t="inlineStr">
        <is>
          <t>d.WD</t>
        </is>
      </c>
      <c r="V142" t="inlineStr">
        <is>
          <t>Время</t>
        </is>
      </c>
      <c r="W142" t="inlineStr">
        <is>
          <t>Время</t>
        </is>
      </c>
      <c r="Z142" t="inlineStr">
        <is>
          <t>report.html / детализация</t>
        </is>
      </c>
      <c r="AA142" t="inlineStr">
        <is>
          <t>НЕТ — добавить в глоссарий</t>
        </is>
      </c>
      <c r="AB142" s="229" t="inlineStr">
        <is>
          <t>RULE-001</t>
        </is>
      </c>
    </row>
    <row r="143">
      <c r="A143" t="inlineStr">
        <is>
          <t>93</t>
        </is>
      </c>
      <c r="B143" t="inlineStr">
        <is>
          <t>PAGE-MODEL</t>
        </is>
      </c>
      <c r="C143" t="inlineStr">
        <is>
          <t>Модель · calc()</t>
        </is>
      </c>
      <c r="D143" t="inlineStr">
        <is>
          <t>2</t>
        </is>
      </c>
      <c r="E143" t="inlineStr">
        <is>
          <t>MODEL-02</t>
        </is>
      </c>
      <c r="F143" t="inlineStr">
        <is>
          <t>—</t>
        </is>
      </c>
      <c r="G143" t="inlineStr">
        <is>
          <t>Время</t>
        </is>
      </c>
      <c r="H143" t="inlineStr">
        <is>
          <t>CALC-RESULT</t>
        </is>
      </c>
      <c r="I143" t="inlineStr">
        <is>
          <t>Результаты calc()</t>
        </is>
      </c>
      <c r="J143" t="inlineStr">
        <is>
          <t>RES-VAC</t>
        </is>
      </c>
      <c r="K143" t="inlineStr">
        <is>
          <t>d.VAC</t>
        </is>
      </c>
      <c r="L143" t="inlineStr">
        <is>
          <t>VAC</t>
        </is>
      </c>
      <c r="M143" t="inlineStr">
        <is>
          <t>VAC</t>
        </is>
      </c>
      <c r="N143" t="inlineStr">
        <is>
          <t>result</t>
        </is>
      </c>
      <c r="O143" t="inlineStr">
        <is>
          <t>result</t>
        </is>
      </c>
      <c r="P143" t="inlineStr">
        <is>
          <t>Результат расчёта или служебное поле</t>
        </is>
      </c>
      <c r="R143" t="inlineStr">
        <is>
          <t>20</t>
        </is>
      </c>
      <c r="T143" t="inlineStr">
        <is>
          <t>создаётся при каждом calc()</t>
        </is>
      </c>
      <c r="U143" t="inlineStr">
        <is>
          <t>d.VAC</t>
        </is>
      </c>
      <c r="V143" t="inlineStr">
        <is>
          <t>Время</t>
        </is>
      </c>
      <c r="W143" t="inlineStr">
        <is>
          <t>Время</t>
        </is>
      </c>
      <c r="Z143" t="inlineStr">
        <is>
          <t>report.html / детализация</t>
        </is>
      </c>
      <c r="AA143" t="inlineStr">
        <is>
          <t>НЕТ — добавить в глоссарий</t>
        </is>
      </c>
      <c r="AB143" s="229" t="inlineStr">
        <is>
          <t>RULE-001</t>
        </is>
      </c>
    </row>
    <row r="144">
      <c r="A144" t="inlineStr">
        <is>
          <t>94</t>
        </is>
      </c>
      <c r="B144" t="inlineStr">
        <is>
          <t>PAGE-MODEL</t>
        </is>
      </c>
      <c r="C144" t="inlineStr">
        <is>
          <t>Модель · calc()</t>
        </is>
      </c>
      <c r="D144" t="inlineStr">
        <is>
          <t>2</t>
        </is>
      </c>
      <c r="E144" t="inlineStr">
        <is>
          <t>MODEL-02</t>
        </is>
      </c>
      <c r="F144" t="inlineStr">
        <is>
          <t>—</t>
        </is>
      </c>
      <c r="G144" t="inlineStr">
        <is>
          <t>Время</t>
        </is>
      </c>
      <c r="H144" t="inlineStr">
        <is>
          <t>CALC-RESULT</t>
        </is>
      </c>
      <c r="I144" t="inlineStr">
        <is>
          <t>Результаты calc()</t>
        </is>
      </c>
      <c r="J144" t="inlineStr">
        <is>
          <t>RES-SICK</t>
        </is>
      </c>
      <c r="K144" t="inlineStr">
        <is>
          <t>d.SICK</t>
        </is>
      </c>
      <c r="L144" t="inlineStr">
        <is>
          <t>SICK</t>
        </is>
      </c>
      <c r="M144" t="inlineStr">
        <is>
          <t>SICK</t>
        </is>
      </c>
      <c r="N144" t="inlineStr">
        <is>
          <t>result</t>
        </is>
      </c>
      <c r="O144" t="inlineStr">
        <is>
          <t>result</t>
        </is>
      </c>
      <c r="P144" t="inlineStr">
        <is>
          <t>Результат расчёта или служебное поле</t>
        </is>
      </c>
      <c r="R144" t="inlineStr">
        <is>
          <t>8</t>
        </is>
      </c>
      <c r="T144" t="inlineStr">
        <is>
          <t>создаётся при каждом calc()</t>
        </is>
      </c>
      <c r="U144" t="inlineStr">
        <is>
          <t>d.SICK</t>
        </is>
      </c>
      <c r="V144" t="inlineStr">
        <is>
          <t>Время</t>
        </is>
      </c>
      <c r="W144" t="inlineStr">
        <is>
          <t>Время</t>
        </is>
      </c>
      <c r="Z144" t="inlineStr">
        <is>
          <t>report.html / детализация</t>
        </is>
      </c>
      <c r="AA144" t="inlineStr">
        <is>
          <t>НЕТ — добавить в глоссарий</t>
        </is>
      </c>
      <c r="AB144" s="229" t="inlineStr">
        <is>
          <t>RULE-001</t>
        </is>
      </c>
    </row>
    <row r="145">
      <c r="A145" t="inlineStr">
        <is>
          <t>95</t>
        </is>
      </c>
      <c r="B145" t="inlineStr">
        <is>
          <t>PAGE-MODEL</t>
        </is>
      </c>
      <c r="C145" t="inlineStr">
        <is>
          <t>Модель · calc()</t>
        </is>
      </c>
      <c r="D145" t="inlineStr">
        <is>
          <t>2</t>
        </is>
      </c>
      <c r="E145" t="inlineStr">
        <is>
          <t>MODEL-02</t>
        </is>
      </c>
      <c r="F145" t="inlineStr">
        <is>
          <t>—</t>
        </is>
      </c>
      <c r="G145" t="inlineStr">
        <is>
          <t>Время</t>
        </is>
      </c>
      <c r="H145" t="inlineStr">
        <is>
          <t>CALC-RESULT</t>
        </is>
      </c>
      <c r="I145" t="inlineStr">
        <is>
          <t>Результаты calc()</t>
        </is>
      </c>
      <c r="J145" t="inlineStr">
        <is>
          <t>RES-ND</t>
        </is>
      </c>
      <c r="K145" t="inlineStr">
        <is>
          <t>d.ND</t>
        </is>
      </c>
      <c r="L145" t="inlineStr">
        <is>
          <t>ND</t>
        </is>
      </c>
      <c r="M145" t="inlineStr">
        <is>
          <t>ND</t>
        </is>
      </c>
      <c r="N145" t="inlineStr">
        <is>
          <t>result</t>
        </is>
      </c>
      <c r="O145" t="inlineStr">
        <is>
          <t>result</t>
        </is>
      </c>
      <c r="P145" t="inlineStr">
        <is>
          <t>Результат расчёта или служебное поле</t>
        </is>
      </c>
      <c r="R145" t="inlineStr">
        <is>
          <t>219</t>
        </is>
      </c>
      <c r="T145" t="inlineStr">
        <is>
          <t>создаётся при каждом calc()</t>
        </is>
      </c>
      <c r="U145" t="inlineStr">
        <is>
          <t>d.ND</t>
        </is>
      </c>
      <c r="V145" t="inlineStr">
        <is>
          <t>Время</t>
        </is>
      </c>
      <c r="W145" t="inlineStr">
        <is>
          <t>Время</t>
        </is>
      </c>
      <c r="Z145" t="inlineStr">
        <is>
          <t>report.html / детализация</t>
        </is>
      </c>
      <c r="AA145" t="inlineStr">
        <is>
          <t>НЕТ — добавить в глоссарий</t>
        </is>
      </c>
      <c r="AB145" s="229" t="inlineStr">
        <is>
          <t>RULE-001</t>
        </is>
      </c>
    </row>
    <row r="146">
      <c r="A146" t="inlineStr">
        <is>
          <t>96</t>
        </is>
      </c>
      <c r="B146" t="inlineStr">
        <is>
          <t>PAGE-MODEL</t>
        </is>
      </c>
      <c r="C146" t="inlineStr">
        <is>
          <t>Модель · calc()</t>
        </is>
      </c>
      <c r="D146" t="inlineStr">
        <is>
          <t>2</t>
        </is>
      </c>
      <c r="E146" t="inlineStr">
        <is>
          <t>MODEL-02</t>
        </is>
      </c>
      <c r="F146" t="inlineStr">
        <is>
          <t>—</t>
        </is>
      </c>
      <c r="G146" t="inlineStr">
        <is>
          <t>Время</t>
        </is>
      </c>
      <c r="H146" t="inlineStr">
        <is>
          <t>CALC-RESULT</t>
        </is>
      </c>
      <c r="I146" t="inlineStr">
        <is>
          <t>Результаты calc()</t>
        </is>
      </c>
      <c r="J146" t="inlineStr">
        <is>
          <t>RES-EFF</t>
        </is>
      </c>
      <c r="K146" t="inlineStr">
        <is>
          <t>d.EFF</t>
        </is>
      </c>
      <c r="L146" t="inlineStr">
        <is>
          <t>EFF</t>
        </is>
      </c>
      <c r="M146" t="inlineStr">
        <is>
          <t>EFF</t>
        </is>
      </c>
      <c r="N146" t="inlineStr">
        <is>
          <t>result</t>
        </is>
      </c>
      <c r="O146" t="inlineStr">
        <is>
          <t>result</t>
        </is>
      </c>
      <c r="P146" t="inlineStr">
        <is>
          <t>Результат расчёта или служебное поле</t>
        </is>
      </c>
      <c r="R146" t="inlineStr">
        <is>
          <t>7</t>
        </is>
      </c>
      <c r="T146" t="inlineStr">
        <is>
          <t>создаётся при каждом calc()</t>
        </is>
      </c>
      <c r="U146" t="inlineStr">
        <is>
          <t>d.EFF</t>
        </is>
      </c>
      <c r="V146" t="inlineStr">
        <is>
          <t>Время</t>
        </is>
      </c>
      <c r="W146" t="inlineStr">
        <is>
          <t>Время</t>
        </is>
      </c>
      <c r="Z146" t="inlineStr">
        <is>
          <t>report.html / детализация</t>
        </is>
      </c>
      <c r="AA146" t="inlineStr">
        <is>
          <t>НЕТ — добавить в глоссарий</t>
        </is>
      </c>
      <c r="AB146" s="229" t="inlineStr">
        <is>
          <t>RULE-001</t>
        </is>
      </c>
    </row>
    <row r="147">
      <c r="A147" t="inlineStr">
        <is>
          <t>97</t>
        </is>
      </c>
      <c r="B147" t="inlineStr">
        <is>
          <t>PAGE-MODEL</t>
        </is>
      </c>
      <c r="C147" t="inlineStr">
        <is>
          <t>Модель · calc()</t>
        </is>
      </c>
      <c r="D147" t="inlineStr">
        <is>
          <t>2</t>
        </is>
      </c>
      <c r="E147" t="inlineStr">
        <is>
          <t>MODEL-02</t>
        </is>
      </c>
      <c r="F147" t="inlineStr">
        <is>
          <t>—</t>
        </is>
      </c>
      <c r="G147" t="inlineStr">
        <is>
          <t>Время</t>
        </is>
      </c>
      <c r="H147" t="inlineStr">
        <is>
          <t>CALC-RESULT</t>
        </is>
      </c>
      <c r="I147" t="inlineStr">
        <is>
          <t>Результаты calc()</t>
        </is>
      </c>
      <c r="J147" t="inlineStr">
        <is>
          <t>RES-workHours</t>
        </is>
      </c>
      <c r="K147" t="inlineStr">
        <is>
          <t>d.workHours</t>
        </is>
      </c>
      <c r="L147" t="inlineStr">
        <is>
          <t>workHours</t>
        </is>
      </c>
      <c r="M147" t="inlineStr">
        <is>
          <t>workHours</t>
        </is>
      </c>
      <c r="N147" t="inlineStr">
        <is>
          <t>result</t>
        </is>
      </c>
      <c r="O147" t="inlineStr">
        <is>
          <t>result</t>
        </is>
      </c>
      <c r="P147" t="inlineStr">
        <is>
          <t>Результат расчёта или служебное поле</t>
        </is>
      </c>
      <c r="R147" t="inlineStr">
        <is>
          <t>1752</t>
        </is>
      </c>
      <c r="T147" t="inlineStr">
        <is>
          <t>создаётся при каждом calc()</t>
        </is>
      </c>
      <c r="U147" t="inlineStr">
        <is>
          <t>d.workHours</t>
        </is>
      </c>
      <c r="V147" t="inlineStr">
        <is>
          <t>Время</t>
        </is>
      </c>
      <c r="W147" t="inlineStr">
        <is>
          <t>Время</t>
        </is>
      </c>
      <c r="Z147" t="inlineStr">
        <is>
          <t>report.html / детализация</t>
        </is>
      </c>
      <c r="AA147" t="inlineStr">
        <is>
          <t>НЕТ — добавить в глоссарий</t>
        </is>
      </c>
      <c r="AB147" s="229" t="inlineStr">
        <is>
          <t>RULE-001</t>
        </is>
      </c>
    </row>
    <row r="149">
      <c r="A149" t="inlineStr">
        <is>
          <t>99</t>
        </is>
      </c>
      <c r="B149" t="inlineStr">
        <is>
          <t>PAGE-MODEL</t>
        </is>
      </c>
      <c r="C149" t="inlineStr">
        <is>
          <t>Модель · calc()</t>
        </is>
      </c>
      <c r="D149" t="inlineStr">
        <is>
          <t>2</t>
        </is>
      </c>
      <c r="E149" t="inlineStr">
        <is>
          <t>MODEL-02</t>
        </is>
      </c>
      <c r="F149" t="inlineStr">
        <is>
          <t>—</t>
        </is>
      </c>
      <c r="G149" t="inlineStr">
        <is>
          <t>Время</t>
        </is>
      </c>
      <c r="H149" t="inlineStr">
        <is>
          <t>CALC-RESULT</t>
        </is>
      </c>
      <c r="I149" t="inlineStr">
        <is>
          <t>Результаты calc()</t>
        </is>
      </c>
      <c r="J149" t="inlineStr">
        <is>
          <t>RES-promo</t>
        </is>
      </c>
      <c r="K149" t="inlineStr">
        <is>
          <t>d.promo</t>
        </is>
      </c>
      <c r="L149" t="inlineStr">
        <is>
          <t>promo</t>
        </is>
      </c>
      <c r="M149" t="inlineStr">
        <is>
          <t>promo</t>
        </is>
      </c>
      <c r="N149" t="inlineStr">
        <is>
          <t>result</t>
        </is>
      </c>
      <c r="O149" t="inlineStr">
        <is>
          <t>result</t>
        </is>
      </c>
      <c r="P149" t="inlineStr">
        <is>
          <t>Результат расчёта или служебное поле</t>
        </is>
      </c>
      <c r="R149" t="inlineStr">
        <is>
          <t>438</t>
        </is>
      </c>
      <c r="T149" t="inlineStr">
        <is>
          <t>создаётся при каждом calc()</t>
        </is>
      </c>
      <c r="U149" t="inlineStr">
        <is>
          <t>d.promo</t>
        </is>
      </c>
      <c r="V149" t="inlineStr">
        <is>
          <t>Время</t>
        </is>
      </c>
      <c r="W149" t="inlineStr">
        <is>
          <t>Продвижение</t>
        </is>
      </c>
      <c r="X149" t="inlineStr">
        <is>
          <t>Доход · продвижение</t>
        </is>
      </c>
      <c r="Y149" t="inlineStr">
        <is>
          <t>promo_per_day × ND</t>
        </is>
      </c>
      <c r="Z149" t="inlineStr">
        <is>
          <t>card01, card02</t>
        </is>
      </c>
      <c r="AA149" t="inlineStr">
        <is>
          <t>НЕТ — добавить в глоссарий</t>
        </is>
      </c>
      <c r="AB149" s="229" t="inlineStr">
        <is>
          <t>RULE-001</t>
        </is>
      </c>
    </row>
    <row r="150">
      <c r="A150" t="inlineStr">
        <is>
          <t>100</t>
        </is>
      </c>
      <c r="B150" t="inlineStr">
        <is>
          <t>PAGE-MODEL</t>
        </is>
      </c>
      <c r="C150" t="inlineStr">
        <is>
          <t>Модель · calc()</t>
        </is>
      </c>
      <c r="D150" t="inlineStr">
        <is>
          <t>2</t>
        </is>
      </c>
      <c r="E150" t="inlineStr">
        <is>
          <t>MODEL-02</t>
        </is>
      </c>
      <c r="F150" t="inlineStr">
        <is>
          <t>—</t>
        </is>
      </c>
      <c r="G150" t="inlineStr">
        <is>
          <t>Время</t>
        </is>
      </c>
      <c r="H150" t="inlineStr">
        <is>
          <t>CALC-RESULT</t>
        </is>
      </c>
      <c r="I150" t="inlineStr">
        <is>
          <t>Результаты calc()</t>
        </is>
      </c>
      <c r="J150" t="inlineStr">
        <is>
          <t>RES-accT</t>
        </is>
      </c>
      <c r="K150" t="inlineStr">
        <is>
          <t>d.accT</t>
        </is>
      </c>
      <c r="L150" t="inlineStr">
        <is>
          <t>accT</t>
        </is>
      </c>
      <c r="M150" t="inlineStr">
        <is>
          <t>accT</t>
        </is>
      </c>
      <c r="N150" t="inlineStr">
        <is>
          <t>result</t>
        </is>
      </c>
      <c r="O150" t="inlineStr">
        <is>
          <t>result</t>
        </is>
      </c>
      <c r="P150" t="inlineStr">
        <is>
          <t>Результат расчёта или служебное поле</t>
        </is>
      </c>
      <c r="R150" t="inlineStr">
        <is>
          <t>12</t>
        </is>
      </c>
      <c r="T150" t="inlineStr">
        <is>
          <t>создаётся при каждом calc()</t>
        </is>
      </c>
      <c r="U150" t="inlineStr">
        <is>
          <t>d.accT</t>
        </is>
      </c>
      <c r="V150" t="inlineStr">
        <is>
          <t>Время</t>
        </is>
      </c>
      <c r="W150" t="inlineStr">
        <is>
          <t>Учёт</t>
        </is>
      </c>
      <c r="X150" t="inlineStr">
        <is>
          <t>Доход · учёт</t>
        </is>
      </c>
      <c r="Y150" t="inlineStr">
        <is>
          <t>self ? acc_per_quarter×4 : 0</t>
        </is>
      </c>
      <c r="Z150" t="inlineStr">
        <is>
          <t>card01, card02</t>
        </is>
      </c>
      <c r="AA150" t="inlineStr">
        <is>
          <t>НЕТ — добавить в глоссарий</t>
        </is>
      </c>
      <c r="AB150" s="229" t="inlineStr">
        <is>
          <t>RULE-001</t>
        </is>
      </c>
    </row>
    <row r="151">
      <c r="A151" t="inlineStr">
        <is>
          <t>101</t>
        </is>
      </c>
      <c r="B151" t="inlineStr">
        <is>
          <t>PAGE-MODEL</t>
        </is>
      </c>
      <c r="C151" t="inlineStr">
        <is>
          <t>Модель · calc()</t>
        </is>
      </c>
      <c r="D151" t="inlineStr">
        <is>
          <t>2</t>
        </is>
      </c>
      <c r="E151" t="inlineStr">
        <is>
          <t>MODEL-02</t>
        </is>
      </c>
      <c r="F151" t="inlineStr">
        <is>
          <t>—</t>
        </is>
      </c>
      <c r="G151" t="inlineStr">
        <is>
          <t>Время</t>
        </is>
      </c>
      <c r="H151" t="inlineStr">
        <is>
          <t>CALC-RESULT</t>
        </is>
      </c>
      <c r="I151" t="inlineStr">
        <is>
          <t>Результаты calc()</t>
        </is>
      </c>
      <c r="J151" t="inlineStr">
        <is>
          <t>RES-fmT</t>
        </is>
      </c>
      <c r="K151" t="inlineStr">
        <is>
          <t>d.fmT</t>
        </is>
      </c>
      <c r="L151" t="inlineStr">
        <is>
          <t>fmT</t>
        </is>
      </c>
      <c r="M151" t="inlineStr">
        <is>
          <t>fmT</t>
        </is>
      </c>
      <c r="N151" t="inlineStr">
        <is>
          <t>result</t>
        </is>
      </c>
      <c r="O151" t="inlineStr">
        <is>
          <t>result</t>
        </is>
      </c>
      <c r="P151" t="inlineStr">
        <is>
          <t>Результат расчёта или служебное поле</t>
        </is>
      </c>
      <c r="R151" t="inlineStr">
        <is>
          <t>0</t>
        </is>
      </c>
      <c r="T151" t="inlineStr">
        <is>
          <t>создаётся при каждом calc()</t>
        </is>
      </c>
      <c r="U151" t="inlineStr">
        <is>
          <t>d.fmT</t>
        </is>
      </c>
      <c r="V151" t="inlineStr">
        <is>
          <t>Время</t>
        </is>
      </c>
      <c r="W151" t="inlineStr">
        <is>
          <t>Резерв времени</t>
        </is>
      </c>
      <c r="X151" t="inlineStr">
        <is>
          <t>Доход · простой</t>
        </is>
      </c>
      <c r="Y151" t="inlineStr">
        <is>
          <t>fm_on ? gross×fm_pct : 0</t>
        </is>
      </c>
      <c r="Z151" t="inlineStr">
        <is>
          <t>card01, card02</t>
        </is>
      </c>
      <c r="AA151" t="inlineStr">
        <is>
          <t>НЕТ — добавить в глоссарий</t>
        </is>
      </c>
      <c r="AB151" s="229" t="inlineStr">
        <is>
          <t>RULE-001</t>
        </is>
      </c>
    </row>
    <row r="152">
      <c r="A152" t="inlineStr">
        <is>
          <t>102</t>
        </is>
      </c>
      <c r="B152" t="inlineStr">
        <is>
          <t>PAGE-MODEL</t>
        </is>
      </c>
      <c r="C152" t="inlineStr">
        <is>
          <t>Модель · calc()</t>
        </is>
      </c>
      <c r="D152" t="inlineStr">
        <is>
          <t>2</t>
        </is>
      </c>
      <c r="E152" t="inlineStr">
        <is>
          <t>MODEL-02</t>
        </is>
      </c>
      <c r="F152" t="inlineStr">
        <is>
          <t>—</t>
        </is>
      </c>
      <c r="G152" t="inlineStr">
        <is>
          <t>Время</t>
        </is>
      </c>
      <c r="H152" t="inlineStr">
        <is>
          <t>CALC-RESULT</t>
        </is>
      </c>
      <c r="I152" t="inlineStr">
        <is>
          <t>Результаты calc()</t>
        </is>
      </c>
      <c r="J152" t="inlineStr">
        <is>
          <t>RES-NW</t>
        </is>
      </c>
      <c r="K152" t="inlineStr">
        <is>
          <t>d.NW</t>
        </is>
      </c>
      <c r="L152" t="inlineStr">
        <is>
          <t>NW</t>
        </is>
      </c>
      <c r="M152" t="inlineStr">
        <is>
          <t>NW</t>
        </is>
      </c>
      <c r="N152" t="inlineStr">
        <is>
          <t>result</t>
        </is>
      </c>
      <c r="O152" t="inlineStr">
        <is>
          <t>result</t>
        </is>
      </c>
      <c r="P152" t="inlineStr">
        <is>
          <t>Результат расчёта или служебное поле</t>
        </is>
      </c>
      <c r="R152" t="inlineStr">
        <is>
          <t>43.8</t>
        </is>
      </c>
      <c r="T152" t="inlineStr">
        <is>
          <t>создаётся при каждом calc()</t>
        </is>
      </c>
      <c r="U152" t="inlineStr">
        <is>
          <t>d.NW</t>
        </is>
      </c>
      <c r="V152" t="inlineStr">
        <is>
          <t>Время</t>
        </is>
      </c>
      <c r="W152" t="inlineStr">
        <is>
          <t>Время</t>
        </is>
      </c>
      <c r="Z152" t="inlineStr">
        <is>
          <t>report.html / детализация</t>
        </is>
      </c>
      <c r="AA152" t="inlineStr">
        <is>
          <t>НЕТ — добавить в глоссарий</t>
        </is>
      </c>
      <c r="AB152" s="229" t="inlineStr">
        <is>
          <t>RULE-001</t>
        </is>
      </c>
    </row>
    <row r="153">
      <c r="A153" t="inlineStr">
        <is>
          <t>БЛОК · Проект [MODEL-03]</t>
        </is>
      </c>
      <c r="AB153" s="229" t="n"/>
    </row>
    <row r="154">
      <c r="A154" t="inlineStr">
        <is>
          <t>№</t>
        </is>
      </c>
      <c r="B154" t="inlineStr">
        <is>
          <t>Страница ID</t>
        </is>
      </c>
      <c r="C154" t="inlineStr">
        <is>
          <t>Страница</t>
        </is>
      </c>
      <c r="D154" t="inlineStr">
        <is>
          <t>Порядок</t>
        </is>
      </c>
      <c r="E154" t="inlineStr">
        <is>
          <t>Блок ID</t>
        </is>
      </c>
      <c r="F154" t="inlineStr">
        <is>
          <t>№ блока</t>
        </is>
      </c>
      <c r="G154" t="inlineStr">
        <is>
          <t>Название блока</t>
        </is>
      </c>
      <c r="H154" t="inlineStr">
        <is>
          <t>Форма ID</t>
        </is>
      </c>
      <c r="I154" t="inlineStr">
        <is>
          <t>Название формы</t>
        </is>
      </c>
      <c r="J154" t="inlineStr">
        <is>
          <t>Поле ID реестра</t>
        </is>
      </c>
      <c r="K154" t="inlineStr">
        <is>
          <t>DOM / код ID</t>
        </is>
      </c>
      <c r="L154" t="inlineStr">
        <is>
          <t>Параметр модели</t>
        </is>
      </c>
      <c r="M154" t="inlineStr">
        <is>
          <t>Наименование поля</t>
        </is>
      </c>
      <c r="N154" t="inlineStr">
        <is>
          <t>Тип поля</t>
        </is>
      </c>
      <c r="O154" t="inlineStr">
        <is>
          <t>Роль</t>
        </is>
      </c>
      <c r="P154" t="inlineStr">
        <is>
          <t>Что вводим / что означает</t>
        </is>
      </c>
      <c r="Q154" t="inlineStr">
        <is>
          <t>Допустимые ответы / варианты</t>
        </is>
      </c>
      <c r="R154" t="inlineStr">
        <is>
          <t>По умолчанию</t>
        </is>
      </c>
      <c r="S154" t="inlineStr">
        <is>
          <t>Единица</t>
        </is>
      </c>
      <c r="T154" t="inlineStr">
        <is>
          <t>Условие показа / включения</t>
        </is>
      </c>
      <c r="U154" t="inlineStr">
        <is>
          <t>Поле результата d</t>
        </is>
      </c>
      <c r="V154" t="inlineStr">
        <is>
          <t>Группа результата</t>
        </is>
      </c>
      <c r="W154" t="inlineStr">
        <is>
          <t>Подгруппа результата</t>
        </is>
      </c>
      <c r="X154" t="inlineStr">
        <is>
          <t>Группа диаграммы</t>
        </is>
      </c>
      <c r="Y154" t="inlineStr">
        <is>
          <t>Формула / источник</t>
        </is>
      </c>
      <c r="Z154" t="inlineStr">
        <is>
          <t>Где выводится</t>
        </is>
      </c>
      <c r="AA154" t="inlineStr">
        <is>
          <t>Тип есть в глоссарии</t>
        </is>
      </c>
      <c r="AB154" s="229" t="inlineStr">
        <is>
          <t>Правило ID</t>
        </is>
      </c>
    </row>
    <row r="155">
      <c r="A155" t="inlineStr">
        <is>
          <t>103</t>
        </is>
      </c>
      <c r="B155" t="inlineStr">
        <is>
          <t>PAGE-MODEL</t>
        </is>
      </c>
      <c r="C155" t="inlineStr">
        <is>
          <t>Модель · calc()</t>
        </is>
      </c>
      <c r="D155" t="inlineStr">
        <is>
          <t>3</t>
        </is>
      </c>
      <c r="E155" t="inlineStr">
        <is>
          <t>MODEL-03</t>
        </is>
      </c>
      <c r="F155" t="inlineStr">
        <is>
          <t>—</t>
        </is>
      </c>
      <c r="G155" t="inlineStr">
        <is>
          <t>Проект</t>
        </is>
      </c>
      <c r="H155" t="inlineStr">
        <is>
          <t>CALC-RESULT</t>
        </is>
      </c>
      <c r="I155" t="inlineStr">
        <is>
          <t>Результаты calc()</t>
        </is>
      </c>
      <c r="J155" t="inlineStr">
        <is>
          <t>RES-frames</t>
        </is>
      </c>
      <c r="K155" t="inlineStr">
        <is>
          <t>d.frames</t>
        </is>
      </c>
      <c r="L155" t="inlineStr">
        <is>
          <t>frames</t>
        </is>
      </c>
      <c r="M155" t="inlineStr">
        <is>
          <t>frames</t>
        </is>
      </c>
      <c r="N155" t="inlineStr">
        <is>
          <t>result</t>
        </is>
      </c>
      <c r="O155" t="inlineStr">
        <is>
          <t>result</t>
        </is>
      </c>
      <c r="P155" t="inlineStr">
        <is>
          <t>Результат расчёта или служебное поле</t>
        </is>
      </c>
      <c r="R155" t="inlineStr">
        <is>
          <t>80</t>
        </is>
      </c>
      <c r="T155" t="inlineStr">
        <is>
          <t>создаётся при каждом calc()</t>
        </is>
      </c>
      <c r="U155" t="inlineStr">
        <is>
          <t>d.frames</t>
        </is>
      </c>
      <c r="V155" t="inlineStr">
        <is>
          <t>Проект</t>
        </is>
      </c>
      <c r="W155" t="inlineStr">
        <is>
          <t>Проект</t>
        </is>
      </c>
      <c r="Z155" t="inlineStr">
        <is>
          <t>report.html / детализация</t>
        </is>
      </c>
      <c r="AA155" t="inlineStr">
        <is>
          <t>НЕТ — добавить в глоссарий</t>
        </is>
      </c>
      <c r="AB155" s="229" t="inlineStr">
        <is>
          <t>RULE-001</t>
        </is>
      </c>
    </row>
    <row r="157">
      <c r="A157" t="inlineStr">
        <is>
          <t>105</t>
        </is>
      </c>
      <c r="B157" t="inlineStr">
        <is>
          <t>PAGE-MODEL</t>
        </is>
      </c>
      <c r="C157" t="inlineStr">
        <is>
          <t>Модель · calc()</t>
        </is>
      </c>
      <c r="D157" t="inlineStr">
        <is>
          <t>3</t>
        </is>
      </c>
      <c r="E157" t="inlineStr">
        <is>
          <t>MODEL-03</t>
        </is>
      </c>
      <c r="F157" t="inlineStr">
        <is>
          <t>—</t>
        </is>
      </c>
      <c r="G157" t="inlineStr">
        <is>
          <t>Проект</t>
        </is>
      </c>
      <c r="H157" t="inlineStr">
        <is>
          <t>CALC-RESULT</t>
        </is>
      </c>
      <c r="I157" t="inlineStr">
        <is>
          <t>Результаты calc()</t>
        </is>
      </c>
      <c r="J157" t="inlineStr">
        <is>
          <t>RES-S</t>
        </is>
      </c>
      <c r="K157" t="inlineStr">
        <is>
          <t>d.S</t>
        </is>
      </c>
      <c r="L157" t="inlineStr">
        <is>
          <t>S</t>
        </is>
      </c>
      <c r="M157" t="inlineStr">
        <is>
          <t>Продолжительность одной съёмки</t>
        </is>
      </c>
      <c r="N157" t="inlineStr">
        <is>
          <t>result</t>
        </is>
      </c>
      <c r="O157" t="inlineStr">
        <is>
          <t>result</t>
        </is>
      </c>
      <c r="P157" t="inlineStr">
        <is>
          <t>Результат расчёта или служебное поле</t>
        </is>
      </c>
      <c r="R157" t="inlineStr">
        <is>
          <t>1</t>
        </is>
      </c>
      <c r="T157" t="inlineStr">
        <is>
          <t>создаётся при каждом calc()</t>
        </is>
      </c>
      <c r="U157" t="inlineStr">
        <is>
          <t>d.S</t>
        </is>
      </c>
      <c r="V157" t="inlineStr">
        <is>
          <t>Проект</t>
        </is>
      </c>
      <c r="W157" t="inlineStr">
        <is>
          <t>Проект</t>
        </is>
      </c>
      <c r="Z157" t="inlineStr">
        <is>
          <t>report.html / детализация</t>
        </is>
      </c>
      <c r="AA157" t="inlineStr">
        <is>
          <t>НЕТ — добавить в глоссарий</t>
        </is>
      </c>
      <c r="AB157" s="229" t="inlineStr">
        <is>
          <t>RULE-001</t>
        </is>
      </c>
    </row>
    <row r="158">
      <c r="A158" t="inlineStr">
        <is>
          <t>106</t>
        </is>
      </c>
      <c r="B158" t="inlineStr">
        <is>
          <t>PAGE-MODEL</t>
        </is>
      </c>
      <c r="C158" t="inlineStr">
        <is>
          <t>Модель · calc()</t>
        </is>
      </c>
      <c r="D158" t="inlineStr">
        <is>
          <t>3</t>
        </is>
      </c>
      <c r="E158" t="inlineStr">
        <is>
          <t>MODEL-03</t>
        </is>
      </c>
      <c r="F158" t="inlineStr">
        <is>
          <t>—</t>
        </is>
      </c>
      <c r="G158" t="inlineStr">
        <is>
          <t>Проект</t>
        </is>
      </c>
      <c r="H158" t="inlineStr">
        <is>
          <t>CALC-RESULT</t>
        </is>
      </c>
      <c r="I158" t="inlineStr">
        <is>
          <t>Результаты calc()</t>
        </is>
      </c>
      <c r="J158" t="inlineStr">
        <is>
          <t>RES-pt</t>
        </is>
      </c>
      <c r="K158" t="inlineStr">
        <is>
          <t>d.pt</t>
        </is>
      </c>
      <c r="L158" t="inlineStr">
        <is>
          <t>pt</t>
        </is>
      </c>
      <c r="M158" t="inlineStr">
        <is>
          <t>Полное время одного проекта</t>
        </is>
      </c>
      <c r="N158" t="inlineStr">
        <is>
          <t>result</t>
        </is>
      </c>
      <c r="O158" t="inlineStr">
        <is>
          <t>result</t>
        </is>
      </c>
      <c r="P158" t="inlineStr">
        <is>
          <t>Результат расчёта или служебное поле</t>
        </is>
      </c>
      <c r="R158" t="inlineStr">
        <is>
          <t>5</t>
        </is>
      </c>
      <c r="T158" t="inlineStr">
        <is>
          <t>создаётся при каждом calc()</t>
        </is>
      </c>
      <c r="U158" t="inlineStr">
        <is>
          <t>d.pt</t>
        </is>
      </c>
      <c r="V158" t="inlineStr">
        <is>
          <t>Проект</t>
        </is>
      </c>
      <c r="W158" t="inlineStr">
        <is>
          <t>Проект</t>
        </is>
      </c>
      <c r="Y158" t="inlineStr">
        <is>
          <t>S×(1+K)+cl</t>
        </is>
      </c>
      <c r="Z158" t="inlineStr">
        <is>
          <t>report.html / детализация</t>
        </is>
      </c>
      <c r="AA158" t="inlineStr">
        <is>
          <t>НЕТ — добавить в глоссарий</t>
        </is>
      </c>
      <c r="AB158" s="229" t="inlineStr">
        <is>
          <t>RULE-001</t>
        </is>
      </c>
    </row>
    <row r="159">
      <c r="A159" t="inlineStr">
        <is>
          <t>107</t>
        </is>
      </c>
      <c r="B159" t="inlineStr">
        <is>
          <t>PAGE-MODEL</t>
        </is>
      </c>
      <c r="C159" t="inlineStr">
        <is>
          <t>Модель · calc()</t>
        </is>
      </c>
      <c r="D159" t="inlineStr">
        <is>
          <t>3</t>
        </is>
      </c>
      <c r="E159" t="inlineStr">
        <is>
          <t>MODEL-03</t>
        </is>
      </c>
      <c r="F159" t="inlineStr">
        <is>
          <t>—</t>
        </is>
      </c>
      <c r="G159" t="inlineStr">
        <is>
          <t>Проект</t>
        </is>
      </c>
      <c r="H159" t="inlineStr">
        <is>
          <t>CALC-RESULT</t>
        </is>
      </c>
      <c r="I159" t="inlineStr">
        <is>
          <t>Результаты calc()</t>
        </is>
      </c>
      <c r="J159" t="inlineStr">
        <is>
          <t>RES-py</t>
        </is>
      </c>
      <c r="K159" t="inlineStr">
        <is>
          <t>d.py</t>
        </is>
      </c>
      <c r="L159" t="inlineStr">
        <is>
          <t>py</t>
        </is>
      </c>
      <c r="M159" t="inlineStr">
        <is>
          <t>Проектов за год</t>
        </is>
      </c>
      <c r="N159" t="inlineStr">
        <is>
          <t>result</t>
        </is>
      </c>
      <c r="O159" t="inlineStr">
        <is>
          <t>result</t>
        </is>
      </c>
      <c r="P159" t="inlineStr">
        <is>
          <t>Результат расчёта или служебное поле</t>
        </is>
      </c>
      <c r="R159" t="inlineStr">
        <is>
          <t>216.6</t>
        </is>
      </c>
      <c r="T159" t="inlineStr">
        <is>
          <t>создаётся при каждом calc()</t>
        </is>
      </c>
      <c r="U159" t="inlineStr">
        <is>
          <t>d.py</t>
        </is>
      </c>
      <c r="V159" t="inlineStr">
        <is>
          <t>Проект</t>
        </is>
      </c>
      <c r="W159" t="inlineStr">
        <is>
          <t>Проект</t>
        </is>
      </c>
      <c r="Y159" t="inlineStr">
        <is>
          <t>pool/pt</t>
        </is>
      </c>
      <c r="Z159" t="inlineStr">
        <is>
          <t>report.html / детализация</t>
        </is>
      </c>
      <c r="AA159" t="inlineStr">
        <is>
          <t>НЕТ — добавить в глоссарий</t>
        </is>
      </c>
      <c r="AB159" s="229" t="inlineStr">
        <is>
          <t>RULE-001</t>
        </is>
      </c>
    </row>
    <row r="160">
      <c r="A160" t="inlineStr">
        <is>
          <t>108</t>
        </is>
      </c>
      <c r="B160" t="inlineStr">
        <is>
          <t>PAGE-MODEL</t>
        </is>
      </c>
      <c r="C160" t="inlineStr">
        <is>
          <t>Модель · calc()</t>
        </is>
      </c>
      <c r="D160" t="inlineStr">
        <is>
          <t>3</t>
        </is>
      </c>
      <c r="E160" t="inlineStr">
        <is>
          <t>MODEL-03</t>
        </is>
      </c>
      <c r="F160" t="inlineStr">
        <is>
          <t>—</t>
        </is>
      </c>
      <c r="G160" t="inlineStr">
        <is>
          <t>Проект</t>
        </is>
      </c>
      <c r="H160" t="inlineStr">
        <is>
          <t>CALC-RESULT</t>
        </is>
      </c>
      <c r="I160" t="inlineStr">
        <is>
          <t>Результаты calc()</t>
        </is>
      </c>
      <c r="J160" t="inlineStr">
        <is>
          <t>RES-sh</t>
        </is>
      </c>
      <c r="K160" t="inlineStr">
        <is>
          <t>d.sh</t>
        </is>
      </c>
      <c r="L160" t="inlineStr">
        <is>
          <t>sh</t>
        </is>
      </c>
      <c r="M160" t="inlineStr">
        <is>
          <t>Съёмочные часы за год</t>
        </is>
      </c>
      <c r="N160" t="inlineStr">
        <is>
          <t>result</t>
        </is>
      </c>
      <c r="O160" t="inlineStr">
        <is>
          <t>result</t>
        </is>
      </c>
      <c r="P160" t="inlineStr">
        <is>
          <t>Результат расчёта или служебное поле</t>
        </is>
      </c>
      <c r="R160" t="inlineStr">
        <is>
          <t>216.6</t>
        </is>
      </c>
      <c r="T160" t="inlineStr">
        <is>
          <t>создаётся при каждом calc()</t>
        </is>
      </c>
      <c r="U160" t="inlineStr">
        <is>
          <t>d.sh</t>
        </is>
      </c>
      <c r="V160" t="inlineStr">
        <is>
          <t>Проект</t>
        </is>
      </c>
      <c r="W160" t="inlineStr">
        <is>
          <t>Съёмочное время</t>
        </is>
      </c>
      <c r="X160" t="inlineStr">
        <is>
          <t>Доход · съёмка</t>
        </is>
      </c>
      <c r="Y160" t="inlineStr">
        <is>
          <t>py×S</t>
        </is>
      </c>
      <c r="Z160" t="inlineStr">
        <is>
          <t>card01, card02, card04, card05, детализация</t>
        </is>
      </c>
      <c r="AA160" t="inlineStr">
        <is>
          <t>НЕТ — добавить в глоссарий</t>
        </is>
      </c>
      <c r="AB160" s="229" t="inlineStr">
        <is>
          <t>RULE-001</t>
        </is>
      </c>
    </row>
    <row r="161">
      <c r="A161" t="inlineStr">
        <is>
          <t>109</t>
        </is>
      </c>
      <c r="B161" t="inlineStr">
        <is>
          <t>PAGE-MODEL</t>
        </is>
      </c>
      <c r="C161" t="inlineStr">
        <is>
          <t>Модель · calc()</t>
        </is>
      </c>
      <c r="D161" t="inlineStr">
        <is>
          <t>3</t>
        </is>
      </c>
      <c r="E161" t="inlineStr">
        <is>
          <t>MODEL-03</t>
        </is>
      </c>
      <c r="F161" t="inlineStr">
        <is>
          <t>—</t>
        </is>
      </c>
      <c r="G161" t="inlineStr">
        <is>
          <t>Проект</t>
        </is>
      </c>
      <c r="H161" t="inlineStr">
        <is>
          <t>CALC-RESULT</t>
        </is>
      </c>
      <c r="I161" t="inlineStr">
        <is>
          <t>Результаты calc()</t>
        </is>
      </c>
      <c r="J161" t="inlineStr">
        <is>
          <t>RES-post</t>
        </is>
      </c>
      <c r="K161" t="inlineStr">
        <is>
          <t>d.post</t>
        </is>
      </c>
      <c r="L161" t="inlineStr">
        <is>
          <t>post</t>
        </is>
      </c>
      <c r="M161" t="inlineStr">
        <is>
          <t>post</t>
        </is>
      </c>
      <c r="N161" t="inlineStr">
        <is>
          <t>result</t>
        </is>
      </c>
      <c r="O161" t="inlineStr">
        <is>
          <t>result</t>
        </is>
      </c>
      <c r="P161" t="inlineStr">
        <is>
          <t>Результат расчёта или служебное поле</t>
        </is>
      </c>
      <c r="R161" t="inlineStr">
        <is>
          <t>649.8</t>
        </is>
      </c>
      <c r="T161" t="inlineStr">
        <is>
          <t>создаётся при каждом calc()</t>
        </is>
      </c>
      <c r="U161" t="inlineStr">
        <is>
          <t>d.post</t>
        </is>
      </c>
      <c r="V161" t="inlineStr">
        <is>
          <t>Проект</t>
        </is>
      </c>
      <c r="W161" t="inlineStr">
        <is>
          <t>Постпродакшн</t>
        </is>
      </c>
      <c r="X161" t="inlineStr">
        <is>
          <t>Доход · постпродакшн</t>
        </is>
      </c>
      <c r="Y161" t="inlineStr">
        <is>
          <t>sh×K</t>
        </is>
      </c>
      <c r="Z161" t="inlineStr">
        <is>
          <t>card01, card02, детализация</t>
        </is>
      </c>
      <c r="AA161" t="inlineStr">
        <is>
          <t>НЕТ — добавить в глоссарий</t>
        </is>
      </c>
      <c r="AB161" s="229" t="inlineStr">
        <is>
          <t>RULE-001</t>
        </is>
      </c>
    </row>
    <row r="163">
      <c r="A163" t="inlineStr">
        <is>
          <t>111</t>
        </is>
      </c>
      <c r="B163" t="inlineStr">
        <is>
          <t>PAGE-MODEL</t>
        </is>
      </c>
      <c r="C163" t="inlineStr">
        <is>
          <t>Модель · calc()</t>
        </is>
      </c>
      <c r="D163" t="inlineStr">
        <is>
          <t>3</t>
        </is>
      </c>
      <c r="E163" t="inlineStr">
        <is>
          <t>MODEL-03</t>
        </is>
      </c>
      <c r="F163" t="inlineStr">
        <is>
          <t>—</t>
        </is>
      </c>
      <c r="G163" t="inlineStr">
        <is>
          <t>Проект</t>
        </is>
      </c>
      <c r="H163" t="inlineStr">
        <is>
          <t>CALC-RESULT</t>
        </is>
      </c>
      <c r="I163" t="inlineStr">
        <is>
          <t>Результаты calc()</t>
        </is>
      </c>
      <c r="J163" t="inlineStr">
        <is>
          <t>RES-clT</t>
        </is>
      </c>
      <c r="K163" t="inlineStr">
        <is>
          <t>d.clT</t>
        </is>
      </c>
      <c r="L163" t="inlineStr">
        <is>
          <t>clT</t>
        </is>
      </c>
      <c r="M163" t="inlineStr">
        <is>
          <t>clT</t>
        </is>
      </c>
      <c r="N163" t="inlineStr">
        <is>
          <t>result</t>
        </is>
      </c>
      <c r="O163" t="inlineStr">
        <is>
          <t>result</t>
        </is>
      </c>
      <c r="P163" t="inlineStr">
        <is>
          <t>Результат расчёта или служебное поле</t>
        </is>
      </c>
      <c r="R163" t="inlineStr">
        <is>
          <t>216.6</t>
        </is>
      </c>
      <c r="T163" t="inlineStr">
        <is>
          <t>создаётся при каждом calc()</t>
        </is>
      </c>
      <c r="U163" t="inlineStr">
        <is>
          <t>d.clT</t>
        </is>
      </c>
      <c r="V163" t="inlineStr">
        <is>
          <t>Проект</t>
        </is>
      </c>
      <c r="W163" t="inlineStr">
        <is>
          <t>Клиентское время</t>
        </is>
      </c>
      <c r="X163" t="inlineStr">
        <is>
          <t>Доход · клиент</t>
        </is>
      </c>
      <c r="Y163" t="inlineStr">
        <is>
          <t>py×cl</t>
        </is>
      </c>
      <c r="Z163" t="inlineStr">
        <is>
          <t>card01, card02, детализация</t>
        </is>
      </c>
      <c r="AA163" t="inlineStr">
        <is>
          <t>НЕТ — добавить в глоссарий</t>
        </is>
      </c>
      <c r="AB163" s="229" t="inlineStr">
        <is>
          <t>RULE-001</t>
        </is>
      </c>
    </row>
    <row r="164">
      <c r="A164" t="inlineStr">
        <is>
          <t>112</t>
        </is>
      </c>
      <c r="B164" t="inlineStr">
        <is>
          <t>PAGE-MODEL</t>
        </is>
      </c>
      <c r="C164" t="inlineStr">
        <is>
          <t>Модель · calc()</t>
        </is>
      </c>
      <c r="D164" t="inlineStr">
        <is>
          <t>3</t>
        </is>
      </c>
      <c r="E164" t="inlineStr">
        <is>
          <t>MODEL-03</t>
        </is>
      </c>
      <c r="F164" t="inlineStr">
        <is>
          <t>—</t>
        </is>
      </c>
      <c r="G164" t="inlineStr">
        <is>
          <t>Проект</t>
        </is>
      </c>
      <c r="H164" t="inlineStr">
        <is>
          <t>CALC-RESULT</t>
        </is>
      </c>
      <c r="I164" t="inlineStr">
        <is>
          <t>Результаты calc()</t>
        </is>
      </c>
      <c r="J164" t="inlineStr">
        <is>
          <t>RES-K</t>
        </is>
      </c>
      <c r="K164" t="inlineStr">
        <is>
          <t>d.K</t>
        </is>
      </c>
      <c r="L164" t="inlineStr">
        <is>
          <t>K</t>
        </is>
      </c>
      <c r="M164" t="inlineStr">
        <is>
          <t>K</t>
        </is>
      </c>
      <c r="N164" t="inlineStr">
        <is>
          <t>result</t>
        </is>
      </c>
      <c r="O164" t="inlineStr">
        <is>
          <t>result</t>
        </is>
      </c>
      <c r="P164" t="inlineStr">
        <is>
          <t>Результат расчёта или служебное поле</t>
        </is>
      </c>
      <c r="R164" t="inlineStr">
        <is>
          <t>3</t>
        </is>
      </c>
      <c r="T164" t="inlineStr">
        <is>
          <t>создаётся при каждом calc()</t>
        </is>
      </c>
      <c r="U164" t="inlineStr">
        <is>
          <t>d.K</t>
        </is>
      </c>
      <c r="V164" t="inlineStr">
        <is>
          <t>Проект</t>
        </is>
      </c>
      <c r="W164" t="inlineStr">
        <is>
          <t>Проект</t>
        </is>
      </c>
      <c r="Z164" t="inlineStr">
        <is>
          <t>report.html / детализация</t>
        </is>
      </c>
      <c r="AA164" t="inlineStr">
        <is>
          <t>НЕТ — добавить в глоссарий</t>
        </is>
      </c>
      <c r="AB164" s="229" t="inlineStr">
        <is>
          <t>RULE-001</t>
        </is>
      </c>
    </row>
    <row r="165">
      <c r="A165" t="inlineStr">
        <is>
          <t>113</t>
        </is>
      </c>
      <c r="B165" t="inlineStr">
        <is>
          <t>PAGE-MODEL</t>
        </is>
      </c>
      <c r="C165" t="inlineStr">
        <is>
          <t>Модель · calc()</t>
        </is>
      </c>
      <c r="D165" t="inlineStr">
        <is>
          <t>3</t>
        </is>
      </c>
      <c r="E165" t="inlineStr">
        <is>
          <t>MODEL-03</t>
        </is>
      </c>
      <c r="F165" t="inlineStr">
        <is>
          <t>—</t>
        </is>
      </c>
      <c r="G165" t="inlineStr">
        <is>
          <t>Проект</t>
        </is>
      </c>
      <c r="H165" t="inlineStr">
        <is>
          <t>CALC-RESULT</t>
        </is>
      </c>
      <c r="I165" t="inlineStr">
        <is>
          <t>Результаты calc()</t>
        </is>
      </c>
      <c r="J165" t="inlineStr">
        <is>
          <t>RES-cl</t>
        </is>
      </c>
      <c r="K165" t="inlineStr">
        <is>
          <t>d.cl</t>
        </is>
      </c>
      <c r="L165" t="inlineStr">
        <is>
          <t>cl</t>
        </is>
      </c>
      <c r="M165" t="inlineStr">
        <is>
          <t>cl</t>
        </is>
      </c>
      <c r="N165" t="inlineStr">
        <is>
          <t>result</t>
        </is>
      </c>
      <c r="O165" t="inlineStr">
        <is>
          <t>result</t>
        </is>
      </c>
      <c r="P165" t="inlineStr">
        <is>
          <t>Результат расчёта или служебное поле</t>
        </is>
      </c>
      <c r="R165" t="inlineStr">
        <is>
          <t>1</t>
        </is>
      </c>
      <c r="T165" t="inlineStr">
        <is>
          <t>создаётся при каждом calc()</t>
        </is>
      </c>
      <c r="U165" t="inlineStr">
        <is>
          <t>d.cl</t>
        </is>
      </c>
      <c r="V165" t="inlineStr">
        <is>
          <t>Проект</t>
        </is>
      </c>
      <c r="W165" t="inlineStr">
        <is>
          <t>Проект</t>
        </is>
      </c>
      <c r="Z165" t="inlineStr">
        <is>
          <t>report.html / детализация</t>
        </is>
      </c>
      <c r="AA165" t="inlineStr">
        <is>
          <t>НЕТ — добавить в глоссарий</t>
        </is>
      </c>
      <c r="AB165" s="229" t="inlineStr">
        <is>
          <t>RULE-001</t>
        </is>
      </c>
    </row>
    <row r="166">
      <c r="A166" t="inlineStr">
        <is>
          <t>БЛОК · Камера и ресурс [MODEL-04]</t>
        </is>
      </c>
      <c r="AB166" s="229" t="n"/>
    </row>
    <row r="167">
      <c r="A167" t="inlineStr">
        <is>
          <t>№</t>
        </is>
      </c>
      <c r="B167" t="inlineStr">
        <is>
          <t>Страница ID</t>
        </is>
      </c>
      <c r="C167" t="inlineStr">
        <is>
          <t>Страница</t>
        </is>
      </c>
      <c r="D167" t="inlineStr">
        <is>
          <t>Порядок</t>
        </is>
      </c>
      <c r="E167" t="inlineStr">
        <is>
          <t>Блок ID</t>
        </is>
      </c>
      <c r="F167" t="inlineStr">
        <is>
          <t>№ блока</t>
        </is>
      </c>
      <c r="G167" t="inlineStr">
        <is>
          <t>Название блока</t>
        </is>
      </c>
      <c r="H167" t="inlineStr">
        <is>
          <t>Форма ID</t>
        </is>
      </c>
      <c r="I167" t="inlineStr">
        <is>
          <t>Название формы</t>
        </is>
      </c>
      <c r="J167" t="inlineStr">
        <is>
          <t>Поле ID реестра</t>
        </is>
      </c>
      <c r="K167" t="inlineStr">
        <is>
          <t>DOM / код ID</t>
        </is>
      </c>
      <c r="L167" t="inlineStr">
        <is>
          <t>Параметр модели</t>
        </is>
      </c>
      <c r="M167" t="inlineStr">
        <is>
          <t>Наименование поля</t>
        </is>
      </c>
      <c r="N167" t="inlineStr">
        <is>
          <t>Тип поля</t>
        </is>
      </c>
      <c r="O167" t="inlineStr">
        <is>
          <t>Роль</t>
        </is>
      </c>
      <c r="P167" t="inlineStr">
        <is>
          <t>Что вводим / что означает</t>
        </is>
      </c>
      <c r="Q167" t="inlineStr">
        <is>
          <t>Допустимые ответы / варианты</t>
        </is>
      </c>
      <c r="R167" t="inlineStr">
        <is>
          <t>По умолчанию</t>
        </is>
      </c>
      <c r="S167" t="inlineStr">
        <is>
          <t>Единица</t>
        </is>
      </c>
      <c r="T167" t="inlineStr">
        <is>
          <t>Условие показа / включения</t>
        </is>
      </c>
      <c r="U167" t="inlineStr">
        <is>
          <t>Поле результата d</t>
        </is>
      </c>
      <c r="V167" t="inlineStr">
        <is>
          <t>Группа результата</t>
        </is>
      </c>
      <c r="W167" t="inlineStr">
        <is>
          <t>Подгруппа результата</t>
        </is>
      </c>
      <c r="X167" t="inlineStr">
        <is>
          <t>Группа диаграммы</t>
        </is>
      </c>
      <c r="Y167" t="inlineStr">
        <is>
          <t>Формула / источник</t>
        </is>
      </c>
      <c r="Z167" t="inlineStr">
        <is>
          <t>Где выводится</t>
        </is>
      </c>
      <c r="AA167" t="inlineStr">
        <is>
          <t>Тип есть в глоссарии</t>
        </is>
      </c>
      <c r="AB167" s="229" t="inlineStr">
        <is>
          <t>Правило ID</t>
        </is>
      </c>
    </row>
    <row r="168">
      <c r="A168" t="inlineStr">
        <is>
          <t>114</t>
        </is>
      </c>
      <c r="B168" t="inlineStr">
        <is>
          <t>PAGE-MODEL</t>
        </is>
      </c>
      <c r="C168" t="inlineStr">
        <is>
          <t>Модель · calc()</t>
        </is>
      </c>
      <c r="D168" t="inlineStr">
        <is>
          <t>4</t>
        </is>
      </c>
      <c r="E168" t="inlineStr">
        <is>
          <t>MODEL-04</t>
        </is>
      </c>
      <c r="F168" t="inlineStr">
        <is>
          <t>—</t>
        </is>
      </c>
      <c r="G168" t="inlineStr">
        <is>
          <t>Камера и ресурс</t>
        </is>
      </c>
      <c r="H168" t="inlineStr">
        <is>
          <t>CALC-RESULT</t>
        </is>
      </c>
      <c r="I168" t="inlineStr">
        <is>
          <t>Результаты calc()</t>
        </is>
      </c>
      <c r="J168" t="inlineStr">
        <is>
          <t>RES-shutterPerHour</t>
        </is>
      </c>
      <c r="K168" t="inlineStr">
        <is>
          <t>d.shutterPerHour</t>
        </is>
      </c>
      <c r="L168" t="inlineStr">
        <is>
          <t>shutterPerHour</t>
        </is>
      </c>
      <c r="M168" t="inlineStr">
        <is>
          <t>shutterPerHour</t>
        </is>
      </c>
      <c r="N168" t="inlineStr">
        <is>
          <t>result</t>
        </is>
      </c>
      <c r="O168" t="inlineStr">
        <is>
          <t>result</t>
        </is>
      </c>
      <c r="P168" t="inlineStr">
        <is>
          <t>Результат расчёта или служебное поле</t>
        </is>
      </c>
      <c r="R168" t="inlineStr">
        <is>
          <t>350</t>
        </is>
      </c>
      <c r="T168" t="inlineStr">
        <is>
          <t>создаётся при каждом calc()</t>
        </is>
      </c>
      <c r="U168" t="inlineStr">
        <is>
          <t>d.shutterPerHour</t>
        </is>
      </c>
      <c r="V168" t="inlineStr">
        <is>
          <t>Камера и ресурс</t>
        </is>
      </c>
      <c r="W168" t="inlineStr">
        <is>
          <t>Камера и ресурс</t>
        </is>
      </c>
      <c r="Z168" t="inlineStr">
        <is>
          <t>report.html / детализация</t>
        </is>
      </c>
      <c r="AA168" t="inlineStr">
        <is>
          <t>НЕТ — добавить в глоссарий</t>
        </is>
      </c>
      <c r="AB168" s="229" t="inlineStr">
        <is>
          <t>RULE-001</t>
        </is>
      </c>
    </row>
    <row r="169">
      <c r="A169" t="inlineStr">
        <is>
          <t>115</t>
        </is>
      </c>
      <c r="B169" t="inlineStr">
        <is>
          <t>PAGE-MODEL</t>
        </is>
      </c>
      <c r="C169" t="inlineStr">
        <is>
          <t>Модель · calc()</t>
        </is>
      </c>
      <c r="D169" t="inlineStr">
        <is>
          <t>4</t>
        </is>
      </c>
      <c r="E169" t="inlineStr">
        <is>
          <t>MODEL-04</t>
        </is>
      </c>
      <c r="F169" t="inlineStr">
        <is>
          <t>—</t>
        </is>
      </c>
      <c r="G169" t="inlineStr">
        <is>
          <t>Камера и ресурс</t>
        </is>
      </c>
      <c r="H169" t="inlineStr">
        <is>
          <t>CALC-RESULT</t>
        </is>
      </c>
      <c r="I169" t="inlineStr">
        <is>
          <t>Результаты calc()</t>
        </is>
      </c>
      <c r="J169" t="inlineStr">
        <is>
          <t>RES-shutterLife</t>
        </is>
      </c>
      <c r="K169" t="inlineStr">
        <is>
          <t>d.shutterLife</t>
        </is>
      </c>
      <c r="L169" t="inlineStr">
        <is>
          <t>shutterLife</t>
        </is>
      </c>
      <c r="M169" t="inlineStr">
        <is>
          <t>shutterLife</t>
        </is>
      </c>
      <c r="N169" t="inlineStr">
        <is>
          <t>result</t>
        </is>
      </c>
      <c r="O169" t="inlineStr">
        <is>
          <t>result</t>
        </is>
      </c>
      <c r="P169" t="inlineStr">
        <is>
          <t>Результат расчёта или служебное поле</t>
        </is>
      </c>
      <c r="R169" t="inlineStr">
        <is>
          <t>300000</t>
        </is>
      </c>
      <c r="T169" t="inlineStr">
        <is>
          <t>создаётся при каждом calc()</t>
        </is>
      </c>
      <c r="U169" t="inlineStr">
        <is>
          <t>d.shutterLife</t>
        </is>
      </c>
      <c r="V169" t="inlineStr">
        <is>
          <t>Камера и ресурс</t>
        </is>
      </c>
      <c r="W169" t="inlineStr">
        <is>
          <t>Камера и ресурс</t>
        </is>
      </c>
      <c r="Z169" t="inlineStr">
        <is>
          <t>report.html / детализация</t>
        </is>
      </c>
      <c r="AA169" t="inlineStr">
        <is>
          <t>НЕТ — добавить в глоссарий</t>
        </is>
      </c>
      <c r="AB169" s="229" t="inlineStr">
        <is>
          <t>RULE-001</t>
        </is>
      </c>
    </row>
    <row r="170">
      <c r="A170" t="inlineStr">
        <is>
          <t>116</t>
        </is>
      </c>
      <c r="B170" t="inlineStr">
        <is>
          <t>PAGE-MODEL</t>
        </is>
      </c>
      <c r="C170" t="inlineStr">
        <is>
          <t>Модель · calc()</t>
        </is>
      </c>
      <c r="D170" t="inlineStr">
        <is>
          <t>4</t>
        </is>
      </c>
      <c r="E170" t="inlineStr">
        <is>
          <t>MODEL-04</t>
        </is>
      </c>
      <c r="F170" t="inlineStr">
        <is>
          <t>—</t>
        </is>
      </c>
      <c r="G170" t="inlineStr">
        <is>
          <t>Камера и ресурс</t>
        </is>
      </c>
      <c r="H170" t="inlineStr">
        <is>
          <t>CALC-RESULT</t>
        </is>
      </c>
      <c r="I170" t="inlineStr">
        <is>
          <t>Результаты calc()</t>
        </is>
      </c>
      <c r="J170" t="inlineStr">
        <is>
          <t>RES-shotsYear</t>
        </is>
      </c>
      <c r="K170" t="inlineStr">
        <is>
          <t>d.shotsYear</t>
        </is>
      </c>
      <c r="L170" t="inlineStr">
        <is>
          <t>shotsYear</t>
        </is>
      </c>
      <c r="M170" t="inlineStr">
        <is>
          <t>shotsYear</t>
        </is>
      </c>
      <c r="N170" t="inlineStr">
        <is>
          <t>result</t>
        </is>
      </c>
      <c r="O170" t="inlineStr">
        <is>
          <t>result</t>
        </is>
      </c>
      <c r="P170" t="inlineStr">
        <is>
          <t>Результат расчёта или служебное поле</t>
        </is>
      </c>
      <c r="R170" t="inlineStr">
        <is>
          <t>75810</t>
        </is>
      </c>
      <c r="T170" t="inlineStr">
        <is>
          <t>создаётся при каждом calc()</t>
        </is>
      </c>
      <c r="U170" t="inlineStr">
        <is>
          <t>d.shotsYear</t>
        </is>
      </c>
      <c r="V170" t="inlineStr">
        <is>
          <t>Камера и ресурс</t>
        </is>
      </c>
      <c r="W170" t="inlineStr">
        <is>
          <t>Камера и ресурс</t>
        </is>
      </c>
      <c r="Y170" t="inlineStr">
        <is>
          <t>shutterPerHour×sh</t>
        </is>
      </c>
      <c r="Z170" t="inlineStr">
        <is>
          <t>report.html / детализация</t>
        </is>
      </c>
      <c r="AA170" t="inlineStr">
        <is>
          <t>НЕТ — добавить в глоссарий</t>
        </is>
      </c>
      <c r="AB170" s="229" t="inlineStr">
        <is>
          <t>RULE-001</t>
        </is>
      </c>
    </row>
    <row r="171">
      <c r="A171" t="inlineStr">
        <is>
          <t>117</t>
        </is>
      </c>
      <c r="B171" t="inlineStr">
        <is>
          <t>PAGE-MODEL</t>
        </is>
      </c>
      <c r="C171" t="inlineStr">
        <is>
          <t>Модель · calc()</t>
        </is>
      </c>
      <c r="D171" t="inlineStr">
        <is>
          <t>4</t>
        </is>
      </c>
      <c r="E171" t="inlineStr">
        <is>
          <t>MODEL-04</t>
        </is>
      </c>
      <c r="F171" t="inlineStr">
        <is>
          <t>—</t>
        </is>
      </c>
      <c r="G171" t="inlineStr">
        <is>
          <t>Камера и ресурс</t>
        </is>
      </c>
      <c r="H171" t="inlineStr">
        <is>
          <t>CALC-RESULT</t>
        </is>
      </c>
      <c r="I171" t="inlineStr">
        <is>
          <t>Результаты calc()</t>
        </is>
      </c>
      <c r="J171" t="inlineStr">
        <is>
          <t>RES-camName</t>
        </is>
      </c>
      <c r="K171" t="inlineStr">
        <is>
          <t>d.camName</t>
        </is>
      </c>
      <c r="L171" t="inlineStr">
        <is>
          <t>camName</t>
        </is>
      </c>
      <c r="M171" t="inlineStr">
        <is>
          <t>camName</t>
        </is>
      </c>
      <c r="N171" t="inlineStr">
        <is>
          <t>result</t>
        </is>
      </c>
      <c r="O171" t="inlineStr">
        <is>
          <t>result</t>
        </is>
      </c>
      <c r="P171" t="inlineStr">
        <is>
          <t>Результат расчёта или служебное поле</t>
        </is>
      </c>
      <c r="R171" t="inlineStr">
        <is>
          <t>"Canon EOS R6 Mark II Body"</t>
        </is>
      </c>
      <c r="T171" t="inlineStr">
        <is>
          <t>создаётся при каждом calc()</t>
        </is>
      </c>
      <c r="U171" t="inlineStr">
        <is>
          <t>d.camName</t>
        </is>
      </c>
      <c r="V171" t="inlineStr">
        <is>
          <t>Камера и ресурс</t>
        </is>
      </c>
      <c r="W171" t="inlineStr">
        <is>
          <t>Камера и ресурс</t>
        </is>
      </c>
      <c r="Z171" t="inlineStr">
        <is>
          <t>report.html / детализация</t>
        </is>
      </c>
      <c r="AA171" t="inlineStr">
        <is>
          <t>НЕТ — добавить в глоссарий</t>
        </is>
      </c>
      <c r="AB171" s="229" t="inlineStr">
        <is>
          <t>RULE-001</t>
        </is>
      </c>
    </row>
    <row r="172">
      <c r="A172" t="inlineStr">
        <is>
          <t>118</t>
        </is>
      </c>
      <c r="B172" t="inlineStr">
        <is>
          <t>PAGE-MODEL</t>
        </is>
      </c>
      <c r="C172" t="inlineStr">
        <is>
          <t>Модель · calc()</t>
        </is>
      </c>
      <c r="D172" t="inlineStr">
        <is>
          <t>4</t>
        </is>
      </c>
      <c r="E172" t="inlineStr">
        <is>
          <t>MODEL-04</t>
        </is>
      </c>
      <c r="F172" t="inlineStr">
        <is>
          <t>—</t>
        </is>
      </c>
      <c r="G172" t="inlineStr">
        <is>
          <t>Камера и ресурс</t>
        </is>
      </c>
      <c r="H172" t="inlineStr">
        <is>
          <t>CALC-RESULT</t>
        </is>
      </c>
      <c r="I172" t="inlineStr">
        <is>
          <t>Результаты calc()</t>
        </is>
      </c>
      <c r="J172" t="inlineStr">
        <is>
          <t>RES-camPrice</t>
        </is>
      </c>
      <c r="K172" t="inlineStr">
        <is>
          <t>d.camPrice</t>
        </is>
      </c>
      <c r="L172" t="inlineStr">
        <is>
          <t>camPrice</t>
        </is>
      </c>
      <c r="M172" t="inlineStr">
        <is>
          <t>camPrice</t>
        </is>
      </c>
      <c r="N172" t="inlineStr">
        <is>
          <t>result</t>
        </is>
      </c>
      <c r="O172" t="inlineStr">
        <is>
          <t>result</t>
        </is>
      </c>
      <c r="P172" t="inlineStr">
        <is>
          <t>Результат расчёта или служебное поле</t>
        </is>
      </c>
      <c r="R172" t="inlineStr">
        <is>
          <t>166999</t>
        </is>
      </c>
      <c r="T172" t="inlineStr">
        <is>
          <t>создаётся при каждом calc()</t>
        </is>
      </c>
      <c r="U172" t="inlineStr">
        <is>
          <t>d.camPrice</t>
        </is>
      </c>
      <c r="V172" t="inlineStr">
        <is>
          <t>Камера и ресурс</t>
        </is>
      </c>
      <c r="W172" t="inlineStr">
        <is>
          <t>Камера и ресурс</t>
        </is>
      </c>
      <c r="Z172" t="inlineStr">
        <is>
          <t>report.html / детализация</t>
        </is>
      </c>
      <c r="AA172" t="inlineStr">
        <is>
          <t>НЕТ — добавить в глоссарий</t>
        </is>
      </c>
      <c r="AB172" s="229" t="inlineStr">
        <is>
          <t>RULE-001</t>
        </is>
      </c>
    </row>
    <row r="173">
      <c r="A173" t="inlineStr">
        <is>
          <t>119</t>
        </is>
      </c>
      <c r="B173" t="inlineStr">
        <is>
          <t>PAGE-MODEL</t>
        </is>
      </c>
      <c r="C173" t="inlineStr">
        <is>
          <t>Модель · calc()</t>
        </is>
      </c>
      <c r="D173" t="inlineStr">
        <is>
          <t>4</t>
        </is>
      </c>
      <c r="E173" t="inlineStr">
        <is>
          <t>MODEL-04</t>
        </is>
      </c>
      <c r="F173" t="inlineStr">
        <is>
          <t>—</t>
        </is>
      </c>
      <c r="G173" t="inlineStr">
        <is>
          <t>Камера и ресурс</t>
        </is>
      </c>
      <c r="H173" t="inlineStr">
        <is>
          <t>CALC-RESULT</t>
        </is>
      </c>
      <c r="I173" t="inlineStr">
        <is>
          <t>Результаты calc()</t>
        </is>
      </c>
      <c r="J173" t="inlineStr">
        <is>
          <t>RES-camLife</t>
        </is>
      </c>
      <c r="K173" t="inlineStr">
        <is>
          <t>d.camLife</t>
        </is>
      </c>
      <c r="L173" t="inlineStr">
        <is>
          <t>camLife</t>
        </is>
      </c>
      <c r="M173" t="inlineStr">
        <is>
          <t>camLife</t>
        </is>
      </c>
      <c r="N173" t="inlineStr">
        <is>
          <t>result</t>
        </is>
      </c>
      <c r="O173" t="inlineStr">
        <is>
          <t>result</t>
        </is>
      </c>
      <c r="P173" t="inlineStr">
        <is>
          <t>Результат расчёта или служебное поле</t>
        </is>
      </c>
      <c r="R173" t="inlineStr">
        <is>
          <t>3</t>
        </is>
      </c>
      <c r="T173" t="inlineStr">
        <is>
          <t>создаётся при каждом calc()</t>
        </is>
      </c>
      <c r="U173" t="inlineStr">
        <is>
          <t>d.camLife</t>
        </is>
      </c>
      <c r="V173" t="inlineStr">
        <is>
          <t>Камера и ресурс</t>
        </is>
      </c>
      <c r="W173" t="inlineStr">
        <is>
          <t>Камера и ресурс</t>
        </is>
      </c>
      <c r="Z173" t="inlineStr">
        <is>
          <t>report.html / детализация</t>
        </is>
      </c>
      <c r="AA173" t="inlineStr">
        <is>
          <t>НЕТ — добавить в глоссарий</t>
        </is>
      </c>
      <c r="AB173" s="229" t="inlineStr">
        <is>
          <t>RULE-001</t>
        </is>
      </c>
    </row>
    <row r="174">
      <c r="A174" t="inlineStr">
        <is>
          <t>120</t>
        </is>
      </c>
      <c r="B174" t="inlineStr">
        <is>
          <t>PAGE-MODEL</t>
        </is>
      </c>
      <c r="C174" t="inlineStr">
        <is>
          <t>Модель · calc()</t>
        </is>
      </c>
      <c r="D174" t="inlineStr">
        <is>
          <t>4</t>
        </is>
      </c>
      <c r="E174" t="inlineStr">
        <is>
          <t>MODEL-04</t>
        </is>
      </c>
      <c r="F174" t="inlineStr">
        <is>
          <t>—</t>
        </is>
      </c>
      <c r="G174" t="inlineStr">
        <is>
          <t>Камера и ресурс</t>
        </is>
      </c>
      <c r="H174" t="inlineStr">
        <is>
          <t>CALC-RESULT</t>
        </is>
      </c>
      <c r="I174" t="inlineStr">
        <is>
          <t>Результаты calc()</t>
        </is>
      </c>
      <c r="J174" t="inlineStr">
        <is>
          <t>RES-camAmort</t>
        </is>
      </c>
      <c r="K174" t="inlineStr">
        <is>
          <t>d.camAmort</t>
        </is>
      </c>
      <c r="L174" t="inlineStr">
        <is>
          <t>camAmort</t>
        </is>
      </c>
      <c r="M174" t="inlineStr">
        <is>
          <t>camAmort</t>
        </is>
      </c>
      <c r="N174" t="inlineStr">
        <is>
          <t>result</t>
        </is>
      </c>
      <c r="O174" t="inlineStr">
        <is>
          <t>result</t>
        </is>
      </c>
      <c r="P174" t="inlineStr">
        <is>
          <t>Результат расчёта или служебное поле</t>
        </is>
      </c>
      <c r="R174" t="inlineStr">
        <is>
          <t>55666.333333333336</t>
        </is>
      </c>
      <c r="T174" t="inlineStr">
        <is>
          <t>создаётся при каждом calc()</t>
        </is>
      </c>
      <c r="U174" t="inlineStr">
        <is>
          <t>d.camAmort</t>
        </is>
      </c>
      <c r="V174" t="inlineStr">
        <is>
          <t>Камера и ресурс</t>
        </is>
      </c>
      <c r="W174" t="inlineStr">
        <is>
          <t>Камера и ресурс</t>
        </is>
      </c>
      <c r="Y174" t="inlineStr">
        <is>
          <t>camPrice/camLife</t>
        </is>
      </c>
      <c r="Z174" t="inlineStr">
        <is>
          <t>report.html / детализация</t>
        </is>
      </c>
      <c r="AA174" t="inlineStr">
        <is>
          <t>НЕТ — добавить в глоссарий</t>
        </is>
      </c>
      <c r="AB174" s="229" t="inlineStr">
        <is>
          <t>RULE-001</t>
        </is>
      </c>
    </row>
    <row r="175">
      <c r="A175" t="inlineStr">
        <is>
          <t>121</t>
        </is>
      </c>
      <c r="B175" t="inlineStr">
        <is>
          <t>PAGE-MODEL</t>
        </is>
      </c>
      <c r="C175" t="inlineStr">
        <is>
          <t>Модель · calc()</t>
        </is>
      </c>
      <c r="D175" t="inlineStr">
        <is>
          <t>4</t>
        </is>
      </c>
      <c r="E175" t="inlineStr">
        <is>
          <t>MODEL-04</t>
        </is>
      </c>
      <c r="F175" t="inlineStr">
        <is>
          <t>—</t>
        </is>
      </c>
      <c r="G175" t="inlineStr">
        <is>
          <t>Камера и ресурс</t>
        </is>
      </c>
      <c r="H175" t="inlineStr">
        <is>
          <t>CALC-RESULT</t>
        </is>
      </c>
      <c r="I175" t="inlineStr">
        <is>
          <t>Результаты calc()</t>
        </is>
      </c>
      <c r="J175" t="inlineStr">
        <is>
          <t>RES-camWear</t>
        </is>
      </c>
      <c r="K175" t="inlineStr">
        <is>
          <t>d.camWear</t>
        </is>
      </c>
      <c r="L175" t="inlineStr">
        <is>
          <t>camWear</t>
        </is>
      </c>
      <c r="M175" t="inlineStr">
        <is>
          <t>camWear</t>
        </is>
      </c>
      <c r="N175" t="inlineStr">
        <is>
          <t>result</t>
        </is>
      </c>
      <c r="O175" t="inlineStr">
        <is>
          <t>result</t>
        </is>
      </c>
      <c r="P175" t="inlineStr">
        <is>
          <t>Результат расчёта или служебное поле</t>
        </is>
      </c>
      <c r="R175" t="inlineStr">
        <is>
          <t>0.7342874730686365</t>
        </is>
      </c>
      <c r="T175" t="inlineStr">
        <is>
          <t>создаётся при каждом calc()</t>
        </is>
      </c>
      <c r="U175" t="inlineStr">
        <is>
          <t>d.camWear</t>
        </is>
      </c>
      <c r="V175" t="inlineStr">
        <is>
          <t>Камера и ресурс</t>
        </is>
      </c>
      <c r="W175" t="inlineStr">
        <is>
          <t>Камера и ресурс</t>
        </is>
      </c>
      <c r="Y175" t="inlineStr">
        <is>
          <t>camAmort/shotsYear</t>
        </is>
      </c>
      <c r="Z175" t="inlineStr">
        <is>
          <t>report.html / детализация</t>
        </is>
      </c>
      <c r="AA175" t="inlineStr">
        <is>
          <t>НЕТ — добавить в глоссарий</t>
        </is>
      </c>
      <c r="AB175" s="229" t="inlineStr">
        <is>
          <t>RULE-001</t>
        </is>
      </c>
    </row>
    <row r="176">
      <c r="A176" t="inlineStr">
        <is>
          <t>БЛОК · Вложения и инвестиции [MODEL-05]</t>
        </is>
      </c>
      <c r="AB176" s="229" t="n"/>
    </row>
    <row r="177">
      <c r="A177" t="inlineStr">
        <is>
          <t>№</t>
        </is>
      </c>
      <c r="B177" t="inlineStr">
        <is>
          <t>Страница ID</t>
        </is>
      </c>
      <c r="C177" t="inlineStr">
        <is>
          <t>Страница</t>
        </is>
      </c>
      <c r="D177" t="inlineStr">
        <is>
          <t>Порядок</t>
        </is>
      </c>
      <c r="E177" t="inlineStr">
        <is>
          <t>Блок ID</t>
        </is>
      </c>
      <c r="F177" t="inlineStr">
        <is>
          <t>№ блока</t>
        </is>
      </c>
      <c r="G177" t="inlineStr">
        <is>
          <t>Название блока</t>
        </is>
      </c>
      <c r="H177" t="inlineStr">
        <is>
          <t>Форма ID</t>
        </is>
      </c>
      <c r="I177" t="inlineStr">
        <is>
          <t>Название формы</t>
        </is>
      </c>
      <c r="J177" t="inlineStr">
        <is>
          <t>Поле ID реестра</t>
        </is>
      </c>
      <c r="K177" t="inlineStr">
        <is>
          <t>DOM / код ID</t>
        </is>
      </c>
      <c r="L177" t="inlineStr">
        <is>
          <t>Параметр модели</t>
        </is>
      </c>
      <c r="M177" t="inlineStr">
        <is>
          <t>Наименование поля</t>
        </is>
      </c>
      <c r="N177" t="inlineStr">
        <is>
          <t>Тип поля</t>
        </is>
      </c>
      <c r="O177" t="inlineStr">
        <is>
          <t>Роль</t>
        </is>
      </c>
      <c r="P177" t="inlineStr">
        <is>
          <t>Что вводим / что означает</t>
        </is>
      </c>
      <c r="Q177" t="inlineStr">
        <is>
          <t>Допустимые ответы / варианты</t>
        </is>
      </c>
      <c r="R177" t="inlineStr">
        <is>
          <t>По умолчанию</t>
        </is>
      </c>
      <c r="S177" t="inlineStr">
        <is>
          <t>Единица</t>
        </is>
      </c>
      <c r="T177" t="inlineStr">
        <is>
          <t>Условие показа / включения</t>
        </is>
      </c>
      <c r="U177" t="inlineStr">
        <is>
          <t>Поле результата d</t>
        </is>
      </c>
      <c r="V177" t="inlineStr">
        <is>
          <t>Группа результата</t>
        </is>
      </c>
      <c r="W177" t="inlineStr">
        <is>
          <t>Подгруппа результата</t>
        </is>
      </c>
      <c r="X177" t="inlineStr">
        <is>
          <t>Группа диаграммы</t>
        </is>
      </c>
      <c r="Y177" t="inlineStr">
        <is>
          <t>Формула / источник</t>
        </is>
      </c>
      <c r="Z177" t="inlineStr">
        <is>
          <t>Где выводится</t>
        </is>
      </c>
      <c r="AA177" t="inlineStr">
        <is>
          <t>Тип есть в глоссарии</t>
        </is>
      </c>
      <c r="AB177" s="229" t="inlineStr">
        <is>
          <t>Правило ID</t>
        </is>
      </c>
    </row>
    <row r="179">
      <c r="A179" t="inlineStr">
        <is>
          <t>123</t>
        </is>
      </c>
      <c r="B179" t="inlineStr">
        <is>
          <t>PAGE-MODEL</t>
        </is>
      </c>
      <c r="C179" t="inlineStr">
        <is>
          <t>Модель · calc()</t>
        </is>
      </c>
      <c r="D179" t="inlineStr">
        <is>
          <t>5</t>
        </is>
      </c>
      <c r="E179" t="inlineStr">
        <is>
          <t>MODEL-05</t>
        </is>
      </c>
      <c r="F179" t="inlineStr">
        <is>
          <t>—</t>
        </is>
      </c>
      <c r="G179" t="inlineStr">
        <is>
          <t>Вложения и инвестиции</t>
        </is>
      </c>
      <c r="H179" t="inlineStr">
        <is>
          <t>CALC-RESULT</t>
        </is>
      </c>
      <c r="I179" t="inlineStr">
        <is>
          <t>Результаты calc()</t>
        </is>
      </c>
      <c r="J179" t="inlineStr">
        <is>
          <t>RES-amort</t>
        </is>
      </c>
      <c r="K179" t="inlineStr">
        <is>
          <t>d.amort</t>
        </is>
      </c>
      <c r="L179" t="inlineStr">
        <is>
          <t>amort</t>
        </is>
      </c>
      <c r="M179" t="inlineStr">
        <is>
          <t>amort</t>
        </is>
      </c>
      <c r="N179" t="inlineStr">
        <is>
          <t>result</t>
        </is>
      </c>
      <c r="O179" t="inlineStr">
        <is>
          <t>result</t>
        </is>
      </c>
      <c r="P179" t="inlineStr">
        <is>
          <t>Результат расчёта или служебное поле</t>
        </is>
      </c>
      <c r="R179" t="inlineStr">
        <is>
          <t>278687.78095238097</t>
        </is>
      </c>
      <c r="T179" t="inlineStr">
        <is>
          <t>создаётся при каждом calc()</t>
        </is>
      </c>
      <c r="U179" t="inlineStr">
        <is>
          <t>d.amort</t>
        </is>
      </c>
      <c r="V179" t="inlineStr">
        <is>
          <t>Вложения и инвестиции</t>
        </is>
      </c>
      <c r="W179" t="inlineStr">
        <is>
          <t>Вложения и инвестиции</t>
        </is>
      </c>
      <c r="Z179" t="inlineStr">
        <is>
          <t>report.html / детализация</t>
        </is>
      </c>
      <c r="AA179" t="inlineStr">
        <is>
          <t>НЕТ — добавить в глоссарий</t>
        </is>
      </c>
      <c r="AB179" s="229" t="inlineStr">
        <is>
          <t>RULE-001</t>
        </is>
      </c>
    </row>
    <row r="180">
      <c r="A180" t="inlineStr">
        <is>
          <t>124</t>
        </is>
      </c>
      <c r="B180" t="inlineStr">
        <is>
          <t>PAGE-MODEL</t>
        </is>
      </c>
      <c r="C180" t="inlineStr">
        <is>
          <t>Модель · calc()</t>
        </is>
      </c>
      <c r="D180" t="inlineStr">
        <is>
          <t>5</t>
        </is>
      </c>
      <c r="E180" t="inlineStr">
        <is>
          <t>MODEL-05</t>
        </is>
      </c>
      <c r="F180" t="inlineStr">
        <is>
          <t>—</t>
        </is>
      </c>
      <c r="G180" t="inlineStr">
        <is>
          <t>Вложения и инвестиции</t>
        </is>
      </c>
      <c r="H180" t="inlineStr">
        <is>
          <t>CALC-RESULT</t>
        </is>
      </c>
      <c r="I180" t="inlineStr">
        <is>
          <t>Результаты calc()</t>
        </is>
      </c>
      <c r="J180" t="inlineStr">
        <is>
          <t>RES-wsY</t>
        </is>
      </c>
      <c r="K180" t="inlineStr">
        <is>
          <t>d.wsY</t>
        </is>
      </c>
      <c r="L180" t="inlineStr">
        <is>
          <t>wsY</t>
        </is>
      </c>
      <c r="M180" t="inlineStr">
        <is>
          <t>wsY</t>
        </is>
      </c>
      <c r="N180" t="inlineStr">
        <is>
          <t>result</t>
        </is>
      </c>
      <c r="O180" t="inlineStr">
        <is>
          <t>result</t>
        </is>
      </c>
      <c r="P180" t="inlineStr">
        <is>
          <t>Результат расчёта или служебное поле</t>
        </is>
      </c>
      <c r="R180" t="inlineStr">
        <is>
          <t>67680</t>
        </is>
      </c>
      <c r="T180" t="inlineStr">
        <is>
          <t>создаётся при каждом calc()</t>
        </is>
      </c>
      <c r="U180" t="inlineStr">
        <is>
          <t>d.wsY</t>
        </is>
      </c>
      <c r="V180" t="inlineStr">
        <is>
          <t>Вложения и инвестиции</t>
        </is>
      </c>
      <c r="W180" t="inlineStr">
        <is>
          <t>Вложения и инвестиции</t>
        </is>
      </c>
      <c r="Z180" t="inlineStr">
        <is>
          <t>report.html / детализация</t>
        </is>
      </c>
      <c r="AA180" t="inlineStr">
        <is>
          <t>НЕТ — добавить в глоссарий</t>
        </is>
      </c>
      <c r="AB180" s="229" t="inlineStr">
        <is>
          <t>RULE-001</t>
        </is>
      </c>
    </row>
    <row r="181">
      <c r="A181" t="inlineStr">
        <is>
          <t>125</t>
        </is>
      </c>
      <c r="B181" t="inlineStr">
        <is>
          <t>PAGE-MODEL</t>
        </is>
      </c>
      <c r="C181" t="inlineStr">
        <is>
          <t>Модель · calc()</t>
        </is>
      </c>
      <c r="D181" t="inlineStr">
        <is>
          <t>5</t>
        </is>
      </c>
      <c r="E181" t="inlineStr">
        <is>
          <t>MODEL-05</t>
        </is>
      </c>
      <c r="F181" t="inlineStr">
        <is>
          <t>—</t>
        </is>
      </c>
      <c r="G181" t="inlineStr">
        <is>
          <t>Вложения и инвестиции</t>
        </is>
      </c>
      <c r="H181" t="inlineStr">
        <is>
          <t>CALC-RESULT</t>
        </is>
      </c>
      <c r="I181" t="inlineStr">
        <is>
          <t>Результаты calc()</t>
        </is>
      </c>
      <c r="J181" t="inlineStr">
        <is>
          <t>RES-siteY</t>
        </is>
      </c>
      <c r="K181" t="inlineStr">
        <is>
          <t>d.siteY</t>
        </is>
      </c>
      <c r="L181" t="inlineStr">
        <is>
          <t>siteY</t>
        </is>
      </c>
      <c r="M181" t="inlineStr">
        <is>
          <t>siteY</t>
        </is>
      </c>
      <c r="N181" t="inlineStr">
        <is>
          <t>result</t>
        </is>
      </c>
      <c r="O181" t="inlineStr">
        <is>
          <t>result</t>
        </is>
      </c>
      <c r="P181" t="inlineStr">
        <is>
          <t>Результат расчёта или служебное поле</t>
        </is>
      </c>
      <c r="R181" t="inlineStr">
        <is>
          <t>10000</t>
        </is>
      </c>
      <c r="T181" t="inlineStr">
        <is>
          <t>создаётся при каждом calc()</t>
        </is>
      </c>
      <c r="U181" t="inlineStr">
        <is>
          <t>d.siteY</t>
        </is>
      </c>
      <c r="V181" t="inlineStr">
        <is>
          <t>Вложения и инвестиции</t>
        </is>
      </c>
      <c r="W181" t="inlineStr">
        <is>
          <t>Вложения и инвестиции</t>
        </is>
      </c>
      <c r="Z181" t="inlineStr">
        <is>
          <t>report.html / детализация</t>
        </is>
      </c>
      <c r="AA181" t="inlineStr">
        <is>
          <t>НЕТ — добавить в глоссарий</t>
        </is>
      </c>
      <c r="AB181" s="229" t="inlineStr">
        <is>
          <t>RULE-001</t>
        </is>
      </c>
    </row>
    <row r="182">
      <c r="A182" t="inlineStr">
        <is>
          <t>126</t>
        </is>
      </c>
      <c r="B182" t="inlineStr">
        <is>
          <t>PAGE-MODEL</t>
        </is>
      </c>
      <c r="C182" t="inlineStr">
        <is>
          <t>Модель · calc()</t>
        </is>
      </c>
      <c r="D182" t="inlineStr">
        <is>
          <t>5</t>
        </is>
      </c>
      <c r="E182" t="inlineStr">
        <is>
          <t>MODEL-05</t>
        </is>
      </c>
      <c r="F182" t="inlineStr">
        <is>
          <t>—</t>
        </is>
      </c>
      <c r="G182" t="inlineStr">
        <is>
          <t>Вложения и инвестиции</t>
        </is>
      </c>
      <c r="H182" t="inlineStr">
        <is>
          <t>CALC-RESULT</t>
        </is>
      </c>
      <c r="I182" t="inlineStr">
        <is>
          <t>Результаты calc()</t>
        </is>
      </c>
      <c r="J182" t="inlineStr">
        <is>
          <t>RES-eduY</t>
        </is>
      </c>
      <c r="K182" t="inlineStr">
        <is>
          <t>d.eduY</t>
        </is>
      </c>
      <c r="L182" t="inlineStr">
        <is>
          <t>eduY</t>
        </is>
      </c>
      <c r="M182" t="inlineStr">
        <is>
          <t>eduY</t>
        </is>
      </c>
      <c r="N182" t="inlineStr">
        <is>
          <t>result</t>
        </is>
      </c>
      <c r="O182" t="inlineStr">
        <is>
          <t>result</t>
        </is>
      </c>
      <c r="P182" t="inlineStr">
        <is>
          <t>Результат расчёта или служебное поле</t>
        </is>
      </c>
      <c r="R182" t="inlineStr">
        <is>
          <t>74409.14285714286</t>
        </is>
      </c>
      <c r="T182" t="inlineStr">
        <is>
          <t>создаётся при каждом calc()</t>
        </is>
      </c>
      <c r="U182" t="inlineStr">
        <is>
          <t>d.eduY</t>
        </is>
      </c>
      <c r="V182" t="inlineStr">
        <is>
          <t>Вложения и инвестиции</t>
        </is>
      </c>
      <c r="W182" t="inlineStr">
        <is>
          <t>Вложения и инвестиции</t>
        </is>
      </c>
      <c r="Z182" t="inlineStr">
        <is>
          <t>report.html / детализация</t>
        </is>
      </c>
      <c r="AA182" t="inlineStr">
        <is>
          <t>НЕТ — добавить в глоссарий</t>
        </is>
      </c>
      <c r="AB182" s="229" t="inlineStr">
        <is>
          <t>RULE-001</t>
        </is>
      </c>
    </row>
    <row r="183">
      <c r="A183" t="inlineStr">
        <is>
          <t>127</t>
        </is>
      </c>
      <c r="B183" t="inlineStr">
        <is>
          <t>PAGE-MODEL</t>
        </is>
      </c>
      <c r="C183" t="inlineStr">
        <is>
          <t>Модель · calc()</t>
        </is>
      </c>
      <c r="D183" t="inlineStr">
        <is>
          <t>5</t>
        </is>
      </c>
      <c r="E183" t="inlineStr">
        <is>
          <t>MODEL-05</t>
        </is>
      </c>
      <c r="F183" t="inlineStr">
        <is>
          <t>—</t>
        </is>
      </c>
      <c r="G183" t="inlineStr">
        <is>
          <t>Вложения и инвестиции</t>
        </is>
      </c>
      <c r="H183" t="inlineStr">
        <is>
          <t>CALC-RESULT</t>
        </is>
      </c>
      <c r="I183" t="inlineStr">
        <is>
          <t>Результаты calc()</t>
        </is>
      </c>
      <c r="J183" t="inlineStr">
        <is>
          <t>RES-depShoot</t>
        </is>
      </c>
      <c r="K183" t="inlineStr">
        <is>
          <t>d.depShoot</t>
        </is>
      </c>
      <c r="L183" t="inlineStr">
        <is>
          <t>depShoot</t>
        </is>
      </c>
      <c r="M183" t="inlineStr">
        <is>
          <t>depShoot</t>
        </is>
      </c>
      <c r="N183" t="inlineStr">
        <is>
          <t>result</t>
        </is>
      </c>
      <c r="O183" t="inlineStr">
        <is>
          <t>result</t>
        </is>
      </c>
      <c r="P183" t="inlineStr">
        <is>
          <t>Результат расчёта или служебное поле</t>
        </is>
      </c>
      <c r="R183" t="inlineStr">
        <is>
          <t>107759.99047619048</t>
        </is>
      </c>
      <c r="T183" t="inlineStr">
        <is>
          <t>создаётся при каждом calc()</t>
        </is>
      </c>
      <c r="U183" t="inlineStr">
        <is>
          <t>d.depShoot</t>
        </is>
      </c>
      <c r="V183" t="inlineStr">
        <is>
          <t>Вложения и инвестиции</t>
        </is>
      </c>
      <c r="W183" t="inlineStr">
        <is>
          <t>Съёмочное оборудование</t>
        </is>
      </c>
      <c r="X183" t="inlineStr">
        <is>
          <t>Расходы · оборудование и ПО</t>
        </is>
      </c>
      <c r="Z183" t="inlineStr">
        <is>
          <t>report.html / детализация</t>
        </is>
      </c>
      <c r="AA183" t="inlineStr">
        <is>
          <t>НЕТ — добавить в глоссарий</t>
        </is>
      </c>
      <c r="AB183" s="229" t="inlineStr">
        <is>
          <t>RULE-001</t>
        </is>
      </c>
    </row>
    <row r="184">
      <c r="A184" t="inlineStr">
        <is>
          <t>128</t>
        </is>
      </c>
      <c r="B184" t="inlineStr">
        <is>
          <t>PAGE-MODEL</t>
        </is>
      </c>
      <c r="C184" t="inlineStr">
        <is>
          <t>Модель · calc()</t>
        </is>
      </c>
      <c r="D184" t="inlineStr">
        <is>
          <t>5</t>
        </is>
      </c>
      <c r="E184" t="inlineStr">
        <is>
          <t>MODEL-05</t>
        </is>
      </c>
      <c r="F184" t="inlineStr">
        <is>
          <t>—</t>
        </is>
      </c>
      <c r="G184" t="inlineStr">
        <is>
          <t>Вложения и инвестиции</t>
        </is>
      </c>
      <c r="H184" t="inlineStr">
        <is>
          <t>CALC-RESULT</t>
        </is>
      </c>
      <c r="I184" t="inlineStr">
        <is>
          <t>Результаты calc()</t>
        </is>
      </c>
      <c r="J184" t="inlineStr">
        <is>
          <t>RES-depOffice</t>
        </is>
      </c>
      <c r="K184" t="inlineStr">
        <is>
          <t>d.depOffice</t>
        </is>
      </c>
      <c r="L184" t="inlineStr">
        <is>
          <t>depOffice</t>
        </is>
      </c>
      <c r="M184" t="inlineStr">
        <is>
          <t>depOffice</t>
        </is>
      </c>
      <c r="N184" t="inlineStr">
        <is>
          <t>result</t>
        </is>
      </c>
      <c r="O184" t="inlineStr">
        <is>
          <t>result</t>
        </is>
      </c>
      <c r="P184" t="inlineStr">
        <is>
          <t>Результат расчёта или служебное поле</t>
        </is>
      </c>
      <c r="R184" t="inlineStr">
        <is>
          <t>65732.93333333333</t>
        </is>
      </c>
      <c r="T184" t="inlineStr">
        <is>
          <t>создаётся при каждом calc()</t>
        </is>
      </c>
      <c r="U184" t="inlineStr">
        <is>
          <t>d.depOffice</t>
        </is>
      </c>
      <c r="V184" t="inlineStr">
        <is>
          <t>Вложения и инвестиции</t>
        </is>
      </c>
      <c r="W184" t="inlineStr">
        <is>
          <t>Офисное оборудование</t>
        </is>
      </c>
      <c r="X184" t="inlineStr">
        <is>
          <t>Расходы · оборудование и ПО</t>
        </is>
      </c>
      <c r="Z184" t="inlineStr">
        <is>
          <t>report.html / детализация</t>
        </is>
      </c>
      <c r="AA184" t="inlineStr">
        <is>
          <t>НЕТ — добавить в глоссарий</t>
        </is>
      </c>
      <c r="AB184" s="229" t="inlineStr">
        <is>
          <t>RULE-001</t>
        </is>
      </c>
    </row>
    <row r="185">
      <c r="A185" t="inlineStr">
        <is>
          <t>129</t>
        </is>
      </c>
      <c r="B185" t="inlineStr">
        <is>
          <t>PAGE-MODEL</t>
        </is>
      </c>
      <c r="C185" t="inlineStr">
        <is>
          <t>Модель · calc()</t>
        </is>
      </c>
      <c r="D185" t="inlineStr">
        <is>
          <t>5</t>
        </is>
      </c>
      <c r="E185" t="inlineStr">
        <is>
          <t>MODEL-05</t>
        </is>
      </c>
      <c r="F185" t="inlineStr">
        <is>
          <t>—</t>
        </is>
      </c>
      <c r="G185" t="inlineStr">
        <is>
          <t>Вложения и инвестиции</t>
        </is>
      </c>
      <c r="H185" t="inlineStr">
        <is>
          <t>CALC-RESULT</t>
        </is>
      </c>
      <c r="I185" t="inlineStr">
        <is>
          <t>Результаты calc()</t>
        </is>
      </c>
      <c r="J185" t="inlineStr">
        <is>
          <t>RES-depSoft</t>
        </is>
      </c>
      <c r="K185" t="inlineStr">
        <is>
          <t>d.depSoft</t>
        </is>
      </c>
      <c r="L185" t="inlineStr">
        <is>
          <t>depSoft</t>
        </is>
      </c>
      <c r="M185" t="inlineStr">
        <is>
          <t>depSoft</t>
        </is>
      </c>
      <c r="N185" t="inlineStr">
        <is>
          <t>result</t>
        </is>
      </c>
      <c r="O185" t="inlineStr">
        <is>
          <t>result</t>
        </is>
      </c>
      <c r="P185" t="inlineStr">
        <is>
          <t>Результат расчёта или служебное поле</t>
        </is>
      </c>
      <c r="R185" t="inlineStr">
        <is>
          <t>11500</t>
        </is>
      </c>
      <c r="T185" t="inlineStr">
        <is>
          <t>создаётся при каждом calc()</t>
        </is>
      </c>
      <c r="U185" t="inlineStr">
        <is>
          <t>d.depSoft</t>
        </is>
      </c>
      <c r="V185" t="inlineStr">
        <is>
          <t>Вложения и инвестиции</t>
        </is>
      </c>
      <c r="W185" t="inlineStr">
        <is>
          <t>ПО</t>
        </is>
      </c>
      <c r="X185" t="inlineStr">
        <is>
          <t>Расходы · оборудование и ПО</t>
        </is>
      </c>
      <c r="Z185" t="inlineStr">
        <is>
          <t>report.html / детализация</t>
        </is>
      </c>
      <c r="AA185" t="inlineStr">
        <is>
          <t>НЕТ — добавить в глоссарий</t>
        </is>
      </c>
      <c r="AB185" s="229" t="inlineStr">
        <is>
          <t>RULE-001</t>
        </is>
      </c>
    </row>
    <row r="186">
      <c r="A186" t="inlineStr">
        <is>
          <t>130</t>
        </is>
      </c>
      <c r="B186" t="inlineStr">
        <is>
          <t>PAGE-MODEL</t>
        </is>
      </c>
      <c r="C186" t="inlineStr">
        <is>
          <t>Модель · calc()</t>
        </is>
      </c>
      <c r="D186" t="inlineStr">
        <is>
          <t>5</t>
        </is>
      </c>
      <c r="E186" t="inlineStr">
        <is>
          <t>MODEL-05</t>
        </is>
      </c>
      <c r="F186" t="inlineStr">
        <is>
          <t>—</t>
        </is>
      </c>
      <c r="G186" t="inlineStr">
        <is>
          <t>Вложения и инвестиции</t>
        </is>
      </c>
      <c r="H186" t="inlineStr">
        <is>
          <t>CALC-RESULT</t>
        </is>
      </c>
      <c r="I186" t="inlineStr">
        <is>
          <t>Результаты calc()</t>
        </is>
      </c>
      <c r="J186" t="inlineStr">
        <is>
          <t>RES-depEdu</t>
        </is>
      </c>
      <c r="K186" t="inlineStr">
        <is>
          <t>d.depEdu</t>
        </is>
      </c>
      <c r="L186" t="inlineStr">
        <is>
          <t>depEdu</t>
        </is>
      </c>
      <c r="M186" t="inlineStr">
        <is>
          <t>depEdu</t>
        </is>
      </c>
      <c r="N186" t="inlineStr">
        <is>
          <t>result</t>
        </is>
      </c>
      <c r="O186" t="inlineStr">
        <is>
          <t>result</t>
        </is>
      </c>
      <c r="P186" t="inlineStr">
        <is>
          <t>Результат расчёта или служебное поле</t>
        </is>
      </c>
      <c r="R186" t="inlineStr">
        <is>
          <t>74409.14285714286</t>
        </is>
      </c>
      <c r="T186" t="inlineStr">
        <is>
          <t>создаётся при каждом calc()</t>
        </is>
      </c>
      <c r="U186" t="inlineStr">
        <is>
          <t>d.depEdu</t>
        </is>
      </c>
      <c r="V186" t="inlineStr">
        <is>
          <t>Вложения и инвестиции</t>
        </is>
      </c>
      <c r="W186" t="inlineStr">
        <is>
          <t>Обучение</t>
        </is>
      </c>
      <c r="X186" t="inlineStr">
        <is>
          <t>Расходы · текущие счета</t>
        </is>
      </c>
      <c r="Z186" t="inlineStr">
        <is>
          <t>report.html / детализация</t>
        </is>
      </c>
      <c r="AA186" t="inlineStr">
        <is>
          <t>НЕТ — добавить в глоссарий</t>
        </is>
      </c>
      <c r="AB186" s="229" t="inlineStr">
        <is>
          <t>RULE-001</t>
        </is>
      </c>
    </row>
    <row r="187">
      <c r="A187" t="inlineStr">
        <is>
          <t>131</t>
        </is>
      </c>
      <c r="B187" t="inlineStr">
        <is>
          <t>PAGE-MODEL</t>
        </is>
      </c>
      <c r="C187" t="inlineStr">
        <is>
          <t>Модель · calc()</t>
        </is>
      </c>
      <c r="D187" t="inlineStr">
        <is>
          <t>5</t>
        </is>
      </c>
      <c r="E187" t="inlineStr">
        <is>
          <t>MODEL-05</t>
        </is>
      </c>
      <c r="F187" t="inlineStr">
        <is>
          <t>—</t>
        </is>
      </c>
      <c r="G187" t="inlineStr">
        <is>
          <t>Вложения и инвестиции</t>
        </is>
      </c>
      <c r="H187" t="inlineStr">
        <is>
          <t>CALC-RESULT</t>
        </is>
      </c>
      <c r="I187" t="inlineStr">
        <is>
          <t>Результаты calc()</t>
        </is>
      </c>
      <c r="J187" t="inlineStr">
        <is>
          <t>RES-depSite</t>
        </is>
      </c>
      <c r="K187" t="inlineStr">
        <is>
          <t>d.depSite</t>
        </is>
      </c>
      <c r="L187" t="inlineStr">
        <is>
          <t>depSite</t>
        </is>
      </c>
      <c r="M187" t="inlineStr">
        <is>
          <t>depSite</t>
        </is>
      </c>
      <c r="N187" t="inlineStr">
        <is>
          <t>result</t>
        </is>
      </c>
      <c r="O187" t="inlineStr">
        <is>
          <t>result</t>
        </is>
      </c>
      <c r="P187" t="inlineStr">
        <is>
          <t>Результат расчёта или служебное поле</t>
        </is>
      </c>
      <c r="R187" t="inlineStr">
        <is>
          <t>10000</t>
        </is>
      </c>
      <c r="T187" t="inlineStr">
        <is>
          <t>создаётся при каждом calc()</t>
        </is>
      </c>
      <c r="U187" t="inlineStr">
        <is>
          <t>d.depSite</t>
        </is>
      </c>
      <c r="V187" t="inlineStr">
        <is>
          <t>Вложения и инвестиции</t>
        </is>
      </c>
      <c r="W187" t="inlineStr">
        <is>
          <t>Сайт</t>
        </is>
      </c>
      <c r="X187" t="inlineStr">
        <is>
          <t>Расходы · реклама и сайт</t>
        </is>
      </c>
      <c r="Z187" t="inlineStr">
        <is>
          <t>report.html / детализация</t>
        </is>
      </c>
      <c r="AA187" t="inlineStr">
        <is>
          <t>НЕТ — добавить в глоссарий</t>
        </is>
      </c>
      <c r="AB187" s="229" t="inlineStr">
        <is>
          <t>RULE-001</t>
        </is>
      </c>
    </row>
    <row r="188">
      <c r="A188" t="inlineStr">
        <is>
          <t>132</t>
        </is>
      </c>
      <c r="B188" t="inlineStr">
        <is>
          <t>PAGE-MODEL</t>
        </is>
      </c>
      <c r="C188" t="inlineStr">
        <is>
          <t>Модель · calc()</t>
        </is>
      </c>
      <c r="D188" t="inlineStr">
        <is>
          <t>5</t>
        </is>
      </c>
      <c r="E188" t="inlineStr">
        <is>
          <t>MODEL-05</t>
        </is>
      </c>
      <c r="F188" t="inlineStr">
        <is>
          <t>—</t>
        </is>
      </c>
      <c r="G188" t="inlineStr">
        <is>
          <t>Вложения и инвестиции</t>
        </is>
      </c>
      <c r="H188" t="inlineStr">
        <is>
          <t>CALC-RESULT</t>
        </is>
      </c>
      <c r="I188" t="inlineStr">
        <is>
          <t>Результаты calc()</t>
        </is>
      </c>
      <c r="J188" t="inlineStr">
        <is>
          <t>RES-depWs</t>
        </is>
      </c>
      <c r="K188" t="inlineStr">
        <is>
          <t>d.depWs</t>
        </is>
      </c>
      <c r="L188" t="inlineStr">
        <is>
          <t>depWs</t>
        </is>
      </c>
      <c r="M188" t="inlineStr">
        <is>
          <t>depWs</t>
        </is>
      </c>
      <c r="N188" t="inlineStr">
        <is>
          <t>result</t>
        </is>
      </c>
      <c r="O188" t="inlineStr">
        <is>
          <t>result</t>
        </is>
      </c>
      <c r="P188" t="inlineStr">
        <is>
          <t>Результат расчёта или служебное поле</t>
        </is>
      </c>
      <c r="R188" t="inlineStr">
        <is>
          <t>9285.714285714286</t>
        </is>
      </c>
      <c r="T188" t="inlineStr">
        <is>
          <t>создаётся при каждом calc()</t>
        </is>
      </c>
      <c r="U188" t="inlineStr">
        <is>
          <t>d.depWs</t>
        </is>
      </c>
      <c r="V188" t="inlineStr">
        <is>
          <t>Вложения и инвестиции</t>
        </is>
      </c>
      <c r="W188" t="inlineStr">
        <is>
          <t>Рабочее место</t>
        </is>
      </c>
      <c r="X188" t="inlineStr">
        <is>
          <t>Расходы · текущие счета</t>
        </is>
      </c>
      <c r="Z188" t="inlineStr">
        <is>
          <t>report.html / детализация</t>
        </is>
      </c>
      <c r="AA188" t="inlineStr">
        <is>
          <t>НЕТ — добавить в глоссарий</t>
        </is>
      </c>
      <c r="AB188" s="229" t="inlineStr">
        <is>
          <t>RULE-001</t>
        </is>
      </c>
    </row>
    <row r="189">
      <c r="A189" t="inlineStr">
        <is>
          <t>БЛОК · Переменные расходы [MODEL-06]</t>
        </is>
      </c>
      <c r="AB189" s="229" t="n"/>
    </row>
    <row r="190">
      <c r="A190" t="inlineStr">
        <is>
          <t>№</t>
        </is>
      </c>
      <c r="B190" t="inlineStr">
        <is>
          <t>Страница ID</t>
        </is>
      </c>
      <c r="C190" t="inlineStr">
        <is>
          <t>Страница</t>
        </is>
      </c>
      <c r="D190" t="inlineStr">
        <is>
          <t>Порядок</t>
        </is>
      </c>
      <c r="E190" t="inlineStr">
        <is>
          <t>Блок ID</t>
        </is>
      </c>
      <c r="F190" t="inlineStr">
        <is>
          <t>№ блока</t>
        </is>
      </c>
      <c r="G190" t="inlineStr">
        <is>
          <t>Название блока</t>
        </is>
      </c>
      <c r="H190" t="inlineStr">
        <is>
          <t>Форма ID</t>
        </is>
      </c>
      <c r="I190" t="inlineStr">
        <is>
          <t>Название формы</t>
        </is>
      </c>
      <c r="J190" t="inlineStr">
        <is>
          <t>Поле ID реестра</t>
        </is>
      </c>
      <c r="K190" t="inlineStr">
        <is>
          <t>DOM / код ID</t>
        </is>
      </c>
      <c r="L190" t="inlineStr">
        <is>
          <t>Параметр модели</t>
        </is>
      </c>
      <c r="M190" t="inlineStr">
        <is>
          <t>Наименование поля</t>
        </is>
      </c>
      <c r="N190" t="inlineStr">
        <is>
          <t>Тип поля</t>
        </is>
      </c>
      <c r="O190" t="inlineStr">
        <is>
          <t>Роль</t>
        </is>
      </c>
      <c r="P190" t="inlineStr">
        <is>
          <t>Что вводим / что означает</t>
        </is>
      </c>
      <c r="Q190" t="inlineStr">
        <is>
          <t>Допустимые ответы / варианты</t>
        </is>
      </c>
      <c r="R190" t="inlineStr">
        <is>
          <t>По умолчанию</t>
        </is>
      </c>
      <c r="S190" t="inlineStr">
        <is>
          <t>Единица</t>
        </is>
      </c>
      <c r="T190" t="inlineStr">
        <is>
          <t>Условие показа / включения</t>
        </is>
      </c>
      <c r="U190" t="inlineStr">
        <is>
          <t>Поле результата d</t>
        </is>
      </c>
      <c r="V190" t="inlineStr">
        <is>
          <t>Группа результата</t>
        </is>
      </c>
      <c r="W190" t="inlineStr">
        <is>
          <t>Подгруппа результата</t>
        </is>
      </c>
      <c r="X190" t="inlineStr">
        <is>
          <t>Группа диаграммы</t>
        </is>
      </c>
      <c r="Y190" t="inlineStr">
        <is>
          <t>Формула / источник</t>
        </is>
      </c>
      <c r="Z190" t="inlineStr">
        <is>
          <t>Где выводится</t>
        </is>
      </c>
      <c r="AA190" t="inlineStr">
        <is>
          <t>Тип есть в глоссарии</t>
        </is>
      </c>
      <c r="AB190" s="229" t="inlineStr">
        <is>
          <t>Правило ID</t>
        </is>
      </c>
    </row>
    <row r="193">
      <c r="A193" t="inlineStr">
        <is>
          <t>135</t>
        </is>
      </c>
      <c r="B193" t="inlineStr">
        <is>
          <t>PAGE-MODEL</t>
        </is>
      </c>
      <c r="C193" t="inlineStr">
        <is>
          <t>Модель · calc()</t>
        </is>
      </c>
      <c r="D193" t="inlineStr">
        <is>
          <t>6</t>
        </is>
      </c>
      <c r="E193" t="inlineStr">
        <is>
          <t>MODEL-06</t>
        </is>
      </c>
      <c r="F193" t="inlineStr">
        <is>
          <t>—</t>
        </is>
      </c>
      <c r="G193" t="inlineStr">
        <is>
          <t>Переменные расходы</t>
        </is>
      </c>
      <c r="H193" t="inlineStr">
        <is>
          <t>CALC-RESULT</t>
        </is>
      </c>
      <c r="I193" t="inlineStr">
        <is>
          <t>Результаты calc()</t>
        </is>
      </c>
      <c r="J193" t="inlineStr">
        <is>
          <t>RES-vari</t>
        </is>
      </c>
      <c r="K193" t="inlineStr">
        <is>
          <t>d.vari</t>
        </is>
      </c>
      <c r="L193" t="inlineStr">
        <is>
          <t>vari</t>
        </is>
      </c>
      <c r="M193" t="inlineStr">
        <is>
          <t>vari</t>
        </is>
      </c>
      <c r="N193" t="inlineStr">
        <is>
          <t>result</t>
        </is>
      </c>
      <c r="O193" t="inlineStr">
        <is>
          <t>result</t>
        </is>
      </c>
      <c r="P193" t="inlineStr">
        <is>
          <t>Результат расчёта или служебное поле</t>
        </is>
      </c>
      <c r="R193" t="inlineStr">
        <is>
          <t>283980</t>
        </is>
      </c>
      <c r="T193" t="inlineStr">
        <is>
          <t>создаётся при каждом calc()</t>
        </is>
      </c>
      <c r="U193" t="inlineStr">
        <is>
          <t>d.vari</t>
        </is>
      </c>
      <c r="V193" t="inlineStr">
        <is>
          <t>Переменные расходы</t>
        </is>
      </c>
      <c r="W193" t="inlineStr">
        <is>
          <t>Переменные расходы</t>
        </is>
      </c>
      <c r="Z193" t="inlineStr">
        <is>
          <t>report.html / детализация</t>
        </is>
      </c>
      <c r="AA193" t="inlineStr">
        <is>
          <t>НЕТ — добавить в глоссарий</t>
        </is>
      </c>
      <c r="AB193" s="229" t="inlineStr">
        <is>
          <t>RULE-001</t>
        </is>
      </c>
    </row>
    <row r="194">
      <c r="A194" t="inlineStr">
        <is>
          <t>136</t>
        </is>
      </c>
      <c r="B194" t="inlineStr">
        <is>
          <t>PAGE-MODEL</t>
        </is>
      </c>
      <c r="C194" t="inlineStr">
        <is>
          <t>Модель · calc()</t>
        </is>
      </c>
      <c r="D194" t="inlineStr">
        <is>
          <t>6</t>
        </is>
      </c>
      <c r="E194" t="inlineStr">
        <is>
          <t>MODEL-06</t>
        </is>
      </c>
      <c r="F194" t="inlineStr">
        <is>
          <t>—</t>
        </is>
      </c>
      <c r="G194" t="inlineStr">
        <is>
          <t>Переменные расходы</t>
        </is>
      </c>
      <c r="H194" t="inlineStr">
        <is>
          <t>CALC-RESULT</t>
        </is>
      </c>
      <c r="I194" t="inlineStr">
        <is>
          <t>Результаты calc()</t>
        </is>
      </c>
      <c r="J194" t="inlineStr">
        <is>
          <t>RES-C</t>
        </is>
      </c>
      <c r="K194" t="inlineStr">
        <is>
          <t>d.C</t>
        </is>
      </c>
      <c r="L194" t="inlineStr">
        <is>
          <t>C</t>
        </is>
      </c>
      <c r="M194" t="inlineStr">
        <is>
          <t>Все экономические расходы дела</t>
        </is>
      </c>
      <c r="N194" t="inlineStr">
        <is>
          <t>result</t>
        </is>
      </c>
      <c r="O194" t="inlineStr">
        <is>
          <t>result</t>
        </is>
      </c>
      <c r="P194" t="inlineStr">
        <is>
          <t>Результат расчёта или служебное поле</t>
        </is>
      </c>
      <c r="R194" t="inlineStr">
        <is>
          <t>562667.780952381</t>
        </is>
      </c>
      <c r="T194" t="inlineStr">
        <is>
          <t>создаётся при каждом calc()</t>
        </is>
      </c>
      <c r="U194" t="inlineStr">
        <is>
          <t>d.C</t>
        </is>
      </c>
      <c r="V194" t="inlineStr">
        <is>
          <t>Переменные расходы</t>
        </is>
      </c>
      <c r="W194" t="inlineStr">
        <is>
          <t>Переменные расходы</t>
        </is>
      </c>
      <c r="Y194" t="inlineStr">
        <is>
          <t>amort+vari</t>
        </is>
      </c>
      <c r="Z194" t="inlineStr">
        <is>
          <t>report.html / детализация</t>
        </is>
      </c>
      <c r="AA194" t="inlineStr">
        <is>
          <t>НЕТ — добавить в глоссарий</t>
        </is>
      </c>
      <c r="AB194" s="229" t="inlineStr">
        <is>
          <t>RULE-001</t>
        </is>
      </c>
    </row>
    <row r="195">
      <c r="A195" t="inlineStr">
        <is>
          <t>137</t>
        </is>
      </c>
      <c r="B195" t="inlineStr">
        <is>
          <t>PAGE-MODEL</t>
        </is>
      </c>
      <c r="C195" t="inlineStr">
        <is>
          <t>Модель · calc()</t>
        </is>
      </c>
      <c r="D195" t="inlineStr">
        <is>
          <t>6</t>
        </is>
      </c>
      <c r="E195" t="inlineStr">
        <is>
          <t>MODEL-06</t>
        </is>
      </c>
      <c r="F195" t="inlineStr">
        <is>
          <t>—</t>
        </is>
      </c>
      <c r="G195" t="inlineStr">
        <is>
          <t>Переменные расходы</t>
        </is>
      </c>
      <c r="H195" t="inlineStr">
        <is>
          <t>CALC-RESULT</t>
        </is>
      </c>
      <c r="I195" t="inlineStr">
        <is>
          <t>Результаты calc()</t>
        </is>
      </c>
      <c r="J195" t="inlineStr">
        <is>
          <t>RES-varAds</t>
        </is>
      </c>
      <c r="K195" t="inlineStr">
        <is>
          <t>d.varAds</t>
        </is>
      </c>
      <c r="L195" t="inlineStr">
        <is>
          <t>varAds</t>
        </is>
      </c>
      <c r="M195" t="inlineStr">
        <is>
          <t>varAds</t>
        </is>
      </c>
      <c r="N195" t="inlineStr">
        <is>
          <t>result</t>
        </is>
      </c>
      <c r="O195" t="inlineStr">
        <is>
          <t>result</t>
        </is>
      </c>
      <c r="P195" t="inlineStr">
        <is>
          <t>Результат расчёта или служебное поле</t>
        </is>
      </c>
      <c r="R195" t="inlineStr">
        <is>
          <t>187500</t>
        </is>
      </c>
      <c r="T195" t="inlineStr">
        <is>
          <t>создаётся при каждом calc()</t>
        </is>
      </c>
      <c r="U195" t="inlineStr">
        <is>
          <t>d.varAds</t>
        </is>
      </c>
      <c r="V195" t="inlineStr">
        <is>
          <t>Переменные расходы</t>
        </is>
      </c>
      <c r="W195" t="inlineStr">
        <is>
          <t>Реклама</t>
        </is>
      </c>
      <c r="X195" t="inlineStr">
        <is>
          <t>Расходы · реклама и сайт</t>
        </is>
      </c>
      <c r="Z195" t="inlineStr">
        <is>
          <t>report.html / детализация</t>
        </is>
      </c>
      <c r="AA195" t="inlineStr">
        <is>
          <t>НЕТ — добавить в глоссарий</t>
        </is>
      </c>
      <c r="AB195" s="229" t="inlineStr">
        <is>
          <t>RULE-001</t>
        </is>
      </c>
    </row>
    <row r="196">
      <c r="A196" t="inlineStr">
        <is>
          <t>138</t>
        </is>
      </c>
      <c r="B196" t="inlineStr">
        <is>
          <t>PAGE-MODEL</t>
        </is>
      </c>
      <c r="C196" t="inlineStr">
        <is>
          <t>Модель · calc()</t>
        </is>
      </c>
      <c r="D196" t="inlineStr">
        <is>
          <t>6</t>
        </is>
      </c>
      <c r="E196" t="inlineStr">
        <is>
          <t>MODEL-06</t>
        </is>
      </c>
      <c r="F196" t="inlineStr">
        <is>
          <t>—</t>
        </is>
      </c>
      <c r="G196" t="inlineStr">
        <is>
          <t>Переменные расходы</t>
        </is>
      </c>
      <c r="H196" t="inlineStr">
        <is>
          <t>CALC-RESULT</t>
        </is>
      </c>
      <c r="I196" t="inlineStr">
        <is>
          <t>Результаты calc()</t>
        </is>
      </c>
      <c r="J196" t="inlineStr">
        <is>
          <t>RES-varSoft</t>
        </is>
      </c>
      <c r="K196" t="inlineStr">
        <is>
          <t>d.varSoft</t>
        </is>
      </c>
      <c r="L196" t="inlineStr">
        <is>
          <t>varSoft</t>
        </is>
      </c>
      <c r="M196" t="inlineStr">
        <is>
          <t>varSoft</t>
        </is>
      </c>
      <c r="N196" t="inlineStr">
        <is>
          <t>result</t>
        </is>
      </c>
      <c r="O196" t="inlineStr">
        <is>
          <t>result</t>
        </is>
      </c>
      <c r="P196" t="inlineStr">
        <is>
          <t>Результат расчёта или служебное поле</t>
        </is>
      </c>
      <c r="R196" t="inlineStr">
        <is>
          <t>27000</t>
        </is>
      </c>
      <c r="T196" t="inlineStr">
        <is>
          <t>создаётся при каждом calc()</t>
        </is>
      </c>
      <c r="U196" t="inlineStr">
        <is>
          <t>d.varSoft</t>
        </is>
      </c>
      <c r="V196" t="inlineStr">
        <is>
          <t>Переменные расходы</t>
        </is>
      </c>
      <c r="W196" t="inlineStr">
        <is>
          <t>Подписки</t>
        </is>
      </c>
      <c r="X196" t="inlineStr">
        <is>
          <t>Расходы · текущие счета</t>
        </is>
      </c>
      <c r="Z196" t="inlineStr">
        <is>
          <t>report.html / детализация</t>
        </is>
      </c>
      <c r="AA196" t="inlineStr">
        <is>
          <t>НЕТ — добавить в глоссарий</t>
        </is>
      </c>
      <c r="AB196" s="229" t="inlineStr">
        <is>
          <t>RULE-001</t>
        </is>
      </c>
    </row>
    <row r="197">
      <c r="A197" t="inlineStr">
        <is>
          <t>139</t>
        </is>
      </c>
      <c r="B197" t="inlineStr">
        <is>
          <t>PAGE-MODEL</t>
        </is>
      </c>
      <c r="C197" t="inlineStr">
        <is>
          <t>Модель · calc()</t>
        </is>
      </c>
      <c r="D197" t="inlineStr">
        <is>
          <t>6</t>
        </is>
      </c>
      <c r="E197" t="inlineStr">
        <is>
          <t>MODEL-06</t>
        </is>
      </c>
      <c r="F197" t="inlineStr">
        <is>
          <t>—</t>
        </is>
      </c>
      <c r="G197" t="inlineStr">
        <is>
          <t>Переменные расходы</t>
        </is>
      </c>
      <c r="H197" t="inlineStr">
        <is>
          <t>CALC-RESULT</t>
        </is>
      </c>
      <c r="I197" t="inlineStr">
        <is>
          <t>Результаты calc()</t>
        </is>
      </c>
      <c r="J197" t="inlineStr">
        <is>
          <t>RES-varBank</t>
        </is>
      </c>
      <c r="K197" t="inlineStr">
        <is>
          <t>d.varBank</t>
        </is>
      </c>
      <c r="L197" t="inlineStr">
        <is>
          <t>varBank</t>
        </is>
      </c>
      <c r="M197" t="inlineStr">
        <is>
          <t>varBank</t>
        </is>
      </c>
      <c r="N197" t="inlineStr">
        <is>
          <t>result</t>
        </is>
      </c>
      <c r="O197" t="inlineStr">
        <is>
          <t>result</t>
        </is>
      </c>
      <c r="P197" t="inlineStr">
        <is>
          <t>Результат расчёта или служебное поле</t>
        </is>
      </c>
      <c r="R197" t="inlineStr">
        <is>
          <t>1800</t>
        </is>
      </c>
      <c r="T197" t="inlineStr">
        <is>
          <t>создаётся при каждом calc()</t>
        </is>
      </c>
      <c r="U197" t="inlineStr">
        <is>
          <t>d.varBank</t>
        </is>
      </c>
      <c r="V197" t="inlineStr">
        <is>
          <t>Переменные расходы</t>
        </is>
      </c>
      <c r="W197" t="inlineStr">
        <is>
          <t>Банк</t>
        </is>
      </c>
      <c r="X197" t="inlineStr">
        <is>
          <t>Расходы · текущие счета</t>
        </is>
      </c>
      <c r="Z197" t="inlineStr">
        <is>
          <t>report.html / детализация</t>
        </is>
      </c>
      <c r="AA197" t="inlineStr">
        <is>
          <t>НЕТ — добавить в глоссарий</t>
        </is>
      </c>
      <c r="AB197" s="229" t="inlineStr">
        <is>
          <t>RULE-001</t>
        </is>
      </c>
    </row>
    <row r="198">
      <c r="A198" t="inlineStr">
        <is>
          <t>140</t>
        </is>
      </c>
      <c r="B198" t="inlineStr">
        <is>
          <t>PAGE-MODEL</t>
        </is>
      </c>
      <c r="C198" t="inlineStr">
        <is>
          <t>Модель · calc()</t>
        </is>
      </c>
      <c r="D198" t="inlineStr">
        <is>
          <t>6</t>
        </is>
      </c>
      <c r="E198" t="inlineStr">
        <is>
          <t>MODEL-06</t>
        </is>
      </c>
      <c r="F198" t="inlineStr">
        <is>
          <t>—</t>
        </is>
      </c>
      <c r="G198" t="inlineStr">
        <is>
          <t>Переменные расходы</t>
        </is>
      </c>
      <c r="H198" t="inlineStr">
        <is>
          <t>CALC-RESULT</t>
        </is>
      </c>
      <c r="I198" t="inlineStr">
        <is>
          <t>Результаты calc()</t>
        </is>
      </c>
      <c r="J198" t="inlineStr">
        <is>
          <t>RES-varRent</t>
        </is>
      </c>
      <c r="K198" t="inlineStr">
        <is>
          <t>d.varRent</t>
        </is>
      </c>
      <c r="L198" t="inlineStr">
        <is>
          <t>varRent</t>
        </is>
      </c>
      <c r="M198" t="inlineStr">
        <is>
          <t>varRent</t>
        </is>
      </c>
      <c r="N198" t="inlineStr">
        <is>
          <t>result</t>
        </is>
      </c>
      <c r="O198" t="inlineStr">
        <is>
          <t>result</t>
        </is>
      </c>
      <c r="P198" t="inlineStr">
        <is>
          <t>Результат расчёта или служебное поле</t>
        </is>
      </c>
      <c r="R198" t="inlineStr">
        <is>
          <t>67680</t>
        </is>
      </c>
      <c r="T198" t="inlineStr">
        <is>
          <t>создаётся при каждом calc()</t>
        </is>
      </c>
      <c r="U198" t="inlineStr">
        <is>
          <t>d.varRent</t>
        </is>
      </c>
      <c r="V198" t="inlineStr">
        <is>
          <t>Переменные расходы</t>
        </is>
      </c>
      <c r="W198" t="inlineStr">
        <is>
          <t>Рабочее место</t>
        </is>
      </c>
      <c r="X198" t="inlineStr">
        <is>
          <t>Расходы · текущие счета</t>
        </is>
      </c>
      <c r="Z198" t="inlineStr">
        <is>
          <t>report.html / детализация</t>
        </is>
      </c>
      <c r="AA198" t="inlineStr">
        <is>
          <t>НЕТ — добавить в глоссарий</t>
        </is>
      </c>
      <c r="AB198" s="229" t="inlineStr">
        <is>
          <t>RULE-001</t>
        </is>
      </c>
    </row>
    <row r="199">
      <c r="A199" t="inlineStr">
        <is>
          <t>141</t>
        </is>
      </c>
      <c r="B199" t="inlineStr">
        <is>
          <t>PAGE-MODEL</t>
        </is>
      </c>
      <c r="C199" t="inlineStr">
        <is>
          <t>Модель · calc()</t>
        </is>
      </c>
      <c r="D199" t="inlineStr">
        <is>
          <t>6</t>
        </is>
      </c>
      <c r="E199" t="inlineStr">
        <is>
          <t>MODEL-06</t>
        </is>
      </c>
      <c r="F199" t="inlineStr">
        <is>
          <t>—</t>
        </is>
      </c>
      <c r="G199" t="inlineStr">
        <is>
          <t>Переменные расходы</t>
        </is>
      </c>
      <c r="H199" t="inlineStr">
        <is>
          <t>CALC-RESULT</t>
        </is>
      </c>
      <c r="I199" t="inlineStr">
        <is>
          <t>Результаты calc()</t>
        </is>
      </c>
      <c r="J199" t="inlineStr">
        <is>
          <t>RES-varAcc</t>
        </is>
      </c>
      <c r="K199" t="inlineStr">
        <is>
          <t>d.varAcc</t>
        </is>
      </c>
      <c r="L199" t="inlineStr">
        <is>
          <t>varAcc</t>
        </is>
      </c>
      <c r="M199" t="inlineStr">
        <is>
          <t>varAcc</t>
        </is>
      </c>
      <c r="N199" t="inlineStr">
        <is>
          <t>result</t>
        </is>
      </c>
      <c r="O199" t="inlineStr">
        <is>
          <t>result</t>
        </is>
      </c>
      <c r="P199" t="inlineStr">
        <is>
          <t>Результат расчёта или служебное поле</t>
        </is>
      </c>
      <c r="R199" t="inlineStr">
        <is>
          <t>0</t>
        </is>
      </c>
      <c r="T199" t="inlineStr">
        <is>
          <t>создаётся при каждом calc()</t>
        </is>
      </c>
      <c r="U199" t="inlineStr">
        <is>
          <t>d.varAcc</t>
        </is>
      </c>
      <c r="V199" t="inlineStr">
        <is>
          <t>Переменные расходы</t>
        </is>
      </c>
      <c r="W199" t="inlineStr">
        <is>
          <t>Бухгалтерия</t>
        </is>
      </c>
      <c r="X199" t="inlineStr">
        <is>
          <t>Расходы · текущие счета</t>
        </is>
      </c>
      <c r="Z199" t="inlineStr">
        <is>
          <t>report.html / детализация</t>
        </is>
      </c>
      <c r="AA199" t="inlineStr">
        <is>
          <t>НЕТ — добавить в глоссарий</t>
        </is>
      </c>
      <c r="AB199" s="229" t="inlineStr">
        <is>
          <t>RULE-001</t>
        </is>
      </c>
    </row>
    <row r="200">
      <c r="A200" t="inlineStr">
        <is>
          <t>БЛОК · Доход и стоимость [MODEL-07]</t>
        </is>
      </c>
      <c r="AB200" s="229" t="n"/>
    </row>
    <row r="201">
      <c r="A201" t="inlineStr">
        <is>
          <t>№</t>
        </is>
      </c>
      <c r="B201" t="inlineStr">
        <is>
          <t>Страница ID</t>
        </is>
      </c>
      <c r="C201" t="inlineStr">
        <is>
          <t>Страница</t>
        </is>
      </c>
      <c r="D201" t="inlineStr">
        <is>
          <t>Порядок</t>
        </is>
      </c>
      <c r="E201" t="inlineStr">
        <is>
          <t>Блок ID</t>
        </is>
      </c>
      <c r="F201" t="inlineStr">
        <is>
          <t>№ блока</t>
        </is>
      </c>
      <c r="G201" t="inlineStr">
        <is>
          <t>Название блока</t>
        </is>
      </c>
      <c r="H201" t="inlineStr">
        <is>
          <t>Форма ID</t>
        </is>
      </c>
      <c r="I201" t="inlineStr">
        <is>
          <t>Название формы</t>
        </is>
      </c>
      <c r="J201" t="inlineStr">
        <is>
          <t>Поле ID реестра</t>
        </is>
      </c>
      <c r="K201" t="inlineStr">
        <is>
          <t>DOM / код ID</t>
        </is>
      </c>
      <c r="L201" t="inlineStr">
        <is>
          <t>Параметр модели</t>
        </is>
      </c>
      <c r="M201" t="inlineStr">
        <is>
          <t>Наименование поля</t>
        </is>
      </c>
      <c r="N201" t="inlineStr">
        <is>
          <t>Тип поля</t>
        </is>
      </c>
      <c r="O201" t="inlineStr">
        <is>
          <t>Роль</t>
        </is>
      </c>
      <c r="P201" t="inlineStr">
        <is>
          <t>Что вводим / что означает</t>
        </is>
      </c>
      <c r="Q201" t="inlineStr">
        <is>
          <t>Допустимые ответы / варианты</t>
        </is>
      </c>
      <c r="R201" t="inlineStr">
        <is>
          <t>По умолчанию</t>
        </is>
      </c>
      <c r="S201" t="inlineStr">
        <is>
          <t>Единица</t>
        </is>
      </c>
      <c r="T201" t="inlineStr">
        <is>
          <t>Условие показа / включения</t>
        </is>
      </c>
      <c r="U201" t="inlineStr">
        <is>
          <t>Поле результата d</t>
        </is>
      </c>
      <c r="V201" t="inlineStr">
        <is>
          <t>Группа результата</t>
        </is>
      </c>
      <c r="W201" t="inlineStr">
        <is>
          <t>Подгруппа результата</t>
        </is>
      </c>
      <c r="X201" t="inlineStr">
        <is>
          <t>Группа диаграммы</t>
        </is>
      </c>
      <c r="Y201" t="inlineStr">
        <is>
          <t>Формула / источник</t>
        </is>
      </c>
      <c r="Z201" t="inlineStr">
        <is>
          <t>Где выводится</t>
        </is>
      </c>
      <c r="AA201" t="inlineStr">
        <is>
          <t>Тип есть в глоссарии</t>
        </is>
      </c>
      <c r="AB201" s="229" t="inlineStr">
        <is>
          <t>Правило ID</t>
        </is>
      </c>
    </row>
    <row r="202">
      <c r="A202" t="inlineStr">
        <is>
          <t>142</t>
        </is>
      </c>
      <c r="B202" t="inlineStr">
        <is>
          <t>PAGE-MODEL</t>
        </is>
      </c>
      <c r="C202" t="inlineStr">
        <is>
          <t>Модель · calc()</t>
        </is>
      </c>
      <c r="D202" t="inlineStr">
        <is>
          <t>7</t>
        </is>
      </c>
      <c r="E202" t="inlineStr">
        <is>
          <t>MODEL-07</t>
        </is>
      </c>
      <c r="F202" t="inlineStr">
        <is>
          <t>—</t>
        </is>
      </c>
      <c r="G202" t="inlineStr">
        <is>
          <t>Доход и стоимость</t>
        </is>
      </c>
      <c r="H202" t="inlineStr">
        <is>
          <t>CALC-RESULT</t>
        </is>
      </c>
      <c r="I202" t="inlineStr">
        <is>
          <t>Результаты calc()</t>
        </is>
      </c>
      <c r="J202" t="inlineStr">
        <is>
          <t>RES-costHour</t>
        </is>
      </c>
      <c r="K202" t="inlineStr">
        <is>
          <t>d.costHour</t>
        </is>
      </c>
      <c r="L202" t="inlineStr">
        <is>
          <t>costHour</t>
        </is>
      </c>
      <c r="M202" t="inlineStr">
        <is>
          <t>costHour</t>
        </is>
      </c>
      <c r="N202" t="inlineStr">
        <is>
          <t>result</t>
        </is>
      </c>
      <c r="O202" t="inlineStr">
        <is>
          <t>result</t>
        </is>
      </c>
      <c r="P202" t="inlineStr">
        <is>
          <t>Результат расчёта или служебное поле</t>
        </is>
      </c>
      <c r="R202" t="inlineStr">
        <is>
          <t>3323.8364448118264</t>
        </is>
      </c>
      <c r="T202" t="inlineStr">
        <is>
          <t>создаётся при каждом calc()</t>
        </is>
      </c>
      <c r="U202" t="inlineStr">
        <is>
          <t>d.costHour</t>
        </is>
      </c>
      <c r="V202" t="inlineStr">
        <is>
          <t>Доход и стоимость</t>
        </is>
      </c>
      <c r="W202" t="inlineStr">
        <is>
          <t>Доход и стоимость</t>
        </is>
      </c>
      <c r="Y202" t="inlineStr">
        <is>
          <t>(C+taxAll+aq)/sh</t>
        </is>
      </c>
      <c r="Z202" t="inlineStr">
        <is>
          <t>report.html / детализация</t>
        </is>
      </c>
      <c r="AA202" t="inlineStr">
        <is>
          <t>НЕТ — добавить в глоссарий</t>
        </is>
      </c>
      <c r="AB202" s="229" t="inlineStr">
        <is>
          <t>RULE-001; RULE-002</t>
        </is>
      </c>
    </row>
    <row r="203">
      <c r="A203" t="inlineStr">
        <is>
          <t>143</t>
        </is>
      </c>
      <c r="B203" t="inlineStr">
        <is>
          <t>PAGE-MODEL</t>
        </is>
      </c>
      <c r="C203" t="inlineStr">
        <is>
          <t>Модель · calc()</t>
        </is>
      </c>
      <c r="D203" t="inlineStr">
        <is>
          <t>7</t>
        </is>
      </c>
      <c r="E203" t="inlineStr">
        <is>
          <t>MODEL-07</t>
        </is>
      </c>
      <c r="F203" t="inlineStr">
        <is>
          <t>—</t>
        </is>
      </c>
      <c r="G203" t="inlineStr">
        <is>
          <t>Доход и стоимость</t>
        </is>
      </c>
      <c r="H203" t="inlineStr">
        <is>
          <t>CALC-RESULT</t>
        </is>
      </c>
      <c r="I203" t="inlineStr">
        <is>
          <t>Результаты calc()</t>
        </is>
      </c>
      <c r="J203" t="inlineStr">
        <is>
          <t>RES-markup</t>
        </is>
      </c>
      <c r="K203" t="inlineStr">
        <is>
          <t>d.markup</t>
        </is>
      </c>
      <c r="L203" t="inlineStr">
        <is>
          <t>markup</t>
        </is>
      </c>
      <c r="M203" t="inlineStr">
        <is>
          <t>markup</t>
        </is>
      </c>
      <c r="N203" t="inlineStr">
        <is>
          <t>result</t>
        </is>
      </c>
      <c r="O203" t="inlineStr">
        <is>
          <t>result</t>
        </is>
      </c>
      <c r="P203" t="inlineStr">
        <is>
          <t>Результат расчёта или служебное поле</t>
        </is>
      </c>
      <c r="R203" t="inlineStr">
        <is>
          <t>1.8370788352172434</t>
        </is>
      </c>
      <c r="T203" t="inlineStr">
        <is>
          <t>создаётся при каждом calc()</t>
        </is>
      </c>
      <c r="U203" t="inlineStr">
        <is>
          <t>d.markup</t>
        </is>
      </c>
      <c r="V203" t="inlineStr">
        <is>
          <t>Доход и стоимость</t>
        </is>
      </c>
      <c r="W203" t="inlineStr">
        <is>
          <t>Доход и стоимость</t>
        </is>
      </c>
      <c r="Y203" t="inlineStr">
        <is>
          <t>rateHour/costHour−1</t>
        </is>
      </c>
      <c r="Z203" t="inlineStr">
        <is>
          <t>report.html / детализация</t>
        </is>
      </c>
      <c r="AA203" t="inlineStr">
        <is>
          <t>НЕТ — добавить в глоссарий</t>
        </is>
      </c>
      <c r="AB203" s="229" t="inlineStr">
        <is>
          <t>RULE-001</t>
        </is>
      </c>
    </row>
    <row r="204">
      <c r="A204" t="inlineStr">
        <is>
          <t>144</t>
        </is>
      </c>
      <c r="B204" t="inlineStr">
        <is>
          <t>PAGE-MODEL</t>
        </is>
      </c>
      <c r="C204" t="inlineStr">
        <is>
          <t>Модель · calc()</t>
        </is>
      </c>
      <c r="D204" t="inlineStr">
        <is>
          <t>7</t>
        </is>
      </c>
      <c r="E204" t="inlineStr">
        <is>
          <t>MODEL-07</t>
        </is>
      </c>
      <c r="F204" t="inlineStr">
        <is>
          <t>—</t>
        </is>
      </c>
      <c r="G204" t="inlineStr">
        <is>
          <t>Доход и стоимость</t>
        </is>
      </c>
      <c r="H204" t="inlineStr">
        <is>
          <t>CALC-RESULT</t>
        </is>
      </c>
      <c r="I204" t="inlineStr">
        <is>
          <t>Результаты calc()</t>
        </is>
      </c>
      <c r="J204" t="inlineStr">
        <is>
          <t>RES-rateHour</t>
        </is>
      </c>
      <c r="K204" t="inlineStr">
        <is>
          <t>d.rateHour</t>
        </is>
      </c>
      <c r="L204" t="inlineStr">
        <is>
          <t>rateHour</t>
        </is>
      </c>
      <c r="M204" t="inlineStr">
        <is>
          <t>Желаемая ставка</t>
        </is>
      </c>
      <c r="N204" t="inlineStr">
        <is>
          <t>result</t>
        </is>
      </c>
      <c r="O204" t="inlineStr">
        <is>
          <t>result</t>
        </is>
      </c>
      <c r="P204" t="inlineStr">
        <is>
          <t>Стоимость одного часа съёмки, которая позволяет специалисту получать желаемый доход</t>
        </is>
      </c>
      <c r="R204" t="inlineStr">
        <is>
          <t>9429.98602929936</t>
        </is>
      </c>
      <c r="T204" t="inlineStr">
        <is>
          <t>создаётся при каждом calc()</t>
        </is>
      </c>
      <c r="U204" t="inlineStr">
        <is>
          <t>d.rateHour</t>
        </is>
      </c>
      <c r="V204" t="inlineStr">
        <is>
          <t>Доход и стоимость</t>
        </is>
      </c>
      <c r="W204" t="inlineStr">
        <is>
          <t>Доход и стоимость</t>
        </is>
      </c>
      <c r="Y204" t="inlineStr">
        <is>
          <t>R/sh</t>
        </is>
      </c>
      <c r="Z204" t="inlineStr">
        <is>
          <t>report.html / детализация</t>
        </is>
      </c>
      <c r="AA204" t="inlineStr">
        <is>
          <t>да</t>
        </is>
      </c>
      <c r="AB204" s="229" t="inlineStr">
        <is>
          <t>RULE-001; RULE-002; RULE-003; RULE-015</t>
        </is>
      </c>
    </row>
    <row r="205">
      <c r="A205" t="inlineStr">
        <is>
          <t>145</t>
        </is>
      </c>
      <c r="B205" t="inlineStr">
        <is>
          <t>PAGE-MODEL</t>
        </is>
      </c>
      <c r="C205" t="inlineStr">
        <is>
          <t>Модель · calc()</t>
        </is>
      </c>
      <c r="D205" t="inlineStr">
        <is>
          <t>7</t>
        </is>
      </c>
      <c r="E205" t="inlineStr">
        <is>
          <t>MODEL-07</t>
        </is>
      </c>
      <c r="F205" t="inlineStr">
        <is>
          <t>—</t>
        </is>
      </c>
      <c r="G205" t="inlineStr">
        <is>
          <t>Доход и стоимость</t>
        </is>
      </c>
      <c r="H205" t="inlineStr">
        <is>
          <t>CALC-RESULT</t>
        </is>
      </c>
      <c r="I205" t="inlineStr">
        <is>
          <t>Результаты calc()</t>
        </is>
      </c>
      <c r="J205" t="inlineStr">
        <is>
          <t>RES-rateZero</t>
        </is>
      </c>
      <c r="K205" t="inlineStr">
        <is>
          <t>d.rateZero</t>
        </is>
      </c>
      <c r="L205" t="inlineStr">
        <is>
          <t>rateZero</t>
        </is>
      </c>
      <c r="M205" t="inlineStr">
        <is>
          <t>rateZero</t>
        </is>
      </c>
      <c r="N205" t="inlineStr">
        <is>
          <t>result</t>
        </is>
      </c>
      <c r="O205" t="inlineStr">
        <is>
          <t>result</t>
        </is>
      </c>
      <c r="P205" t="inlineStr">
        <is>
          <t>Результат расчёта или служебное поле</t>
        </is>
      </c>
      <c r="R205" t="inlineStr">
        <is>
          <t>2814.4393505479693</t>
        </is>
      </c>
      <c r="T205" t="inlineStr">
        <is>
          <t>создаётся при каждом calc()</t>
        </is>
      </c>
      <c r="U205" t="inlineStr">
        <is>
          <t>d.rateZero</t>
        </is>
      </c>
      <c r="V205" t="inlineStr">
        <is>
          <t>Доход и стоимость</t>
        </is>
      </c>
      <c r="W205" t="inlineStr">
        <is>
          <t>Доход и стоимость</t>
        </is>
      </c>
      <c r="Y205" t="inlineStr">
        <is>
          <t>Rb/sh</t>
        </is>
      </c>
      <c r="Z205" t="inlineStr">
        <is>
          <t>report.html / детализация</t>
        </is>
      </c>
      <c r="AA205" t="inlineStr">
        <is>
          <t>НЕТ — добавить в глоссарий</t>
        </is>
      </c>
      <c r="AB205" s="229" t="inlineStr">
        <is>
          <t>RULE-001; RULE-002; RULE-003; RULE-016</t>
        </is>
      </c>
    </row>
    <row r="206">
      <c r="A206" t="inlineStr">
        <is>
          <t>146</t>
        </is>
      </c>
      <c r="B206" t="inlineStr">
        <is>
          <t>PAGE-MODEL</t>
        </is>
      </c>
      <c r="C206" t="inlineStr">
        <is>
          <t>Модель · calc()</t>
        </is>
      </c>
      <c r="D206" t="inlineStr">
        <is>
          <t>7</t>
        </is>
      </c>
      <c r="E206" t="inlineStr">
        <is>
          <t>MODEL-07</t>
        </is>
      </c>
      <c r="F206" t="inlineStr">
        <is>
          <t>—</t>
        </is>
      </c>
      <c r="G206" t="inlineStr">
        <is>
          <t>Доход и стоимость</t>
        </is>
      </c>
      <c r="H206" t="inlineStr">
        <is>
          <t>CALC-RESULT</t>
        </is>
      </c>
      <c r="I206" t="inlineStr">
        <is>
          <t>Результаты calc()</t>
        </is>
      </c>
      <c r="J206" t="inlineStr">
        <is>
          <t>RES-rateWork</t>
        </is>
      </c>
      <c r="K206" t="inlineStr">
        <is>
          <t>d.rateWork</t>
        </is>
      </c>
      <c r="L206" t="inlineStr">
        <is>
          <t>rateWork</t>
        </is>
      </c>
      <c r="M206" t="inlineStr">
        <is>
          <t>rateWork</t>
        </is>
      </c>
      <c r="N206" t="inlineStr">
        <is>
          <t>result</t>
        </is>
      </c>
      <c r="O206" t="inlineStr">
        <is>
          <t>result</t>
        </is>
      </c>
      <c r="P206" t="inlineStr">
        <is>
          <t>Результат расчёта или служебное поле</t>
        </is>
      </c>
      <c r="R206" t="inlineStr">
        <is>
          <t>754.9041095890411</t>
        </is>
      </c>
      <c r="T206" t="inlineStr">
        <is>
          <t>создаётся при каждом calc()</t>
        </is>
      </c>
      <c r="U206" t="inlineStr">
        <is>
          <t>d.rateWork</t>
        </is>
      </c>
      <c r="V206" t="inlineStr">
        <is>
          <t>Доход и стоимость</t>
        </is>
      </c>
      <c r="W206" t="inlineStr">
        <is>
          <t>Доход и стоимость</t>
        </is>
      </c>
      <c r="Y206" t="inlineStr">
        <is>
          <t>Ny/workHours</t>
        </is>
      </c>
      <c r="Z206" t="inlineStr">
        <is>
          <t>report.html / детализация</t>
        </is>
      </c>
      <c r="AA206" t="inlineStr">
        <is>
          <t>НЕТ — добавить в глоссарий</t>
        </is>
      </c>
      <c r="AB206" s="229" t="inlineStr">
        <is>
          <t>RULE-001; RULE-002</t>
        </is>
      </c>
    </row>
    <row r="207">
      <c r="A207" t="inlineStr">
        <is>
          <t>147</t>
        </is>
      </c>
      <c r="B207" t="inlineStr">
        <is>
          <t>PAGE-MODEL</t>
        </is>
      </c>
      <c r="C207" t="inlineStr">
        <is>
          <t>Модель · calc()</t>
        </is>
      </c>
      <c r="D207" t="inlineStr">
        <is>
          <t>7</t>
        </is>
      </c>
      <c r="E207" t="inlineStr">
        <is>
          <t>MODEL-07</t>
        </is>
      </c>
      <c r="F207" t="inlineStr">
        <is>
          <t>—</t>
        </is>
      </c>
      <c r="G207" t="inlineStr">
        <is>
          <t>Доход и стоимость</t>
        </is>
      </c>
      <c r="H207" t="inlineStr">
        <is>
          <t>CALC-RESULT</t>
        </is>
      </c>
      <c r="I207" t="inlineStr">
        <is>
          <t>Результаты calc()</t>
        </is>
      </c>
      <c r="J207" t="inlineStr">
        <is>
          <t>RES-rateWorkFull</t>
        </is>
      </c>
      <c r="K207" t="inlineStr">
        <is>
          <t>d.rateWorkFull</t>
        </is>
      </c>
      <c r="L207" t="inlineStr">
        <is>
          <t>rateWorkFull</t>
        </is>
      </c>
      <c r="M207" t="inlineStr">
        <is>
          <t>rateWorkFull</t>
        </is>
      </c>
      <c r="N207" t="inlineStr">
        <is>
          <t>result</t>
        </is>
      </c>
      <c r="O207" t="inlineStr">
        <is>
          <t>result</t>
        </is>
      </c>
      <c r="P207" t="inlineStr">
        <is>
          <t>Результат расчёта или служебное поле</t>
        </is>
      </c>
      <c r="R207" t="inlineStr">
        <is>
          <t>1165.830464581188</t>
        </is>
      </c>
      <c r="T207" t="inlineStr">
        <is>
          <t>создаётся при каждом calc()</t>
        </is>
      </c>
      <c r="U207" t="inlineStr">
        <is>
          <t>d.rateWorkFull</t>
        </is>
      </c>
      <c r="V207" t="inlineStr">
        <is>
          <t>Доход и стоимость</t>
        </is>
      </c>
      <c r="W207" t="inlineStr">
        <is>
          <t>Доход и стоимость</t>
        </is>
      </c>
      <c r="Y207" t="inlineStr">
        <is>
          <t>R/workHours</t>
        </is>
      </c>
      <c r="Z207" t="inlineStr">
        <is>
          <t>report.html / детализация</t>
        </is>
      </c>
      <c r="AA207" t="inlineStr">
        <is>
          <t>НЕТ — добавить в глоссарий</t>
        </is>
      </c>
      <c r="AB207" s="229" t="inlineStr">
        <is>
          <t>RULE-001; RULE-002</t>
        </is>
      </c>
    </row>
    <row r="208">
      <c r="A208" t="inlineStr">
        <is>
          <t>148</t>
        </is>
      </c>
      <c r="B208" t="inlineStr">
        <is>
          <t>PAGE-MODEL</t>
        </is>
      </c>
      <c r="C208" t="inlineStr">
        <is>
          <t>Модель · calc()</t>
        </is>
      </c>
      <c r="D208" t="inlineStr">
        <is>
          <t>7</t>
        </is>
      </c>
      <c r="E208" t="inlineStr">
        <is>
          <t>MODEL-07</t>
        </is>
      </c>
      <c r="F208" t="inlineStr">
        <is>
          <t>—</t>
        </is>
      </c>
      <c r="G208" t="inlineStr">
        <is>
          <t>Доход и стоимость</t>
        </is>
      </c>
      <c r="H208" t="inlineStr">
        <is>
          <t>CALC-RESULT</t>
        </is>
      </c>
      <c r="I208" t="inlineStr">
        <is>
          <t>Результаты calc()</t>
        </is>
      </c>
      <c r="J208" t="inlineStr">
        <is>
          <t>RES-Ny</t>
        </is>
      </c>
      <c r="K208" t="inlineStr">
        <is>
          <t>d.Ny</t>
        </is>
      </c>
      <c r="L208" t="inlineStr">
        <is>
          <t>Ny</t>
        </is>
      </c>
      <c r="M208" t="inlineStr">
        <is>
          <t>Желаемый доход за год</t>
        </is>
      </c>
      <c r="N208" t="inlineStr">
        <is>
          <t>result</t>
        </is>
      </c>
      <c r="O208" t="inlineStr">
        <is>
          <t>result</t>
        </is>
      </c>
      <c r="P208" t="inlineStr">
        <is>
          <t>Результат расчёта или служебное поле</t>
        </is>
      </c>
      <c r="R208" t="inlineStr">
        <is>
          <t>1322592</t>
        </is>
      </c>
      <c r="T208" t="inlineStr">
        <is>
          <t>создаётся при каждом calc()</t>
        </is>
      </c>
      <c r="U208" t="inlineStr">
        <is>
          <t>d.Ny</t>
        </is>
      </c>
      <c r="V208" t="inlineStr">
        <is>
          <t>Доход и стоимость</t>
        </is>
      </c>
      <c r="W208" t="inlineStr">
        <is>
          <t>Доход и стоимость</t>
        </is>
      </c>
      <c r="Y208" t="inlineStr">
        <is>
          <t>income_month×12</t>
        </is>
      </c>
      <c r="Z208" t="inlineStr">
        <is>
          <t>hero, card01, card04, card05</t>
        </is>
      </c>
      <c r="AA208" t="inlineStr">
        <is>
          <t>НЕТ — добавить в глоссарий</t>
        </is>
      </c>
      <c r="AB208" s="229" t="inlineStr">
        <is>
          <t>RULE-001; RULE-002; RULE-015</t>
        </is>
      </c>
    </row>
    <row r="209">
      <c r="A209" t="inlineStr">
        <is>
          <t>149</t>
        </is>
      </c>
      <c r="B209" t="inlineStr">
        <is>
          <t>PAGE-MODEL</t>
        </is>
      </c>
      <c r="C209" t="inlineStr">
        <is>
          <t>Модель · calc()</t>
        </is>
      </c>
      <c r="D209" t="inlineStr">
        <is>
          <t>7</t>
        </is>
      </c>
      <c r="E209" t="inlineStr">
        <is>
          <t>MODEL-07</t>
        </is>
      </c>
      <c r="F209" t="inlineStr">
        <is>
          <t>—</t>
        </is>
      </c>
      <c r="G209" t="inlineStr">
        <is>
          <t>Доход и стоимость</t>
        </is>
      </c>
      <c r="H209" t="inlineStr">
        <is>
          <t>CALC-RESULT</t>
        </is>
      </c>
      <c r="I209" t="inlineStr">
        <is>
          <t>Результаты calc()</t>
        </is>
      </c>
      <c r="J209" t="inlineStr">
        <is>
          <t>RES-R</t>
        </is>
      </c>
      <c r="K209" t="inlineStr">
        <is>
          <t>d.R</t>
        </is>
      </c>
      <c r="L209" t="inlineStr">
        <is>
          <t>R</t>
        </is>
      </c>
      <c r="M209" t="inlineStr">
        <is>
          <t>Необходимая годовая выручка</t>
        </is>
      </c>
      <c r="N209" t="inlineStr">
        <is>
          <t>result</t>
        </is>
      </c>
      <c r="O209" t="inlineStr">
        <is>
          <t>result</t>
        </is>
      </c>
      <c r="P209" t="inlineStr">
        <is>
          <t>Результат расчёта или служебное поле</t>
        </is>
      </c>
      <c r="R209" t="inlineStr">
        <is>
          <t>2042534.9739462414</t>
        </is>
      </c>
      <c r="T209" t="inlineStr">
        <is>
          <t>создаётся при каждом calc()</t>
        </is>
      </c>
      <c r="U209" t="inlineStr">
        <is>
          <t>d.R</t>
        </is>
      </c>
      <c r="V209" t="inlineStr">
        <is>
          <t>Доход и стоимость</t>
        </is>
      </c>
      <c r="W209" t="inlineStr">
        <is>
          <t>Доход и стоимость</t>
        </is>
      </c>
      <c r="Y209" t="inlineStr">
        <is>
          <t>solve R×D−C−taxOf(R)=Ny</t>
        </is>
      </c>
      <c r="Z209" t="inlineStr">
        <is>
          <t>hero, card01, card04, card05, card06, card07, детализация</t>
        </is>
      </c>
      <c r="AA209" t="inlineStr">
        <is>
          <t>НЕТ — добавить в глоссарий</t>
        </is>
      </c>
      <c r="AB209" s="229" t="inlineStr">
        <is>
          <t>RULE-001; RULE-002; RULE-015</t>
        </is>
      </c>
    </row>
    <row r="210">
      <c r="A210" t="inlineStr">
        <is>
          <t>150</t>
        </is>
      </c>
      <c r="B210" t="inlineStr">
        <is>
          <t>PAGE-MODEL</t>
        </is>
      </c>
      <c r="C210" t="inlineStr">
        <is>
          <t>Модель · calc()</t>
        </is>
      </c>
      <c r="D210" t="inlineStr">
        <is>
          <t>7</t>
        </is>
      </c>
      <c r="E210" t="inlineStr">
        <is>
          <t>MODEL-07</t>
        </is>
      </c>
      <c r="F210" t="inlineStr">
        <is>
          <t>—</t>
        </is>
      </c>
      <c r="G210" t="inlineStr">
        <is>
          <t>Доход и стоимость</t>
        </is>
      </c>
      <c r="H210" t="inlineStr">
        <is>
          <t>CALC-RESULT</t>
        </is>
      </c>
      <c r="I210" t="inlineStr">
        <is>
          <t>Результаты calc()</t>
        </is>
      </c>
      <c r="J210" t="inlineStr">
        <is>
          <t>RES-cur</t>
        </is>
      </c>
      <c r="K210" t="inlineStr">
        <is>
          <t>d.cur</t>
        </is>
      </c>
      <c r="L210" t="inlineStr">
        <is>
          <t>cur</t>
        </is>
      </c>
      <c r="M210" t="inlineStr">
        <is>
          <t>cur</t>
        </is>
      </c>
      <c r="N210" t="inlineStr">
        <is>
          <t>result</t>
        </is>
      </c>
      <c r="O210" t="inlineStr">
        <is>
          <t>result</t>
        </is>
      </c>
      <c r="P210" t="inlineStr">
        <is>
          <t>Результат расчёта или служебное поле</t>
        </is>
      </c>
      <c r="R210" t="inlineStr">
        <is>
          <t>6000</t>
        </is>
      </c>
      <c r="T210" t="inlineStr">
        <is>
          <t>создаётся при каждом calc()</t>
        </is>
      </c>
      <c r="U210" t="inlineStr">
        <is>
          <t>d.cur</t>
        </is>
      </c>
      <c r="V210" t="inlineStr">
        <is>
          <t>Доход и стоимость</t>
        </is>
      </c>
      <c r="W210" t="inlineStr">
        <is>
          <t>Доход и стоимость</t>
        </is>
      </c>
      <c r="Z210" t="inlineStr">
        <is>
          <t>report.html / детализация</t>
        </is>
      </c>
      <c r="AA210" t="inlineStr">
        <is>
          <t>НЕТ — добавить в глоссарий</t>
        </is>
      </c>
      <c r="AB210" s="229" t="inlineStr">
        <is>
          <t>RULE-001; RULE-002; RULE-014</t>
        </is>
      </c>
    </row>
    <row r="211">
      <c r="A211" t="inlineStr">
        <is>
          <t>151</t>
        </is>
      </c>
      <c r="B211" t="inlineStr">
        <is>
          <t>PAGE-MODEL</t>
        </is>
      </c>
      <c r="C211" t="inlineStr">
        <is>
          <t>Модель · calc()</t>
        </is>
      </c>
      <c r="D211" t="inlineStr">
        <is>
          <t>7</t>
        </is>
      </c>
      <c r="E211" t="inlineStr">
        <is>
          <t>MODEL-07</t>
        </is>
      </c>
      <c r="F211" t="inlineStr">
        <is>
          <t>—</t>
        </is>
      </c>
      <c r="G211" t="inlineStr">
        <is>
          <t>Доход и стоимость</t>
        </is>
      </c>
      <c r="H211" t="inlineStr">
        <is>
          <t>CALC-RESULT</t>
        </is>
      </c>
      <c r="I211" t="inlineStr">
        <is>
          <t>Результаты calc()</t>
        </is>
      </c>
      <c r="J211" t="inlineStr">
        <is>
          <t>RES-Rc</t>
        </is>
      </c>
      <c r="K211" t="inlineStr">
        <is>
          <t>d.Rc</t>
        </is>
      </c>
      <c r="L211" t="inlineStr">
        <is>
          <t>Rc</t>
        </is>
      </c>
      <c r="M211" t="inlineStr">
        <is>
          <t>Rc</t>
        </is>
      </c>
      <c r="N211" t="inlineStr">
        <is>
          <t>result</t>
        </is>
      </c>
      <c r="O211" t="inlineStr">
        <is>
          <t>result</t>
        </is>
      </c>
      <c r="P211" t="inlineStr">
        <is>
          <t>Результат расчёта или служебное поле</t>
        </is>
      </c>
      <c r="R211" t="inlineStr">
        <is>
          <t>1299600</t>
        </is>
      </c>
      <c r="T211" t="inlineStr">
        <is>
          <t>создаётся при каждом calc()</t>
        </is>
      </c>
      <c r="U211" t="inlineStr">
        <is>
          <t>d.Rc</t>
        </is>
      </c>
      <c r="V211" t="inlineStr">
        <is>
          <t>Доход и стоимость</t>
        </is>
      </c>
      <c r="W211" t="inlineStr">
        <is>
          <t>Доход и стоимость</t>
        </is>
      </c>
      <c r="Y211" t="inlineStr">
        <is>
          <t>cur×sh</t>
        </is>
      </c>
      <c r="Z211" t="inlineStr">
        <is>
          <t>report.html / детализация</t>
        </is>
      </c>
      <c r="AA211" t="inlineStr">
        <is>
          <t>НЕТ — добавить в глоссарий</t>
        </is>
      </c>
      <c r="AB211" s="229" t="inlineStr">
        <is>
          <t>RULE-001; RULE-002; RULE-014</t>
        </is>
      </c>
    </row>
    <row r="212">
      <c r="A212" t="inlineStr">
        <is>
          <t>152</t>
        </is>
      </c>
      <c r="B212" t="inlineStr">
        <is>
          <t>PAGE-MODEL</t>
        </is>
      </c>
      <c r="C212" t="inlineStr">
        <is>
          <t>Модель · calc()</t>
        </is>
      </c>
      <c r="D212" t="inlineStr">
        <is>
          <t>7</t>
        </is>
      </c>
      <c r="E212" t="inlineStr">
        <is>
          <t>MODEL-07</t>
        </is>
      </c>
      <c r="F212" t="inlineStr">
        <is>
          <t>—</t>
        </is>
      </c>
      <c r="G212" t="inlineStr">
        <is>
          <t>Доход и стоимость</t>
        </is>
      </c>
      <c r="H212" t="inlineStr">
        <is>
          <t>CALC-RESULT</t>
        </is>
      </c>
      <c r="I212" t="inlineStr">
        <is>
          <t>Результаты calc()</t>
        </is>
      </c>
      <c r="J212" t="inlineStr">
        <is>
          <t>RES-leftC</t>
        </is>
      </c>
      <c r="K212" t="inlineStr">
        <is>
          <t>d.leftC</t>
        </is>
      </c>
      <c r="L212" t="inlineStr">
        <is>
          <t>leftC</t>
        </is>
      </c>
      <c r="M212" t="inlineStr">
        <is>
          <t>Совместимый финансовый результат текущего сценария</t>
        </is>
      </c>
      <c r="N212" t="inlineStr">
        <is>
          <t>result</t>
        </is>
      </c>
      <c r="O212" t="inlineStr">
        <is>
          <t>result</t>
        </is>
      </c>
      <c r="P212" t="inlineStr">
        <is>
          <t>Совместимое поле: содержит полный текущий финансовый результат и может быть отрицательным</t>
        </is>
      </c>
      <c r="R212" t="inlineStr">
        <is>
          <t>636863.0190476191</t>
        </is>
      </c>
      <c r="T212" t="inlineStr">
        <is>
          <t>создаётся при каждом calc()</t>
        </is>
      </c>
      <c r="U212" t="inlineStr">
        <is>
          <t>d.leftC</t>
        </is>
      </c>
      <c r="V212" t="inlineStr">
        <is>
          <t>Доход и стоимость</t>
        </is>
      </c>
      <c r="W212" t="inlineStr">
        <is>
          <t>Доход и стоимость</t>
        </is>
      </c>
      <c r="Y212" t="inlineStr">
        <is>
          <t>currentResult</t>
        </is>
      </c>
      <c r="Z212" t="inlineStr">
        <is>
          <t>report.html / детализация</t>
        </is>
      </c>
      <c r="AA212" t="inlineStr">
        <is>
          <t>НЕТ — добавить в глоссарий</t>
        </is>
      </c>
      <c r="AB212" s="229" t="inlineStr">
        <is>
          <t>RULE-001; RULE-002; RULE-014; RULE-011; RULE-012; RULE-013</t>
        </is>
      </c>
    </row>
    <row r="213">
      <c r="A213" t="inlineStr">
        <is>
          <t>153</t>
        </is>
      </c>
      <c r="B213" t="inlineStr">
        <is>
          <t>PAGE-MODEL</t>
        </is>
      </c>
      <c r="C213" t="inlineStr">
        <is>
          <t>Модель · calc()</t>
        </is>
      </c>
      <c r="D213" t="inlineStr">
        <is>
          <t>7</t>
        </is>
      </c>
      <c r="E213" t="inlineStr">
        <is>
          <t>MODEL-07</t>
        </is>
      </c>
      <c r="F213" t="inlineStr">
        <is>
          <t>—</t>
        </is>
      </c>
      <c r="G213" t="inlineStr">
        <is>
          <t>Доход и стоимость</t>
        </is>
      </c>
      <c r="H213" t="inlineStr">
        <is>
          <t>CALC-RESULT</t>
        </is>
      </c>
      <c r="I213" t="inlineStr">
        <is>
          <t>Результаты calc()</t>
        </is>
      </c>
      <c r="J213" t="inlineStr">
        <is>
          <t>RES-Rb</t>
        </is>
      </c>
      <c r="K213" t="inlineStr">
        <is>
          <t>d.Rb</t>
        </is>
      </c>
      <c r="L213" t="inlineStr">
        <is>
          <t>Rb</t>
        </is>
      </c>
      <c r="M213" t="inlineStr">
        <is>
          <t>Выручка безубыточности</t>
        </is>
      </c>
      <c r="N213" t="inlineStr">
        <is>
          <t>result</t>
        </is>
      </c>
      <c r="O213" t="inlineStr">
        <is>
          <t>result</t>
        </is>
      </c>
      <c r="P213" t="inlineStr">
        <is>
          <t>Результат расчёта или служебное поле</t>
        </is>
      </c>
      <c r="R213" t="inlineStr">
        <is>
          <t>609607.5633286901</t>
        </is>
      </c>
      <c r="T213" t="inlineStr">
        <is>
          <t>создаётся при каждом calc()</t>
        </is>
      </c>
      <c r="U213" t="inlineStr">
        <is>
          <t>d.Rb</t>
        </is>
      </c>
      <c r="V213" t="inlineStr">
        <is>
          <t>Доход и стоимость</t>
        </is>
      </c>
      <c r="W213" t="inlineStr">
        <is>
          <t>Доход и стоимость</t>
        </is>
      </c>
      <c r="Y213" t="inlineStr">
        <is>
          <t>solve target=0</t>
        </is>
      </c>
      <c r="Z213" t="inlineStr">
        <is>
          <t>report.html / детализация</t>
        </is>
      </c>
      <c r="AA213" t="inlineStr">
        <is>
          <t>НЕТ — добавить в глоссарий</t>
        </is>
      </c>
      <c r="AB213" s="229" t="inlineStr">
        <is>
          <t>RULE-001; RULE-002; RULE-016</t>
        </is>
      </c>
    </row>
    <row r="214">
      <c r="A214" t="inlineStr">
        <is>
          <t>154</t>
        </is>
      </c>
      <c r="B214" t="inlineStr">
        <is>
          <t>PAGE-MODEL</t>
        </is>
      </c>
      <c r="C214" t="inlineStr">
        <is>
          <t>Модель · calc()</t>
        </is>
      </c>
      <c r="D214" t="inlineStr">
        <is>
          <t>7</t>
        </is>
      </c>
      <c r="E214" t="inlineStr">
        <is>
          <t>MODEL-07</t>
        </is>
      </c>
      <c r="F214" t="inlineStr">
        <is>
          <t>—</t>
        </is>
      </c>
      <c r="G214" t="inlineStr">
        <is>
          <t>Доход и стоимость</t>
        </is>
      </c>
      <c r="H214" t="inlineStr">
        <is>
          <t>CALC-RESULT</t>
        </is>
      </c>
      <c r="I214" t="inlineStr">
        <is>
          <t>Результаты calc()</t>
        </is>
      </c>
      <c r="J214" t="inlineStr">
        <is>
          <t>RES-curRate</t>
        </is>
      </c>
      <c r="K214" t="inlineStr">
        <is>
          <t>d.curRate</t>
        </is>
      </c>
      <c r="L214" t="inlineStr">
        <is>
          <t>curRate</t>
        </is>
      </c>
      <c r="M214" t="inlineStr">
        <is>
          <t>curRate</t>
        </is>
      </c>
      <c r="N214" t="inlineStr">
        <is>
          <t>result</t>
        </is>
      </c>
      <c r="O214" t="inlineStr">
        <is>
          <t>result</t>
        </is>
      </c>
      <c r="P214" t="inlineStr">
        <is>
          <t>Результат расчёта или служебное поле</t>
        </is>
      </c>
      <c r="R214" t="inlineStr">
        <is>
          <t>6000</t>
        </is>
      </c>
      <c r="T214" t="inlineStr">
        <is>
          <t>создаётся при каждом calc()</t>
        </is>
      </c>
      <c r="U214" t="inlineStr">
        <is>
          <t>d.curRate</t>
        </is>
      </c>
      <c r="V214" t="inlineStr">
        <is>
          <t>Доход и стоимость</t>
        </is>
      </c>
      <c r="W214" t="inlineStr">
        <is>
          <t>Доход и стоимость</t>
        </is>
      </c>
      <c r="Z214" t="inlineStr">
        <is>
          <t>report.html / детализация</t>
        </is>
      </c>
      <c r="AA214" t="inlineStr">
        <is>
          <t>НЕТ — добавить в глоссарий</t>
        </is>
      </c>
      <c r="AB214" s="229" t="inlineStr">
        <is>
          <t>RULE-001; RULE-014</t>
        </is>
      </c>
    </row>
    <row r="215">
      <c r="A215" t="inlineStr">
        <is>
          <t>БЛОК · Налоги и банк [MODEL-08]</t>
        </is>
      </c>
      <c r="AB215" s="229" t="n"/>
    </row>
    <row r="216">
      <c r="A216" t="inlineStr">
        <is>
          <t>№</t>
        </is>
      </c>
      <c r="B216" t="inlineStr">
        <is>
          <t>Страница ID</t>
        </is>
      </c>
      <c r="C216" t="inlineStr">
        <is>
          <t>Страница</t>
        </is>
      </c>
      <c r="D216" t="inlineStr">
        <is>
          <t>Порядок</t>
        </is>
      </c>
      <c r="E216" t="inlineStr">
        <is>
          <t>Блок ID</t>
        </is>
      </c>
      <c r="F216" t="inlineStr">
        <is>
          <t>№ блока</t>
        </is>
      </c>
      <c r="G216" t="inlineStr">
        <is>
          <t>Название блока</t>
        </is>
      </c>
      <c r="H216" t="inlineStr">
        <is>
          <t>Форма ID</t>
        </is>
      </c>
      <c r="I216" t="inlineStr">
        <is>
          <t>Название формы</t>
        </is>
      </c>
      <c r="J216" t="inlineStr">
        <is>
          <t>Поле ID реестра</t>
        </is>
      </c>
      <c r="K216" t="inlineStr">
        <is>
          <t>DOM / код ID</t>
        </is>
      </c>
      <c r="L216" t="inlineStr">
        <is>
          <t>Параметр модели</t>
        </is>
      </c>
      <c r="M216" t="inlineStr">
        <is>
          <t>Наименование поля</t>
        </is>
      </c>
      <c r="N216" t="inlineStr">
        <is>
          <t>Тип поля</t>
        </is>
      </c>
      <c r="O216" t="inlineStr">
        <is>
          <t>Роль</t>
        </is>
      </c>
      <c r="P216" t="inlineStr">
        <is>
          <t>Что вводим / что означает</t>
        </is>
      </c>
      <c r="Q216" t="inlineStr">
        <is>
          <t>Допустимые ответы / варианты</t>
        </is>
      </c>
      <c r="R216" t="inlineStr">
        <is>
          <t>По умолчанию</t>
        </is>
      </c>
      <c r="S216" t="inlineStr">
        <is>
          <t>Единица</t>
        </is>
      </c>
      <c r="T216" t="inlineStr">
        <is>
          <t>Условие показа / включения</t>
        </is>
      </c>
      <c r="U216" t="inlineStr">
        <is>
          <t>Поле результата d</t>
        </is>
      </c>
      <c r="V216" t="inlineStr">
        <is>
          <t>Группа результата</t>
        </is>
      </c>
      <c r="W216" t="inlineStr">
        <is>
          <t>Подгруппа результата</t>
        </is>
      </c>
      <c r="X216" t="inlineStr">
        <is>
          <t>Группа диаграммы</t>
        </is>
      </c>
      <c r="Y216" t="inlineStr">
        <is>
          <t>Формула / источник</t>
        </is>
      </c>
      <c r="Z216" t="inlineStr">
        <is>
          <t>Где выводится</t>
        </is>
      </c>
      <c r="AA216" t="inlineStr">
        <is>
          <t>Тип есть в глоссарии</t>
        </is>
      </c>
      <c r="AB216" s="229" t="inlineStr">
        <is>
          <t>Правило ID</t>
        </is>
      </c>
    </row>
    <row r="217">
      <c r="A217" t="inlineStr">
        <is>
          <t>155</t>
        </is>
      </c>
      <c r="B217" t="inlineStr">
        <is>
          <t>PAGE-MODEL</t>
        </is>
      </c>
      <c r="C217" t="inlineStr">
        <is>
          <t>Модель · calc()</t>
        </is>
      </c>
      <c r="D217" t="inlineStr">
        <is>
          <t>8</t>
        </is>
      </c>
      <c r="E217" t="inlineStr">
        <is>
          <t>MODEL-08</t>
        </is>
      </c>
      <c r="F217" t="inlineStr">
        <is>
          <t>—</t>
        </is>
      </c>
      <c r="G217" t="inlineStr">
        <is>
          <t>Налоги и банк</t>
        </is>
      </c>
      <c r="H217" t="inlineStr">
        <is>
          <t>CALC-RESULT</t>
        </is>
      </c>
      <c r="I217" t="inlineStr">
        <is>
          <t>Результаты calc()</t>
        </is>
      </c>
      <c r="J217" t="inlineStr">
        <is>
          <t>RES-taxAll</t>
        </is>
      </c>
      <c r="K217" t="inlineStr">
        <is>
          <t>d.taxAll</t>
        </is>
      </c>
      <c r="L217" t="inlineStr">
        <is>
          <t>taxAll</t>
        </is>
      </c>
      <c r="M217" t="inlineStr">
        <is>
          <t>Налоги и взносы</t>
        </is>
      </c>
      <c r="N217" t="inlineStr">
        <is>
          <t>result</t>
        </is>
      </c>
      <c r="O217" t="inlineStr">
        <is>
          <t>result</t>
        </is>
      </c>
      <c r="P217" t="inlineStr">
        <is>
          <t>Результат расчёта или служебное поле</t>
        </is>
      </c>
      <c r="R217" t="inlineStr">
        <is>
          <t>102126.74869731208</t>
        </is>
      </c>
      <c r="T217" t="inlineStr">
        <is>
          <t>создаётся при каждом calc()</t>
        </is>
      </c>
      <c r="U217" t="inlineStr">
        <is>
          <t>d.taxAll</t>
        </is>
      </c>
      <c r="V217" t="inlineStr">
        <is>
          <t>Налоги и банк</t>
        </is>
      </c>
      <c r="W217" t="inlineStr">
        <is>
          <t>Налоги</t>
        </is>
      </c>
      <c r="X217" t="inlineStr">
        <is>
          <t>Расходы · налоги</t>
        </is>
      </c>
      <c r="Y217" t="inlineStr">
        <is>
          <t>taxOf(R)</t>
        </is>
      </c>
      <c r="Z217" t="inlineStr">
        <is>
          <t>hero, card01, card04, card07</t>
        </is>
      </c>
      <c r="AA217" t="inlineStr">
        <is>
          <t>НЕТ — добавить в глоссарий</t>
        </is>
      </c>
      <c r="AB217" s="229" t="inlineStr">
        <is>
          <t>RULE-001; RULE-002; RULE-015; RULE-017</t>
        </is>
      </c>
    </row>
    <row r="218">
      <c r="A218" t="inlineStr">
        <is>
          <t>156</t>
        </is>
      </c>
      <c r="B218" t="inlineStr">
        <is>
          <t>PAGE-MODEL</t>
        </is>
      </c>
      <c r="C218" t="inlineStr">
        <is>
          <t>Модель · calc()</t>
        </is>
      </c>
      <c r="D218" t="inlineStr">
        <is>
          <t>8</t>
        </is>
      </c>
      <c r="E218" t="inlineStr">
        <is>
          <t>MODEL-08</t>
        </is>
      </c>
      <c r="F218" t="inlineStr">
        <is>
          <t>—</t>
        </is>
      </c>
      <c r="G218" t="inlineStr">
        <is>
          <t>Налоги и банк</t>
        </is>
      </c>
      <c r="H218" t="inlineStr">
        <is>
          <t>CALC-RESULT</t>
        </is>
      </c>
      <c r="I218" t="inlineStr">
        <is>
          <t>Результаты calc()</t>
        </is>
      </c>
      <c r="J218" t="inlineStr">
        <is>
          <t>RES-aq</t>
        </is>
      </c>
      <c r="K218" t="inlineStr">
        <is>
          <t>d.aq</t>
        </is>
      </c>
      <c r="L218" t="inlineStr">
        <is>
          <t>aq</t>
        </is>
      </c>
      <c r="M218" t="inlineStr">
        <is>
          <t>Эквайринг</t>
        </is>
      </c>
      <c r="N218" t="inlineStr">
        <is>
          <t>result</t>
        </is>
      </c>
      <c r="O218" t="inlineStr">
        <is>
          <t>result</t>
        </is>
      </c>
      <c r="P218" t="inlineStr">
        <is>
          <t>Результат расчёта или служебное поле</t>
        </is>
      </c>
      <c r="R218" t="inlineStr">
        <is>
          <t>55148.44429654853</t>
        </is>
      </c>
      <c r="T218" t="inlineStr">
        <is>
          <t>создаётся при каждом calc()</t>
        </is>
      </c>
      <c r="U218" t="inlineStr">
        <is>
          <t>d.aq</t>
        </is>
      </c>
      <c r="V218" t="inlineStr">
        <is>
          <t>Налоги и банк</t>
        </is>
      </c>
      <c r="W218" t="inlineStr">
        <is>
          <t>Эквайринг</t>
        </is>
      </c>
      <c r="X218" t="inlineStr">
        <is>
          <t>Расходы · эквайринг</t>
        </is>
      </c>
      <c r="Y218" t="inlineStr">
        <is>
          <t>R×a</t>
        </is>
      </c>
      <c r="Z218" t="inlineStr">
        <is>
          <t>hero, card01, card04</t>
        </is>
      </c>
      <c r="AA218" t="inlineStr">
        <is>
          <t>НЕТ — добавить в глоссарий</t>
        </is>
      </c>
      <c r="AB218" s="229" t="inlineStr">
        <is>
          <t>RULE-001; RULE-002; RULE-015</t>
        </is>
      </c>
    </row>
    <row r="219">
      <c r="A219" t="inlineStr">
        <is>
          <t>157</t>
        </is>
      </c>
      <c r="B219" t="inlineStr">
        <is>
          <t>PAGE-MODEL</t>
        </is>
      </c>
      <c r="C219" t="inlineStr">
        <is>
          <t>Модель · calc()</t>
        </is>
      </c>
      <c r="D219" t="inlineStr">
        <is>
          <t>8</t>
        </is>
      </c>
      <c r="E219" t="inlineStr">
        <is>
          <t>MODEL-08</t>
        </is>
      </c>
      <c r="F219" t="inlineStr">
        <is>
          <t>—</t>
        </is>
      </c>
      <c r="G219" t="inlineStr">
        <is>
          <t>Налоги и банк</t>
        </is>
      </c>
      <c r="H219" t="inlineStr">
        <is>
          <t>CALC-RESULT</t>
        </is>
      </c>
      <c r="I219" t="inlineStr">
        <is>
          <t>Результаты calc()</t>
        </is>
      </c>
      <c r="J219" t="inlineStr">
        <is>
          <t>RES-taxC</t>
        </is>
      </c>
      <c r="K219" t="inlineStr">
        <is>
          <t>d.taxC</t>
        </is>
      </c>
      <c r="L219" t="inlineStr">
        <is>
          <t>taxC</t>
        </is>
      </c>
      <c r="M219" t="inlineStr">
        <is>
          <t>taxC</t>
        </is>
      </c>
      <c r="N219" t="inlineStr">
        <is>
          <t>result</t>
        </is>
      </c>
      <c r="O219" t="inlineStr">
        <is>
          <t>result</t>
        </is>
      </c>
      <c r="P219" t="inlineStr">
        <is>
          <t>Результат расчёта или служебное поле</t>
        </is>
      </c>
      <c r="R219" t="inlineStr">
        <is>
          <t>64980</t>
        </is>
      </c>
      <c r="T219" t="inlineStr">
        <is>
          <t>создаётся при каждом calc()</t>
        </is>
      </c>
      <c r="U219" t="inlineStr">
        <is>
          <t>d.taxC</t>
        </is>
      </c>
      <c r="V219" t="inlineStr">
        <is>
          <t>Налоги и банк</t>
        </is>
      </c>
      <c r="W219" t="inlineStr">
        <is>
          <t>Налоги и банк</t>
        </is>
      </c>
      <c r="Z219" t="inlineStr">
        <is>
          <t>report.html / детализация</t>
        </is>
      </c>
      <c r="AA219" t="inlineStr">
        <is>
          <t>НЕТ — добавить в глоссарий</t>
        </is>
      </c>
      <c r="AB219" s="229" t="inlineStr">
        <is>
          <t>RULE-001; RULE-002; RULE-014; RULE-017</t>
        </is>
      </c>
    </row>
    <row r="220">
      <c r="A220" t="inlineStr">
        <is>
          <t>158</t>
        </is>
      </c>
      <c r="B220" t="inlineStr">
        <is>
          <t>PAGE-MODEL</t>
        </is>
      </c>
      <c r="C220" t="inlineStr">
        <is>
          <t>Модель · calc()</t>
        </is>
      </c>
      <c r="D220" t="inlineStr">
        <is>
          <t>8</t>
        </is>
      </c>
      <c r="E220" t="inlineStr">
        <is>
          <t>MODEL-08</t>
        </is>
      </c>
      <c r="F220" t="inlineStr">
        <is>
          <t>—</t>
        </is>
      </c>
      <c r="G220" t="inlineStr">
        <is>
          <t>Налоги и банк</t>
        </is>
      </c>
      <c r="H220" t="inlineStr">
        <is>
          <t>CALC-RESULT</t>
        </is>
      </c>
      <c r="I220" t="inlineStr">
        <is>
          <t>Результаты calc()</t>
        </is>
      </c>
      <c r="J220" t="inlineStr">
        <is>
          <t>RES-aqC</t>
        </is>
      </c>
      <c r="K220" t="inlineStr">
        <is>
          <t>d.aqC</t>
        </is>
      </c>
      <c r="L220" t="inlineStr">
        <is>
          <t>aqC</t>
        </is>
      </c>
      <c r="M220" t="inlineStr">
        <is>
          <t>aqC</t>
        </is>
      </c>
      <c r="N220" t="inlineStr">
        <is>
          <t>result</t>
        </is>
      </c>
      <c r="O220" t="inlineStr">
        <is>
          <t>result</t>
        </is>
      </c>
      <c r="P220" t="inlineStr">
        <is>
          <t>Результат расчёта или служебное поле</t>
        </is>
      </c>
      <c r="R220" t="inlineStr">
        <is>
          <t>35089.200000000004</t>
        </is>
      </c>
      <c r="T220" t="inlineStr">
        <is>
          <t>создаётся при каждом calc()</t>
        </is>
      </c>
      <c r="U220" t="inlineStr">
        <is>
          <t>d.aqC</t>
        </is>
      </c>
      <c r="V220" t="inlineStr">
        <is>
          <t>Налоги и банк</t>
        </is>
      </c>
      <c r="W220" t="inlineStr">
        <is>
          <t>Налоги и банк</t>
        </is>
      </c>
      <c r="Z220" t="inlineStr">
        <is>
          <t>report.html / детализация</t>
        </is>
      </c>
      <c r="AA220" t="inlineStr">
        <is>
          <t>НЕТ — добавить в глоссарий</t>
        </is>
      </c>
      <c r="AB220" s="229" t="inlineStr">
        <is>
          <t>RULE-001; RULE-002; RULE-014</t>
        </is>
      </c>
    </row>
    <row r="221">
      <c r="A221" t="inlineStr">
        <is>
          <t>159</t>
        </is>
      </c>
      <c r="B221" t="inlineStr">
        <is>
          <t>PAGE-MODEL</t>
        </is>
      </c>
      <c r="C221" t="inlineStr">
        <is>
          <t>Модель · calc()</t>
        </is>
      </c>
      <c r="D221" t="inlineStr">
        <is>
          <t>8</t>
        </is>
      </c>
      <c r="E221" t="inlineStr">
        <is>
          <t>MODEL-08</t>
        </is>
      </c>
      <c r="F221" t="inlineStr">
        <is>
          <t>—</t>
        </is>
      </c>
      <c r="G221" t="inlineStr">
        <is>
          <t>Налоги и банк</t>
        </is>
      </c>
      <c r="H221" t="inlineStr">
        <is>
          <t>CALC-RESULT</t>
        </is>
      </c>
      <c r="I221" t="inlineStr">
        <is>
          <t>Результаты calc()</t>
        </is>
      </c>
      <c r="J221" t="inlineStr">
        <is>
          <t>RES-taxB</t>
        </is>
      </c>
      <c r="K221" t="inlineStr">
        <is>
          <t>d.taxB</t>
        </is>
      </c>
      <c r="L221" t="inlineStr">
        <is>
          <t>taxB</t>
        </is>
      </c>
      <c r="M221" t="inlineStr">
        <is>
          <t>taxB</t>
        </is>
      </c>
      <c r="N221" t="inlineStr">
        <is>
          <t>result</t>
        </is>
      </c>
      <c r="O221" t="inlineStr">
        <is>
          <t>result</t>
        </is>
      </c>
      <c r="P221" t="inlineStr">
        <is>
          <t>Результат расчёта или служебное поле</t>
        </is>
      </c>
      <c r="R221" t="inlineStr">
        <is>
          <t>30480.378166434508</t>
        </is>
      </c>
      <c r="T221" t="inlineStr">
        <is>
          <t>создаётся при каждом calc()</t>
        </is>
      </c>
      <c r="U221" t="inlineStr">
        <is>
          <t>d.taxB</t>
        </is>
      </c>
      <c r="V221" t="inlineStr">
        <is>
          <t>Налоги и банк</t>
        </is>
      </c>
      <c r="W221" t="inlineStr">
        <is>
          <t>Налоги и банк</t>
        </is>
      </c>
      <c r="Z221" t="inlineStr">
        <is>
          <t>report.html / детализация</t>
        </is>
      </c>
      <c r="AA221" t="inlineStr">
        <is>
          <t>НЕТ — добавить в глоссарий</t>
        </is>
      </c>
      <c r="AB221" s="229" t="inlineStr">
        <is>
          <t>RULE-001; RULE-002; RULE-016; RULE-017</t>
        </is>
      </c>
    </row>
    <row r="222">
      <c r="A222" t="inlineStr">
        <is>
          <t>160</t>
        </is>
      </c>
      <c r="B222" t="inlineStr">
        <is>
          <t>PAGE-MODEL</t>
        </is>
      </c>
      <c r="C222" t="inlineStr">
        <is>
          <t>Модель · calc()</t>
        </is>
      </c>
      <c r="D222" t="inlineStr">
        <is>
          <t>8</t>
        </is>
      </c>
      <c r="E222" t="inlineStr">
        <is>
          <t>MODEL-08</t>
        </is>
      </c>
      <c r="F222" t="inlineStr">
        <is>
          <t>—</t>
        </is>
      </c>
      <c r="G222" t="inlineStr">
        <is>
          <t>Налоги и банк</t>
        </is>
      </c>
      <c r="H222" t="inlineStr">
        <is>
          <t>CALC-RESULT</t>
        </is>
      </c>
      <c r="I222" t="inlineStr">
        <is>
          <t>Результаты calc()</t>
        </is>
      </c>
      <c r="J222" t="inlineStr">
        <is>
          <t>RES-aqB</t>
        </is>
      </c>
      <c r="K222" t="inlineStr">
        <is>
          <t>d.aqB</t>
        </is>
      </c>
      <c r="L222" t="inlineStr">
        <is>
          <t>aqB</t>
        </is>
      </c>
      <c r="M222" t="inlineStr">
        <is>
          <t>aqB</t>
        </is>
      </c>
      <c r="N222" t="inlineStr">
        <is>
          <t>result</t>
        </is>
      </c>
      <c r="O222" t="inlineStr">
        <is>
          <t>result</t>
        </is>
      </c>
      <c r="P222" t="inlineStr">
        <is>
          <t>Результат расчёта или служебное поле</t>
        </is>
      </c>
      <c r="R222" t="inlineStr">
        <is>
          <t>16459.404209874636</t>
        </is>
      </c>
      <c r="T222" t="inlineStr">
        <is>
          <t>создаётся при каждом calc()</t>
        </is>
      </c>
      <c r="U222" t="inlineStr">
        <is>
          <t>d.aqB</t>
        </is>
      </c>
      <c r="V222" t="inlineStr">
        <is>
          <t>Налоги и банк</t>
        </is>
      </c>
      <c r="W222" t="inlineStr">
        <is>
          <t>Налоги и банк</t>
        </is>
      </c>
      <c r="Z222" t="inlineStr">
        <is>
          <t>report.html / детализация</t>
        </is>
      </c>
      <c r="AA222" t="inlineStr">
        <is>
          <t>НЕТ — добавить в глоссарий</t>
        </is>
      </c>
      <c r="AB222" s="229" t="inlineStr">
        <is>
          <t>RULE-001; RULE-002; RULE-016</t>
        </is>
      </c>
    </row>
    <row r="223">
      <c r="A223" t="inlineStr">
        <is>
          <t>БЛОК · Резервы [MODEL-09]</t>
        </is>
      </c>
      <c r="AB223" s="229" t="n"/>
    </row>
    <row r="224">
      <c r="A224" t="inlineStr">
        <is>
          <t>№</t>
        </is>
      </c>
      <c r="B224" t="inlineStr">
        <is>
          <t>Страница ID</t>
        </is>
      </c>
      <c r="C224" t="inlineStr">
        <is>
          <t>Страница</t>
        </is>
      </c>
      <c r="D224" t="inlineStr">
        <is>
          <t>Порядок</t>
        </is>
      </c>
      <c r="E224" t="inlineStr">
        <is>
          <t>Блок ID</t>
        </is>
      </c>
      <c r="F224" t="inlineStr">
        <is>
          <t>№ блока</t>
        </is>
      </c>
      <c r="G224" t="inlineStr">
        <is>
          <t>Название блока</t>
        </is>
      </c>
      <c r="H224" t="inlineStr">
        <is>
          <t>Форма ID</t>
        </is>
      </c>
      <c r="I224" t="inlineStr">
        <is>
          <t>Название формы</t>
        </is>
      </c>
      <c r="J224" t="inlineStr">
        <is>
          <t>Поле ID реестра</t>
        </is>
      </c>
      <c r="K224" t="inlineStr">
        <is>
          <t>DOM / код ID</t>
        </is>
      </c>
      <c r="L224" t="inlineStr">
        <is>
          <t>Параметр модели</t>
        </is>
      </c>
      <c r="M224" t="inlineStr">
        <is>
          <t>Наименование поля</t>
        </is>
      </c>
      <c r="N224" t="inlineStr">
        <is>
          <t>Тип поля</t>
        </is>
      </c>
      <c r="O224" t="inlineStr">
        <is>
          <t>Роль</t>
        </is>
      </c>
      <c r="P224" t="inlineStr">
        <is>
          <t>Что вводим / что означает</t>
        </is>
      </c>
      <c r="Q224" t="inlineStr">
        <is>
          <t>Допустимые ответы / варианты</t>
        </is>
      </c>
      <c r="R224" t="inlineStr">
        <is>
          <t>По умолчанию</t>
        </is>
      </c>
      <c r="S224" t="inlineStr">
        <is>
          <t>Единица</t>
        </is>
      </c>
      <c r="T224" t="inlineStr">
        <is>
          <t>Условие показа / включения</t>
        </is>
      </c>
      <c r="U224" t="inlineStr">
        <is>
          <t>Поле результата d</t>
        </is>
      </c>
      <c r="V224" t="inlineStr">
        <is>
          <t>Группа результата</t>
        </is>
      </c>
      <c r="W224" t="inlineStr">
        <is>
          <t>Подгруппа результата</t>
        </is>
      </c>
      <c r="X224" t="inlineStr">
        <is>
          <t>Группа диаграммы</t>
        </is>
      </c>
      <c r="Y224" t="inlineStr">
        <is>
          <t>Формула / источник</t>
        </is>
      </c>
      <c r="Z224" t="inlineStr">
        <is>
          <t>Где выводится</t>
        </is>
      </c>
      <c r="AA224" t="inlineStr">
        <is>
          <t>Тип есть в глоссарии</t>
        </is>
      </c>
      <c r="AB224" s="229" t="inlineStr">
        <is>
          <t>Правило ID</t>
        </is>
      </c>
    </row>
    <row r="225">
      <c r="A225" t="inlineStr">
        <is>
          <t>161</t>
        </is>
      </c>
      <c r="B225" t="inlineStr">
        <is>
          <t>PAGE-MODEL</t>
        </is>
      </c>
      <c r="C225" t="inlineStr">
        <is>
          <t>Модель · calc()</t>
        </is>
      </c>
      <c r="D225" t="inlineStr">
        <is>
          <t>9</t>
        </is>
      </c>
      <c r="E225" t="inlineStr">
        <is>
          <t>MODEL-09</t>
        </is>
      </c>
      <c r="F225" t="inlineStr">
        <is>
          <t>—</t>
        </is>
      </c>
      <c r="G225" t="inlineStr">
        <is>
          <t>Резервы</t>
        </is>
      </c>
      <c r="H225" t="inlineStr">
        <is>
          <t>CALC-RESULT</t>
        </is>
      </c>
      <c r="I225" t="inlineStr">
        <is>
          <t>Результаты calc()</t>
        </is>
      </c>
      <c r="J225" t="inlineStr">
        <is>
          <t>RES-fundY</t>
        </is>
      </c>
      <c r="K225" t="inlineStr">
        <is>
          <t>d.fundY</t>
        </is>
      </c>
      <c r="L225" t="inlineStr">
        <is>
          <t>fundY</t>
        </is>
      </c>
      <c r="M225" t="inlineStr">
        <is>
          <t>fundY</t>
        </is>
      </c>
      <c r="N225" t="inlineStr">
        <is>
          <t>result</t>
        </is>
      </c>
      <c r="O225" t="inlineStr">
        <is>
          <t>result</t>
        </is>
      </c>
      <c r="P225" t="inlineStr">
        <is>
          <t>Результат расчёта или служебное поле</t>
        </is>
      </c>
      <c r="R225" t="inlineStr">
        <is>
          <t>0</t>
        </is>
      </c>
      <c r="T225" t="inlineStr">
        <is>
          <t>создаётся при каждом calc()</t>
        </is>
      </c>
      <c r="U225" t="inlineStr">
        <is>
          <t>d.fundY</t>
        </is>
      </c>
      <c r="V225" t="inlineStr">
        <is>
          <t>Резервы</t>
        </is>
      </c>
      <c r="W225" t="inlineStr">
        <is>
          <t>Фонд развития</t>
        </is>
      </c>
      <c r="X225" t="inlineStr">
        <is>
          <t>Резерв · развитие</t>
        </is>
      </c>
      <c r="Y225" t="inlineStr">
        <is>
          <t>R×fundP</t>
        </is>
      </c>
      <c r="Z225" t="inlineStr">
        <is>
          <t>card01, детализация</t>
        </is>
      </c>
      <c r="AA225" t="inlineStr">
        <is>
          <t>НЕТ — добавить в глоссарий</t>
        </is>
      </c>
      <c r="AB225" s="229" t="inlineStr">
        <is>
          <t>RULE-001; RULE-002; RULE-015; RULE-004</t>
        </is>
      </c>
    </row>
    <row r="226">
      <c r="A226" t="inlineStr">
        <is>
          <t>162</t>
        </is>
      </c>
      <c r="B226" t="inlineStr">
        <is>
          <t>PAGE-MODEL</t>
        </is>
      </c>
      <c r="C226" t="inlineStr">
        <is>
          <t>Модель · calc()</t>
        </is>
      </c>
      <c r="D226" t="inlineStr">
        <is>
          <t>9</t>
        </is>
      </c>
      <c r="E226" t="inlineStr">
        <is>
          <t>MODEL-09</t>
        </is>
      </c>
      <c r="F226" t="inlineStr">
        <is>
          <t>—</t>
        </is>
      </c>
      <c r="G226" t="inlineStr">
        <is>
          <t>Резервы</t>
        </is>
      </c>
      <c r="H226" t="inlineStr">
        <is>
          <t>CALC-RESULT</t>
        </is>
      </c>
      <c r="I226" t="inlineStr">
        <is>
          <t>Результаты calc()</t>
        </is>
      </c>
      <c r="J226" t="inlineStr">
        <is>
          <t>RES-discY</t>
        </is>
      </c>
      <c r="K226" t="inlineStr">
        <is>
          <t>d.discY</t>
        </is>
      </c>
      <c r="L226" t="inlineStr">
        <is>
          <t>discY</t>
        </is>
      </c>
      <c r="M226" t="inlineStr">
        <is>
          <t>discY</t>
        </is>
      </c>
      <c r="N226" t="inlineStr">
        <is>
          <t>result</t>
        </is>
      </c>
      <c r="O226" t="inlineStr">
        <is>
          <t>result</t>
        </is>
      </c>
      <c r="P226" t="inlineStr">
        <is>
          <t>Результат расчёта или служебное поле</t>
        </is>
      </c>
      <c r="R226" t="inlineStr">
        <is>
          <t>0</t>
        </is>
      </c>
      <c r="T226" t="inlineStr">
        <is>
          <t>создаётся при каждом calc()</t>
        </is>
      </c>
      <c r="U226" t="inlineStr">
        <is>
          <t>d.discY</t>
        </is>
      </c>
      <c r="V226" t="inlineStr">
        <is>
          <t>Резервы</t>
        </is>
      </c>
      <c r="W226" t="inlineStr">
        <is>
          <t>Лояльность</t>
        </is>
      </c>
      <c r="X226" t="inlineStr">
        <is>
          <t>Резерв · лояльность</t>
        </is>
      </c>
      <c r="Y226" t="inlineStr">
        <is>
          <t>R×discP</t>
        </is>
      </c>
      <c r="Z226" t="inlineStr">
        <is>
          <t>card01, card06, детализация</t>
        </is>
      </c>
      <c r="AA226" t="inlineStr">
        <is>
          <t>НЕТ — добавить в глоссарий</t>
        </is>
      </c>
      <c r="AB226" s="229" t="inlineStr">
        <is>
          <t>RULE-001; RULE-002; RULE-015; RULE-004</t>
        </is>
      </c>
    </row>
    <row r="227">
      <c r="A227" t="inlineStr">
        <is>
          <t>163</t>
        </is>
      </c>
      <c r="B227" t="inlineStr">
        <is>
          <t>PAGE-MODEL</t>
        </is>
      </c>
      <c r="C227" t="inlineStr">
        <is>
          <t>Модель · calc()</t>
        </is>
      </c>
      <c r="D227" t="inlineStr">
        <is>
          <t>9</t>
        </is>
      </c>
      <c r="E227" t="inlineStr">
        <is>
          <t>MODEL-09</t>
        </is>
      </c>
      <c r="F227" t="inlineStr">
        <is>
          <t>—</t>
        </is>
      </c>
      <c r="G227" t="inlineStr">
        <is>
          <t>Резервы</t>
        </is>
      </c>
      <c r="H227" t="inlineStr">
        <is>
          <t>CALC-RESULT</t>
        </is>
      </c>
      <c r="I227" t="inlineStr">
        <is>
          <t>Результаты calc()</t>
        </is>
      </c>
      <c r="J227" t="inlineStr">
        <is>
          <t>RES-fundP</t>
        </is>
      </c>
      <c r="K227" t="inlineStr">
        <is>
          <t>d.fundP</t>
        </is>
      </c>
      <c r="L227" t="inlineStr">
        <is>
          <t>fundP</t>
        </is>
      </c>
      <c r="M227" t="inlineStr">
        <is>
          <t>fundP</t>
        </is>
      </c>
      <c r="N227" t="inlineStr">
        <is>
          <t>result</t>
        </is>
      </c>
      <c r="O227" t="inlineStr">
        <is>
          <t>result</t>
        </is>
      </c>
      <c r="P227" t="inlineStr">
        <is>
          <t>Результат расчёта или служебное поле</t>
        </is>
      </c>
      <c r="R227" t="inlineStr">
        <is>
          <t>0</t>
        </is>
      </c>
      <c r="T227" t="inlineStr">
        <is>
          <t>создаётся при каждом calc()</t>
        </is>
      </c>
      <c r="U227" t="inlineStr">
        <is>
          <t>d.fundP</t>
        </is>
      </c>
      <c r="V227" t="inlineStr">
        <is>
          <t>Резервы</t>
        </is>
      </c>
      <c r="W227" t="inlineStr">
        <is>
          <t>Резервы</t>
        </is>
      </c>
      <c r="Z227" t="inlineStr">
        <is>
          <t>report.html / детализация</t>
        </is>
      </c>
      <c r="AA227" t="inlineStr">
        <is>
          <t>НЕТ — добавить в глоссарий</t>
        </is>
      </c>
      <c r="AB227" s="229" t="inlineStr">
        <is>
          <t>RULE-001</t>
        </is>
      </c>
    </row>
    <row r="228">
      <c r="A228" t="inlineStr">
        <is>
          <t>164</t>
        </is>
      </c>
      <c r="B228" t="inlineStr">
        <is>
          <t>PAGE-MODEL</t>
        </is>
      </c>
      <c r="C228" t="inlineStr">
        <is>
          <t>Модель · calc()</t>
        </is>
      </c>
      <c r="D228" t="inlineStr">
        <is>
          <t>9</t>
        </is>
      </c>
      <c r="E228" t="inlineStr">
        <is>
          <t>MODEL-09</t>
        </is>
      </c>
      <c r="F228" t="inlineStr">
        <is>
          <t>—</t>
        </is>
      </c>
      <c r="G228" t="inlineStr">
        <is>
          <t>Резервы</t>
        </is>
      </c>
      <c r="H228" t="inlineStr">
        <is>
          <t>CALC-RESULT</t>
        </is>
      </c>
      <c r="I228" t="inlineStr">
        <is>
          <t>Результаты calc()</t>
        </is>
      </c>
      <c r="J228" t="inlineStr">
        <is>
          <t>RES-discP</t>
        </is>
      </c>
      <c r="K228" t="inlineStr">
        <is>
          <t>d.discP</t>
        </is>
      </c>
      <c r="L228" t="inlineStr">
        <is>
          <t>discP</t>
        </is>
      </c>
      <c r="M228" t="inlineStr">
        <is>
          <t>discP</t>
        </is>
      </c>
      <c r="N228" t="inlineStr">
        <is>
          <t>result</t>
        </is>
      </c>
      <c r="O228" t="inlineStr">
        <is>
          <t>result</t>
        </is>
      </c>
      <c r="P228" t="inlineStr">
        <is>
          <t>Результат расчёта или служебное поле</t>
        </is>
      </c>
      <c r="R228" t="inlineStr">
        <is>
          <t>0</t>
        </is>
      </c>
      <c r="T228" t="inlineStr">
        <is>
          <t>создаётся при каждом calc()</t>
        </is>
      </c>
      <c r="U228" t="inlineStr">
        <is>
          <t>d.discP</t>
        </is>
      </c>
      <c r="V228" t="inlineStr">
        <is>
          <t>Резервы</t>
        </is>
      </c>
      <c r="W228" t="inlineStr">
        <is>
          <t>Резервы</t>
        </is>
      </c>
      <c r="Z228" t="inlineStr">
        <is>
          <t>report.html / детализация</t>
        </is>
      </c>
      <c r="AA228" t="inlineStr">
        <is>
          <t>НЕТ — добавить в глоссарий</t>
        </is>
      </c>
      <c r="AB228" s="229" t="inlineStr">
        <is>
          <t>RULE-001</t>
        </is>
      </c>
    </row>
    <row r="229">
      <c r="A229" t="inlineStr">
        <is>
          <t>БЛОК · Загрузка [MODEL-10]</t>
        </is>
      </c>
      <c r="AB229" s="229" t="n"/>
    </row>
    <row r="230">
      <c r="A230" t="inlineStr">
        <is>
          <t>№</t>
        </is>
      </c>
      <c r="B230" t="inlineStr">
        <is>
          <t>Страница ID</t>
        </is>
      </c>
      <c r="C230" t="inlineStr">
        <is>
          <t>Страница</t>
        </is>
      </c>
      <c r="D230" t="inlineStr">
        <is>
          <t>Порядок</t>
        </is>
      </c>
      <c r="E230" t="inlineStr">
        <is>
          <t>Блок ID</t>
        </is>
      </c>
      <c r="F230" t="inlineStr">
        <is>
          <t>№ блока</t>
        </is>
      </c>
      <c r="G230" t="inlineStr">
        <is>
          <t>Название блока</t>
        </is>
      </c>
      <c r="H230" t="inlineStr">
        <is>
          <t>Форма ID</t>
        </is>
      </c>
      <c r="I230" t="inlineStr">
        <is>
          <t>Название формы</t>
        </is>
      </c>
      <c r="J230" t="inlineStr">
        <is>
          <t>Поле ID реестра</t>
        </is>
      </c>
      <c r="K230" t="inlineStr">
        <is>
          <t>DOM / код ID</t>
        </is>
      </c>
      <c r="L230" t="inlineStr">
        <is>
          <t>Параметр модели</t>
        </is>
      </c>
      <c r="M230" t="inlineStr">
        <is>
          <t>Наименование поля</t>
        </is>
      </c>
      <c r="N230" t="inlineStr">
        <is>
          <t>Тип поля</t>
        </is>
      </c>
      <c r="O230" t="inlineStr">
        <is>
          <t>Роль</t>
        </is>
      </c>
      <c r="P230" t="inlineStr">
        <is>
          <t>Что вводим / что означает</t>
        </is>
      </c>
      <c r="Q230" t="inlineStr">
        <is>
          <t>Допустимые ответы / варианты</t>
        </is>
      </c>
      <c r="R230" t="inlineStr">
        <is>
          <t>По умолчанию</t>
        </is>
      </c>
      <c r="S230" t="inlineStr">
        <is>
          <t>Единица</t>
        </is>
      </c>
      <c r="T230" t="inlineStr">
        <is>
          <t>Условие показа / включения</t>
        </is>
      </c>
      <c r="U230" t="inlineStr">
        <is>
          <t>Поле результата d</t>
        </is>
      </c>
      <c r="V230" t="inlineStr">
        <is>
          <t>Группа результата</t>
        </is>
      </c>
      <c r="W230" t="inlineStr">
        <is>
          <t>Подгруппа результата</t>
        </is>
      </c>
      <c r="X230" t="inlineStr">
        <is>
          <t>Группа диаграммы</t>
        </is>
      </c>
      <c r="Y230" t="inlineStr">
        <is>
          <t>Формула / источник</t>
        </is>
      </c>
      <c r="Z230" t="inlineStr">
        <is>
          <t>Где выводится</t>
        </is>
      </c>
      <c r="AA230" t="inlineStr">
        <is>
          <t>Тип есть в глоссарии</t>
        </is>
      </c>
      <c r="AB230" s="229" t="inlineStr">
        <is>
          <t>Правило ID</t>
        </is>
      </c>
    </row>
    <row r="231">
      <c r="A231" t="inlineStr">
        <is>
          <t>165</t>
        </is>
      </c>
      <c r="B231" t="inlineStr">
        <is>
          <t>PAGE-MODEL</t>
        </is>
      </c>
      <c r="C231" t="inlineStr">
        <is>
          <t>Модель · calc()</t>
        </is>
      </c>
      <c r="D231" t="inlineStr">
        <is>
          <t>10</t>
        </is>
      </c>
      <c r="E231" t="inlineStr">
        <is>
          <t>MODEL-10</t>
        </is>
      </c>
      <c r="F231" t="inlineStr">
        <is>
          <t>—</t>
        </is>
      </c>
      <c r="G231" t="inlineStr">
        <is>
          <t>Загрузка</t>
        </is>
      </c>
      <c r="H231" t="inlineStr">
        <is>
          <t>CALC-RESULT</t>
        </is>
      </c>
      <c r="I231" t="inlineStr">
        <is>
          <t>Результаты calc()</t>
        </is>
      </c>
      <c r="J231" t="inlineStr">
        <is>
          <t>RES-loadGoal</t>
        </is>
      </c>
      <c r="K231" t="inlineStr">
        <is>
          <t>d.loadGoal</t>
        </is>
      </c>
      <c r="L231" t="inlineStr">
        <is>
          <t>loadGoal</t>
        </is>
      </c>
      <c r="M231" t="inlineStr">
        <is>
          <t>loadGoal</t>
        </is>
      </c>
      <c r="N231" t="inlineStr">
        <is>
          <t>result</t>
        </is>
      </c>
      <c r="O231" t="inlineStr">
        <is>
          <t>result</t>
        </is>
      </c>
      <c r="P231" t="inlineStr">
        <is>
          <t>Результат расчёта или служебное поле</t>
        </is>
      </c>
      <c r="R231" t="inlineStr">
        <is>
          <t>{"shoots": 216.60000000000002, "hours": 1533, "days": 219, "freeDays": 146, "dayHours": 7, "shootsPerDay": 0.9890410958904111}</t>
        </is>
      </c>
      <c r="T231" t="inlineStr">
        <is>
          <t>создаётся при каждом calc()</t>
        </is>
      </c>
      <c r="U231" t="inlineStr">
        <is>
          <t>d.loadGoal</t>
        </is>
      </c>
      <c r="V231" t="inlineStr">
        <is>
          <t>Загрузка</t>
        </is>
      </c>
      <c r="W231" t="inlineStr">
        <is>
          <t>Загрузка</t>
        </is>
      </c>
      <c r="Z231" t="inlineStr">
        <is>
          <t>report.html / детализация</t>
        </is>
      </c>
      <c r="AA231" t="inlineStr">
        <is>
          <t>НЕТ — добавить в глоссарий</t>
        </is>
      </c>
      <c r="AB231" s="229" t="inlineStr">
        <is>
          <t>RULE-001</t>
        </is>
      </c>
    </row>
    <row r="232">
      <c r="A232" t="inlineStr">
        <is>
          <t>166</t>
        </is>
      </c>
      <c r="B232" t="inlineStr">
        <is>
          <t>PAGE-MODEL</t>
        </is>
      </c>
      <c r="C232" t="inlineStr">
        <is>
          <t>Модель · calc()</t>
        </is>
      </c>
      <c r="D232" t="inlineStr">
        <is>
          <t>10</t>
        </is>
      </c>
      <c r="E232" t="inlineStr">
        <is>
          <t>MODEL-10</t>
        </is>
      </c>
      <c r="F232" t="inlineStr">
        <is>
          <t>—</t>
        </is>
      </c>
      <c r="G232" t="inlineStr">
        <is>
          <t>Загрузка</t>
        </is>
      </c>
      <c r="H232" t="inlineStr">
        <is>
          <t>CALC-RESULT</t>
        </is>
      </c>
      <c r="I232" t="inlineStr">
        <is>
          <t>Результаты calc()</t>
        </is>
      </c>
      <c r="J232" t="inlineStr">
        <is>
          <t>RES-loadCur</t>
        </is>
      </c>
      <c r="K232" t="inlineStr">
        <is>
          <t>d.loadCur</t>
        </is>
      </c>
      <c r="L232" t="inlineStr">
        <is>
          <t>loadCur</t>
        </is>
      </c>
      <c r="M232" t="inlineStr">
        <is>
          <t>loadCur</t>
        </is>
      </c>
      <c r="N232" t="inlineStr">
        <is>
          <t>result</t>
        </is>
      </c>
      <c r="O232" t="inlineStr">
        <is>
          <t>result</t>
        </is>
      </c>
      <c r="P232" t="inlineStr">
        <is>
          <t>Результат расчёта или служебное поле</t>
        </is>
      </c>
      <c r="R232" t="inlineStr">
        <is>
          <t>{"shoots": 340.4224956577069, "hours": 2152.1124782885345, "days": 307.4446397555049, "freeDays": 57.55536024449509, "dayHours": 9.826997617755865, "shootsPerDay": 1.55444061944…</t>
        </is>
      </c>
      <c r="T232" t="inlineStr">
        <is>
          <t>создаётся при каждом calc()</t>
        </is>
      </c>
      <c r="U232" t="inlineStr">
        <is>
          <t>d.loadCur</t>
        </is>
      </c>
      <c r="V232" t="inlineStr">
        <is>
          <t>Загрузка</t>
        </is>
      </c>
      <c r="W232" t="inlineStr">
        <is>
          <t>Загрузка</t>
        </is>
      </c>
      <c r="Z232" t="inlineStr">
        <is>
          <t>report.html / детализация</t>
        </is>
      </c>
      <c r="AA232" t="inlineStr">
        <is>
          <t>НЕТ — добавить в глоссарий</t>
        </is>
      </c>
      <c r="AB232" s="229" t="inlineStr">
        <is>
          <t>RULE-001</t>
        </is>
      </c>
    </row>
    <row r="233">
      <c r="A233" t="inlineStr">
        <is>
          <t>167</t>
        </is>
      </c>
      <c r="B233" t="inlineStr">
        <is>
          <t>PAGE-MODEL</t>
        </is>
      </c>
      <c r="C233" t="inlineStr">
        <is>
          <t>Модель · calc()</t>
        </is>
      </c>
      <c r="D233" t="inlineStr">
        <is>
          <t>10</t>
        </is>
      </c>
      <c r="E233" t="inlineStr">
        <is>
          <t>MODEL-10</t>
        </is>
      </c>
      <c r="F233" t="inlineStr">
        <is>
          <t>—</t>
        </is>
      </c>
      <c r="G233" t="inlineStr">
        <is>
          <t>Загрузка</t>
        </is>
      </c>
      <c r="H233" t="inlineStr">
        <is>
          <t>CALC-RESULT</t>
        </is>
      </c>
      <c r="I233" t="inlineStr">
        <is>
          <t>Результаты calc()</t>
        </is>
      </c>
      <c r="J233" t="inlineStr">
        <is>
          <t>RES-loadZero</t>
        </is>
      </c>
      <c r="K233" t="inlineStr">
        <is>
          <t>d.loadZero</t>
        </is>
      </c>
      <c r="L233" t="inlineStr">
        <is>
          <t>loadZero</t>
        </is>
      </c>
      <c r="M233" t="inlineStr">
        <is>
          <t>loadZero</t>
        </is>
      </c>
      <c r="N233" t="inlineStr">
        <is>
          <t>result</t>
        </is>
      </c>
      <c r="O233" t="inlineStr">
        <is>
          <t>result</t>
        </is>
      </c>
      <c r="P233" t="inlineStr">
        <is>
          <t>Результат расчёта или служебное поле</t>
        </is>
      </c>
      <c r="R233" t="inlineStr">
        <is>
          <t>{"shoots": 725.7342296427746, "hours": 4078.671148213873, "days": 582.6673068876961, "freeDays": -217.6673068876961, "dayHours": 18.62406916992636, "shootsPerDay": 3.31385492987…</t>
        </is>
      </c>
      <c r="T233" t="inlineStr">
        <is>
          <t>создаётся при каждом calc()</t>
        </is>
      </c>
      <c r="U233" t="inlineStr">
        <is>
          <t>d.loadZero</t>
        </is>
      </c>
      <c r="V233" t="inlineStr">
        <is>
          <t>Загрузка</t>
        </is>
      </c>
      <c r="W233" t="inlineStr">
        <is>
          <t>Загрузка</t>
        </is>
      </c>
      <c r="Z233" t="inlineStr">
        <is>
          <t>report.html / детализация</t>
        </is>
      </c>
      <c r="AA233" t="inlineStr">
        <is>
          <t>НЕТ — добавить в глоссарий</t>
        </is>
      </c>
      <c r="AB233" s="229" t="inlineStr">
        <is>
          <t>RULE-001</t>
        </is>
      </c>
    </row>
    <row r="234">
      <c r="A234" t="inlineStr">
        <is>
          <t>БЛОК · Загрузка [MODEL-LOAD]</t>
        </is>
      </c>
      <c r="AB234" s="229" t="n"/>
    </row>
    <row r="235">
      <c r="A235" t="inlineStr">
        <is>
          <t>№</t>
        </is>
      </c>
      <c r="B235" t="inlineStr">
        <is>
          <t>Страница ID</t>
        </is>
      </c>
      <c r="C235" t="inlineStr">
        <is>
          <t>Страница</t>
        </is>
      </c>
      <c r="D235" t="inlineStr">
        <is>
          <t>Порядок</t>
        </is>
      </c>
      <c r="E235" t="inlineStr">
        <is>
          <t>Блок ID</t>
        </is>
      </c>
      <c r="F235" t="inlineStr">
        <is>
          <t>№ блока</t>
        </is>
      </c>
      <c r="G235" t="inlineStr">
        <is>
          <t>Название блока</t>
        </is>
      </c>
      <c r="H235" t="inlineStr">
        <is>
          <t>Форма ID</t>
        </is>
      </c>
      <c r="I235" t="inlineStr">
        <is>
          <t>Название формы</t>
        </is>
      </c>
      <c r="J235" t="inlineStr">
        <is>
          <t>Поле ID реестра</t>
        </is>
      </c>
      <c r="K235" t="inlineStr">
        <is>
          <t>DOM / код ID</t>
        </is>
      </c>
      <c r="L235" t="inlineStr">
        <is>
          <t>Параметр модели</t>
        </is>
      </c>
      <c r="M235" t="inlineStr">
        <is>
          <t>Наименование поля</t>
        </is>
      </c>
      <c r="N235" t="inlineStr">
        <is>
          <t>Тип поля</t>
        </is>
      </c>
      <c r="O235" t="inlineStr">
        <is>
          <t>Роль</t>
        </is>
      </c>
      <c r="P235" t="inlineStr">
        <is>
          <t>Что вводим / что означает</t>
        </is>
      </c>
      <c r="Q235" t="inlineStr">
        <is>
          <t>Допустимые ответы / варианты</t>
        </is>
      </c>
      <c r="R235" t="inlineStr">
        <is>
          <t>По умолчанию</t>
        </is>
      </c>
      <c r="S235" t="inlineStr">
        <is>
          <t>Единица</t>
        </is>
      </c>
      <c r="T235" t="inlineStr">
        <is>
          <t>Условие показа / включения</t>
        </is>
      </c>
      <c r="U235" t="inlineStr">
        <is>
          <t>Поле результата d</t>
        </is>
      </c>
      <c r="V235" t="inlineStr">
        <is>
          <t>Группа результата</t>
        </is>
      </c>
      <c r="W235" t="inlineStr">
        <is>
          <t>Подгруппа результата</t>
        </is>
      </c>
      <c r="X235" t="inlineStr">
        <is>
          <t>Группа диаграммы</t>
        </is>
      </c>
      <c r="Y235" t="inlineStr">
        <is>
          <t>Формула / источник</t>
        </is>
      </c>
      <c r="Z235" t="inlineStr">
        <is>
          <t>Где выводится</t>
        </is>
      </c>
      <c r="AA235" t="inlineStr">
        <is>
          <t>Тип есть в глоссарии</t>
        </is>
      </c>
      <c r="AB235" s="229" t="inlineStr">
        <is>
          <t>Правило ID</t>
        </is>
      </c>
    </row>
    <row r="236">
      <c r="A236" t="inlineStr">
        <is>
          <t>168</t>
        </is>
      </c>
      <c r="B236" t="inlineStr">
        <is>
          <t>PAGE-MODEL</t>
        </is>
      </c>
      <c r="C236" t="inlineStr">
        <is>
          <t>Модель · calc()</t>
        </is>
      </c>
      <c r="D236" t="inlineStr">
        <is>
          <t>10</t>
        </is>
      </c>
      <c r="E236" t="inlineStr">
        <is>
          <t>MODEL-LOAD</t>
        </is>
      </c>
      <c r="F236" t="inlineStr">
        <is>
          <t>—</t>
        </is>
      </c>
      <c r="G236" t="inlineStr">
        <is>
          <t>Загрузка</t>
        </is>
      </c>
      <c r="H236" t="inlineStr">
        <is>
          <t>CALC-RESULT</t>
        </is>
      </c>
      <c r="I236" t="inlineStr">
        <is>
          <t>Результаты calc()</t>
        </is>
      </c>
      <c r="J236" t="inlineStr">
        <is>
          <t>RES-loadGoal-shoots</t>
        </is>
      </c>
      <c r="K236" t="inlineStr">
        <is>
          <t>d.loadGoal.shoots</t>
        </is>
      </c>
      <c r="L236" t="inlineStr">
        <is>
          <t>loadGoal.shoots</t>
        </is>
      </c>
      <c r="M236" t="inlineStr">
        <is>
          <t>loadGoal: shoots</t>
        </is>
      </c>
      <c r="N236" t="inlineStr">
        <is>
          <t>result</t>
        </is>
      </c>
      <c r="O236" t="inlineStr">
        <is>
          <t>result</t>
        </is>
      </c>
      <c r="P236" t="inlineStr">
        <is>
          <t>Производный показатель загрузки</t>
        </is>
      </c>
      <c r="R236" t="inlineStr">
        <is>
          <t>216.60000000000002</t>
        </is>
      </c>
      <c r="T236" t="inlineStr">
        <is>
          <t>вложенный объект загрузки</t>
        </is>
      </c>
      <c r="U236" t="inlineStr">
        <is>
          <t>d.loadGoal.shoots</t>
        </is>
      </c>
      <c r="V236" t="inlineStr">
        <is>
          <t>Загрузка</t>
        </is>
      </c>
      <c r="W236" t="inlineStr">
        <is>
          <t>loadGoal</t>
        </is>
      </c>
      <c r="Y236" t="inlineStr">
        <is>
          <t>загрузка(ставка)</t>
        </is>
      </c>
      <c r="Z236" t="inlineStr">
        <is>
          <t>детализация 05</t>
        </is>
      </c>
      <c r="AA236" t="inlineStr">
        <is>
          <t>НЕТ — добавить в глоссарий</t>
        </is>
      </c>
      <c r="AB236" s="229" t="inlineStr">
        <is>
          <t>RULE-001</t>
        </is>
      </c>
    </row>
    <row r="237">
      <c r="A237" t="inlineStr">
        <is>
          <t>169</t>
        </is>
      </c>
      <c r="B237" t="inlineStr">
        <is>
          <t>PAGE-MODEL</t>
        </is>
      </c>
      <c r="C237" t="inlineStr">
        <is>
          <t>Модель · calc()</t>
        </is>
      </c>
      <c r="D237" t="inlineStr">
        <is>
          <t>10</t>
        </is>
      </c>
      <c r="E237" t="inlineStr">
        <is>
          <t>MODEL-LOAD</t>
        </is>
      </c>
      <c r="F237" t="inlineStr">
        <is>
          <t>—</t>
        </is>
      </c>
      <c r="G237" t="inlineStr">
        <is>
          <t>Загрузка</t>
        </is>
      </c>
      <c r="H237" t="inlineStr">
        <is>
          <t>CALC-RESULT</t>
        </is>
      </c>
      <c r="I237" t="inlineStr">
        <is>
          <t>Результаты calc()</t>
        </is>
      </c>
      <c r="J237" t="inlineStr">
        <is>
          <t>RES-loadGoal-hours</t>
        </is>
      </c>
      <c r="K237" t="inlineStr">
        <is>
          <t>d.loadGoal.hours</t>
        </is>
      </c>
      <c r="L237" t="inlineStr">
        <is>
          <t>loadGoal.hours</t>
        </is>
      </c>
      <c r="M237" t="inlineStr">
        <is>
          <t>loadGoal: hours</t>
        </is>
      </c>
      <c r="N237" t="inlineStr">
        <is>
          <t>result</t>
        </is>
      </c>
      <c r="O237" t="inlineStr">
        <is>
          <t>result</t>
        </is>
      </c>
      <c r="P237" t="inlineStr">
        <is>
          <t>Производный показатель загрузки</t>
        </is>
      </c>
      <c r="R237" t="inlineStr">
        <is>
          <t>1533</t>
        </is>
      </c>
      <c r="T237" t="inlineStr">
        <is>
          <t>вложенный объект загрузки</t>
        </is>
      </c>
      <c r="U237" t="inlineStr">
        <is>
          <t>d.loadGoal.hours</t>
        </is>
      </c>
      <c r="V237" t="inlineStr">
        <is>
          <t>Загрузка</t>
        </is>
      </c>
      <c r="W237" t="inlineStr">
        <is>
          <t>loadGoal</t>
        </is>
      </c>
      <c r="Y237" t="inlineStr">
        <is>
          <t>загрузка(ставка)</t>
        </is>
      </c>
      <c r="Z237" t="inlineStr">
        <is>
          <t>детализация 05</t>
        </is>
      </c>
      <c r="AA237" t="inlineStr">
        <is>
          <t>НЕТ — добавить в глоссарий</t>
        </is>
      </c>
      <c r="AB237" s="229" t="inlineStr">
        <is>
          <t>RULE-001</t>
        </is>
      </c>
    </row>
    <row r="238">
      <c r="A238" t="inlineStr">
        <is>
          <t>170</t>
        </is>
      </c>
      <c r="B238" t="inlineStr">
        <is>
          <t>PAGE-MODEL</t>
        </is>
      </c>
      <c r="C238" t="inlineStr">
        <is>
          <t>Модель · calc()</t>
        </is>
      </c>
      <c r="D238" t="inlineStr">
        <is>
          <t>10</t>
        </is>
      </c>
      <c r="E238" t="inlineStr">
        <is>
          <t>MODEL-LOAD</t>
        </is>
      </c>
      <c r="F238" t="inlineStr">
        <is>
          <t>—</t>
        </is>
      </c>
      <c r="G238" t="inlineStr">
        <is>
          <t>Загрузка</t>
        </is>
      </c>
      <c r="H238" t="inlineStr">
        <is>
          <t>CALC-RESULT</t>
        </is>
      </c>
      <c r="I238" t="inlineStr">
        <is>
          <t>Результаты calc()</t>
        </is>
      </c>
      <c r="J238" t="inlineStr">
        <is>
          <t>RES-loadGoal-days</t>
        </is>
      </c>
      <c r="K238" t="inlineStr">
        <is>
          <t>d.loadGoal.days</t>
        </is>
      </c>
      <c r="L238" t="inlineStr">
        <is>
          <t>loadGoal.days</t>
        </is>
      </c>
      <c r="M238" t="inlineStr">
        <is>
          <t>loadGoal: days</t>
        </is>
      </c>
      <c r="N238" t="inlineStr">
        <is>
          <t>result</t>
        </is>
      </c>
      <c r="O238" t="inlineStr">
        <is>
          <t>result</t>
        </is>
      </c>
      <c r="P238" t="inlineStr">
        <is>
          <t>Производный показатель загрузки</t>
        </is>
      </c>
      <c r="R238" t="inlineStr">
        <is>
          <t>219</t>
        </is>
      </c>
      <c r="T238" t="inlineStr">
        <is>
          <t>вложенный объект загрузки</t>
        </is>
      </c>
      <c r="U238" t="inlineStr">
        <is>
          <t>d.loadGoal.days</t>
        </is>
      </c>
      <c r="V238" t="inlineStr">
        <is>
          <t>Загрузка</t>
        </is>
      </c>
      <c r="W238" t="inlineStr">
        <is>
          <t>loadGoal</t>
        </is>
      </c>
      <c r="Y238" t="inlineStr">
        <is>
          <t>загрузка(ставка)</t>
        </is>
      </c>
      <c r="Z238" t="inlineStr">
        <is>
          <t>детализация 05</t>
        </is>
      </c>
      <c r="AA238" t="inlineStr">
        <is>
          <t>НЕТ — добавить в глоссарий</t>
        </is>
      </c>
      <c r="AB238" s="229" t="inlineStr">
        <is>
          <t>RULE-001</t>
        </is>
      </c>
    </row>
    <row r="239">
      <c r="A239" t="inlineStr">
        <is>
          <t>171</t>
        </is>
      </c>
      <c r="B239" t="inlineStr">
        <is>
          <t>PAGE-MODEL</t>
        </is>
      </c>
      <c r="C239" t="inlineStr">
        <is>
          <t>Модель · calc()</t>
        </is>
      </c>
      <c r="D239" t="inlineStr">
        <is>
          <t>10</t>
        </is>
      </c>
      <c r="E239" t="inlineStr">
        <is>
          <t>MODEL-LOAD</t>
        </is>
      </c>
      <c r="F239" t="inlineStr">
        <is>
          <t>—</t>
        </is>
      </c>
      <c r="G239" t="inlineStr">
        <is>
          <t>Загрузка</t>
        </is>
      </c>
      <c r="H239" t="inlineStr">
        <is>
          <t>CALC-RESULT</t>
        </is>
      </c>
      <c r="I239" t="inlineStr">
        <is>
          <t>Результаты calc()</t>
        </is>
      </c>
      <c r="J239" t="inlineStr">
        <is>
          <t>RES-loadGoal-freeDays</t>
        </is>
      </c>
      <c r="K239" t="inlineStr">
        <is>
          <t>d.loadGoal.freeDays</t>
        </is>
      </c>
      <c r="L239" t="inlineStr">
        <is>
          <t>loadGoal.freeDays</t>
        </is>
      </c>
      <c r="M239" t="inlineStr">
        <is>
          <t>loadGoal: freeDays</t>
        </is>
      </c>
      <c r="N239" t="inlineStr">
        <is>
          <t>result</t>
        </is>
      </c>
      <c r="O239" t="inlineStr">
        <is>
          <t>result</t>
        </is>
      </c>
      <c r="P239" t="inlineStr">
        <is>
          <t>Производный показатель загрузки</t>
        </is>
      </c>
      <c r="R239" t="inlineStr">
        <is>
          <t>146</t>
        </is>
      </c>
      <c r="T239" t="inlineStr">
        <is>
          <t>вложенный объект загрузки</t>
        </is>
      </c>
      <c r="U239" t="inlineStr">
        <is>
          <t>d.loadGoal.freeDays</t>
        </is>
      </c>
      <c r="V239" t="inlineStr">
        <is>
          <t>Загрузка</t>
        </is>
      </c>
      <c r="W239" t="inlineStr">
        <is>
          <t>loadGoal</t>
        </is>
      </c>
      <c r="Y239" t="inlineStr">
        <is>
          <t>загрузка(ставка)</t>
        </is>
      </c>
      <c r="Z239" t="inlineStr">
        <is>
          <t>детализация 05</t>
        </is>
      </c>
      <c r="AA239" t="inlineStr">
        <is>
          <t>НЕТ — добавить в глоссарий</t>
        </is>
      </c>
      <c r="AB239" s="229" t="inlineStr">
        <is>
          <t>RULE-001</t>
        </is>
      </c>
    </row>
    <row r="240">
      <c r="A240" t="inlineStr">
        <is>
          <t>172</t>
        </is>
      </c>
      <c r="B240" t="inlineStr">
        <is>
          <t>PAGE-MODEL</t>
        </is>
      </c>
      <c r="C240" t="inlineStr">
        <is>
          <t>Модель · calc()</t>
        </is>
      </c>
      <c r="D240" t="inlineStr">
        <is>
          <t>10</t>
        </is>
      </c>
      <c r="E240" t="inlineStr">
        <is>
          <t>MODEL-LOAD</t>
        </is>
      </c>
      <c r="F240" t="inlineStr">
        <is>
          <t>—</t>
        </is>
      </c>
      <c r="G240" t="inlineStr">
        <is>
          <t>Загрузка</t>
        </is>
      </c>
      <c r="H240" t="inlineStr">
        <is>
          <t>CALC-RESULT</t>
        </is>
      </c>
      <c r="I240" t="inlineStr">
        <is>
          <t>Результаты calc()</t>
        </is>
      </c>
      <c r="J240" t="inlineStr">
        <is>
          <t>RES-loadGoal-dayHours</t>
        </is>
      </c>
      <c r="K240" t="inlineStr">
        <is>
          <t>d.loadGoal.dayHours</t>
        </is>
      </c>
      <c r="L240" t="inlineStr">
        <is>
          <t>loadGoal.dayHours</t>
        </is>
      </c>
      <c r="M240" t="inlineStr">
        <is>
          <t>loadGoal: dayHours</t>
        </is>
      </c>
      <c r="N240" t="inlineStr">
        <is>
          <t>result</t>
        </is>
      </c>
      <c r="O240" t="inlineStr">
        <is>
          <t>result</t>
        </is>
      </c>
      <c r="P240" t="inlineStr">
        <is>
          <t>Производный показатель загрузки</t>
        </is>
      </c>
      <c r="R240" t="inlineStr">
        <is>
          <t>7</t>
        </is>
      </c>
      <c r="T240" t="inlineStr">
        <is>
          <t>вложенный объект загрузки</t>
        </is>
      </c>
      <c r="U240" t="inlineStr">
        <is>
          <t>d.loadGoal.dayHours</t>
        </is>
      </c>
      <c r="V240" t="inlineStr">
        <is>
          <t>Загрузка</t>
        </is>
      </c>
      <c r="W240" t="inlineStr">
        <is>
          <t>loadGoal</t>
        </is>
      </c>
      <c r="Y240" t="inlineStr">
        <is>
          <t>загрузка(ставка)</t>
        </is>
      </c>
      <c r="Z240" t="inlineStr">
        <is>
          <t>детализация 05</t>
        </is>
      </c>
      <c r="AA240" t="inlineStr">
        <is>
          <t>НЕТ — добавить в глоссарий</t>
        </is>
      </c>
      <c r="AB240" s="229" t="inlineStr">
        <is>
          <t>RULE-001</t>
        </is>
      </c>
    </row>
    <row r="241">
      <c r="A241" t="inlineStr">
        <is>
          <t>173</t>
        </is>
      </c>
      <c r="B241" t="inlineStr">
        <is>
          <t>PAGE-MODEL</t>
        </is>
      </c>
      <c r="C241" t="inlineStr">
        <is>
          <t>Модель · calc()</t>
        </is>
      </c>
      <c r="D241" t="inlineStr">
        <is>
          <t>10</t>
        </is>
      </c>
      <c r="E241" t="inlineStr">
        <is>
          <t>MODEL-LOAD</t>
        </is>
      </c>
      <c r="F241" t="inlineStr">
        <is>
          <t>—</t>
        </is>
      </c>
      <c r="G241" t="inlineStr">
        <is>
          <t>Загрузка</t>
        </is>
      </c>
      <c r="H241" t="inlineStr">
        <is>
          <t>CALC-RESULT</t>
        </is>
      </c>
      <c r="I241" t="inlineStr">
        <is>
          <t>Результаты calc()</t>
        </is>
      </c>
      <c r="J241" t="inlineStr">
        <is>
          <t>RES-loadGoal-shootsPerDay</t>
        </is>
      </c>
      <c r="K241" t="inlineStr">
        <is>
          <t>d.loadGoal.shootsPerDay</t>
        </is>
      </c>
      <c r="L241" t="inlineStr">
        <is>
          <t>loadGoal.shootsPerDay</t>
        </is>
      </c>
      <c r="M241" t="inlineStr">
        <is>
          <t>loadGoal: shootsPerDay</t>
        </is>
      </c>
      <c r="N241" t="inlineStr">
        <is>
          <t>result</t>
        </is>
      </c>
      <c r="O241" t="inlineStr">
        <is>
          <t>result</t>
        </is>
      </c>
      <c r="P241" t="inlineStr">
        <is>
          <t>Производный показатель загрузки</t>
        </is>
      </c>
      <c r="R241" t="inlineStr">
        <is>
          <t>0.9890410958904111</t>
        </is>
      </c>
      <c r="T241" t="inlineStr">
        <is>
          <t>вложенный объект загрузки</t>
        </is>
      </c>
      <c r="U241" t="inlineStr">
        <is>
          <t>d.loadGoal.shootsPerDay</t>
        </is>
      </c>
      <c r="V241" t="inlineStr">
        <is>
          <t>Загрузка</t>
        </is>
      </c>
      <c r="W241" t="inlineStr">
        <is>
          <t>loadGoal</t>
        </is>
      </c>
      <c r="Y241" t="inlineStr">
        <is>
          <t>загрузка(ставка)</t>
        </is>
      </c>
      <c r="Z241" t="inlineStr">
        <is>
          <t>детализация 05</t>
        </is>
      </c>
      <c r="AA241" t="inlineStr">
        <is>
          <t>НЕТ — добавить в глоссарий</t>
        </is>
      </c>
      <c r="AB241" s="229" t="inlineStr">
        <is>
          <t>RULE-001</t>
        </is>
      </c>
    </row>
    <row r="242">
      <c r="A242" t="inlineStr">
        <is>
          <t>174</t>
        </is>
      </c>
      <c r="B242" t="inlineStr">
        <is>
          <t>PAGE-MODEL</t>
        </is>
      </c>
      <c r="C242" t="inlineStr">
        <is>
          <t>Модель · calc()</t>
        </is>
      </c>
      <c r="D242" t="inlineStr">
        <is>
          <t>10</t>
        </is>
      </c>
      <c r="E242" t="inlineStr">
        <is>
          <t>MODEL-LOAD</t>
        </is>
      </c>
      <c r="F242" t="inlineStr">
        <is>
          <t>—</t>
        </is>
      </c>
      <c r="G242" t="inlineStr">
        <is>
          <t>Загрузка</t>
        </is>
      </c>
      <c r="H242" t="inlineStr">
        <is>
          <t>CALC-RESULT</t>
        </is>
      </c>
      <c r="I242" t="inlineStr">
        <is>
          <t>Результаты calc()</t>
        </is>
      </c>
      <c r="J242" t="inlineStr">
        <is>
          <t>RES-loadCur-shoots</t>
        </is>
      </c>
      <c r="K242" t="inlineStr">
        <is>
          <t>d.loadCur.shoots</t>
        </is>
      </c>
      <c r="L242" t="inlineStr">
        <is>
          <t>loadCur.shoots</t>
        </is>
      </c>
      <c r="M242" t="inlineStr">
        <is>
          <t>loadCur: shoots</t>
        </is>
      </c>
      <c r="N242" t="inlineStr">
        <is>
          <t>result</t>
        </is>
      </c>
      <c r="O242" t="inlineStr">
        <is>
          <t>result</t>
        </is>
      </c>
      <c r="P242" t="inlineStr">
        <is>
          <t>Производный показатель загрузки</t>
        </is>
      </c>
      <c r="R242" t="inlineStr">
        <is>
          <t>340.4224956577069</t>
        </is>
      </c>
      <c r="T242" t="inlineStr">
        <is>
          <t>вложенный объект загрузки</t>
        </is>
      </c>
      <c r="U242" t="inlineStr">
        <is>
          <t>d.loadCur.shoots</t>
        </is>
      </c>
      <c r="V242" t="inlineStr">
        <is>
          <t>Загрузка</t>
        </is>
      </c>
      <c r="W242" t="inlineStr">
        <is>
          <t>loadCur</t>
        </is>
      </c>
      <c r="Y242" t="inlineStr">
        <is>
          <t>загрузка(ставка)</t>
        </is>
      </c>
      <c r="Z242" t="inlineStr">
        <is>
          <t>детализация 05</t>
        </is>
      </c>
      <c r="AA242" t="inlineStr">
        <is>
          <t>НЕТ — добавить в глоссарий</t>
        </is>
      </c>
      <c r="AB242" s="229" t="inlineStr">
        <is>
          <t>RULE-001</t>
        </is>
      </c>
    </row>
    <row r="243">
      <c r="A243" t="inlineStr">
        <is>
          <t>175</t>
        </is>
      </c>
      <c r="B243" t="inlineStr">
        <is>
          <t>PAGE-MODEL</t>
        </is>
      </c>
      <c r="C243" t="inlineStr">
        <is>
          <t>Модель · calc()</t>
        </is>
      </c>
      <c r="D243" t="inlineStr">
        <is>
          <t>10</t>
        </is>
      </c>
      <c r="E243" t="inlineStr">
        <is>
          <t>MODEL-LOAD</t>
        </is>
      </c>
      <c r="F243" t="inlineStr">
        <is>
          <t>—</t>
        </is>
      </c>
      <c r="G243" t="inlineStr">
        <is>
          <t>Загрузка</t>
        </is>
      </c>
      <c r="H243" t="inlineStr">
        <is>
          <t>CALC-RESULT</t>
        </is>
      </c>
      <c r="I243" t="inlineStr">
        <is>
          <t>Результаты calc()</t>
        </is>
      </c>
      <c r="J243" t="inlineStr">
        <is>
          <t>RES-loadCur-hours</t>
        </is>
      </c>
      <c r="K243" t="inlineStr">
        <is>
          <t>d.loadCur.hours</t>
        </is>
      </c>
      <c r="L243" t="inlineStr">
        <is>
          <t>loadCur.hours</t>
        </is>
      </c>
      <c r="M243" t="inlineStr">
        <is>
          <t>loadCur: hours</t>
        </is>
      </c>
      <c r="N243" t="inlineStr">
        <is>
          <t>result</t>
        </is>
      </c>
      <c r="O243" t="inlineStr">
        <is>
          <t>result</t>
        </is>
      </c>
      <c r="P243" t="inlineStr">
        <is>
          <t>Производный показатель загрузки</t>
        </is>
      </c>
      <c r="R243" t="inlineStr">
        <is>
          <t>2152.1124782885345</t>
        </is>
      </c>
      <c r="T243" t="inlineStr">
        <is>
          <t>вложенный объект загрузки</t>
        </is>
      </c>
      <c r="U243" t="inlineStr">
        <is>
          <t>d.loadCur.hours</t>
        </is>
      </c>
      <c r="V243" t="inlineStr">
        <is>
          <t>Загрузка</t>
        </is>
      </c>
      <c r="W243" t="inlineStr">
        <is>
          <t>loadCur</t>
        </is>
      </c>
      <c r="Y243" t="inlineStr">
        <is>
          <t>загрузка(ставка)</t>
        </is>
      </c>
      <c r="Z243" t="inlineStr">
        <is>
          <t>детализация 05</t>
        </is>
      </c>
      <c r="AA243" t="inlineStr">
        <is>
          <t>НЕТ — добавить в глоссарий</t>
        </is>
      </c>
      <c r="AB243" s="229" t="inlineStr">
        <is>
          <t>RULE-001</t>
        </is>
      </c>
    </row>
    <row r="244">
      <c r="A244" t="inlineStr">
        <is>
          <t>176</t>
        </is>
      </c>
      <c r="B244" t="inlineStr">
        <is>
          <t>PAGE-MODEL</t>
        </is>
      </c>
      <c r="C244" t="inlineStr">
        <is>
          <t>Модель · calc()</t>
        </is>
      </c>
      <c r="D244" t="inlineStr">
        <is>
          <t>10</t>
        </is>
      </c>
      <c r="E244" t="inlineStr">
        <is>
          <t>MODEL-LOAD</t>
        </is>
      </c>
      <c r="F244" t="inlineStr">
        <is>
          <t>—</t>
        </is>
      </c>
      <c r="G244" t="inlineStr">
        <is>
          <t>Загрузка</t>
        </is>
      </c>
      <c r="H244" t="inlineStr">
        <is>
          <t>CALC-RESULT</t>
        </is>
      </c>
      <c r="I244" t="inlineStr">
        <is>
          <t>Результаты calc()</t>
        </is>
      </c>
      <c r="J244" t="inlineStr">
        <is>
          <t>RES-loadCur-days</t>
        </is>
      </c>
      <c r="K244" t="inlineStr">
        <is>
          <t>d.loadCur.days</t>
        </is>
      </c>
      <c r="L244" t="inlineStr">
        <is>
          <t>loadCur.days</t>
        </is>
      </c>
      <c r="M244" t="inlineStr">
        <is>
          <t>loadCur: days</t>
        </is>
      </c>
      <c r="N244" t="inlineStr">
        <is>
          <t>result</t>
        </is>
      </c>
      <c r="O244" t="inlineStr">
        <is>
          <t>result</t>
        </is>
      </c>
      <c r="P244" t="inlineStr">
        <is>
          <t>Производный показатель загрузки</t>
        </is>
      </c>
      <c r="R244" t="inlineStr">
        <is>
          <t>307.4446397555049</t>
        </is>
      </c>
      <c r="T244" t="inlineStr">
        <is>
          <t>вложенный объект загрузки</t>
        </is>
      </c>
      <c r="U244" t="inlineStr">
        <is>
          <t>d.loadCur.days</t>
        </is>
      </c>
      <c r="V244" t="inlineStr">
        <is>
          <t>Загрузка</t>
        </is>
      </c>
      <c r="W244" t="inlineStr">
        <is>
          <t>loadCur</t>
        </is>
      </c>
      <c r="Y244" t="inlineStr">
        <is>
          <t>загрузка(ставка)</t>
        </is>
      </c>
      <c r="Z244" t="inlineStr">
        <is>
          <t>детализация 05</t>
        </is>
      </c>
      <c r="AA244" t="inlineStr">
        <is>
          <t>НЕТ — добавить в глоссарий</t>
        </is>
      </c>
      <c r="AB244" s="229" t="inlineStr">
        <is>
          <t>RULE-001</t>
        </is>
      </c>
    </row>
    <row r="245">
      <c r="A245" t="inlineStr">
        <is>
          <t>177</t>
        </is>
      </c>
      <c r="B245" t="inlineStr">
        <is>
          <t>PAGE-MODEL</t>
        </is>
      </c>
      <c r="C245" t="inlineStr">
        <is>
          <t>Модель · calc()</t>
        </is>
      </c>
      <c r="D245" t="inlineStr">
        <is>
          <t>10</t>
        </is>
      </c>
      <c r="E245" t="inlineStr">
        <is>
          <t>MODEL-LOAD</t>
        </is>
      </c>
      <c r="F245" t="inlineStr">
        <is>
          <t>—</t>
        </is>
      </c>
      <c r="G245" t="inlineStr">
        <is>
          <t>Загрузка</t>
        </is>
      </c>
      <c r="H245" t="inlineStr">
        <is>
          <t>CALC-RESULT</t>
        </is>
      </c>
      <c r="I245" t="inlineStr">
        <is>
          <t>Результаты calc()</t>
        </is>
      </c>
      <c r="J245" t="inlineStr">
        <is>
          <t>RES-loadCur-freeDays</t>
        </is>
      </c>
      <c r="K245" t="inlineStr">
        <is>
          <t>d.loadCur.freeDays</t>
        </is>
      </c>
      <c r="L245" t="inlineStr">
        <is>
          <t>loadCur.freeDays</t>
        </is>
      </c>
      <c r="M245" t="inlineStr">
        <is>
          <t>loadCur: freeDays</t>
        </is>
      </c>
      <c r="N245" t="inlineStr">
        <is>
          <t>result</t>
        </is>
      </c>
      <c r="O245" t="inlineStr">
        <is>
          <t>result</t>
        </is>
      </c>
      <c r="P245" t="inlineStr">
        <is>
          <t>Производный показатель загрузки</t>
        </is>
      </c>
      <c r="R245" t="inlineStr">
        <is>
          <t>57.55536024449509</t>
        </is>
      </c>
      <c r="T245" t="inlineStr">
        <is>
          <t>вложенный объект загрузки</t>
        </is>
      </c>
      <c r="U245" t="inlineStr">
        <is>
          <t>d.loadCur.freeDays</t>
        </is>
      </c>
      <c r="V245" t="inlineStr">
        <is>
          <t>Загрузка</t>
        </is>
      </c>
      <c r="W245" t="inlineStr">
        <is>
          <t>loadCur</t>
        </is>
      </c>
      <c r="Y245" t="inlineStr">
        <is>
          <t>загрузка(ставка)</t>
        </is>
      </c>
      <c r="Z245" t="inlineStr">
        <is>
          <t>детализация 05</t>
        </is>
      </c>
      <c r="AA245" t="inlineStr">
        <is>
          <t>НЕТ — добавить в глоссарий</t>
        </is>
      </c>
      <c r="AB245" s="229" t="inlineStr">
        <is>
          <t>RULE-001</t>
        </is>
      </c>
    </row>
    <row r="246">
      <c r="A246" t="inlineStr">
        <is>
          <t>178</t>
        </is>
      </c>
      <c r="B246" t="inlineStr">
        <is>
          <t>PAGE-MODEL</t>
        </is>
      </c>
      <c r="C246" t="inlineStr">
        <is>
          <t>Модель · calc()</t>
        </is>
      </c>
      <c r="D246" t="inlineStr">
        <is>
          <t>10</t>
        </is>
      </c>
      <c r="E246" t="inlineStr">
        <is>
          <t>MODEL-LOAD</t>
        </is>
      </c>
      <c r="F246" t="inlineStr">
        <is>
          <t>—</t>
        </is>
      </c>
      <c r="G246" t="inlineStr">
        <is>
          <t>Загрузка</t>
        </is>
      </c>
      <c r="H246" t="inlineStr">
        <is>
          <t>CALC-RESULT</t>
        </is>
      </c>
      <c r="I246" t="inlineStr">
        <is>
          <t>Результаты calc()</t>
        </is>
      </c>
      <c r="J246" t="inlineStr">
        <is>
          <t>RES-loadCur-dayHours</t>
        </is>
      </c>
      <c r="K246" t="inlineStr">
        <is>
          <t>d.loadCur.dayHours</t>
        </is>
      </c>
      <c r="L246" t="inlineStr">
        <is>
          <t>loadCur.dayHours</t>
        </is>
      </c>
      <c r="M246" t="inlineStr">
        <is>
          <t>loadCur: dayHours</t>
        </is>
      </c>
      <c r="N246" t="inlineStr">
        <is>
          <t>result</t>
        </is>
      </c>
      <c r="O246" t="inlineStr">
        <is>
          <t>result</t>
        </is>
      </c>
      <c r="P246" t="inlineStr">
        <is>
          <t>Производный показатель загрузки</t>
        </is>
      </c>
      <c r="R246" t="inlineStr">
        <is>
          <t>9.826997617755865</t>
        </is>
      </c>
      <c r="T246" t="inlineStr">
        <is>
          <t>вложенный объект загрузки</t>
        </is>
      </c>
      <c r="U246" t="inlineStr">
        <is>
          <t>d.loadCur.dayHours</t>
        </is>
      </c>
      <c r="V246" t="inlineStr">
        <is>
          <t>Загрузка</t>
        </is>
      </c>
      <c r="W246" t="inlineStr">
        <is>
          <t>loadCur</t>
        </is>
      </c>
      <c r="Y246" t="inlineStr">
        <is>
          <t>загрузка(ставка)</t>
        </is>
      </c>
      <c r="Z246" t="inlineStr">
        <is>
          <t>детализация 05</t>
        </is>
      </c>
      <c r="AA246" t="inlineStr">
        <is>
          <t>НЕТ — добавить в глоссарий</t>
        </is>
      </c>
      <c r="AB246" s="229" t="inlineStr">
        <is>
          <t>RULE-001</t>
        </is>
      </c>
    </row>
    <row r="247">
      <c r="A247" t="inlineStr">
        <is>
          <t>179</t>
        </is>
      </c>
      <c r="B247" t="inlineStr">
        <is>
          <t>PAGE-MODEL</t>
        </is>
      </c>
      <c r="C247" t="inlineStr">
        <is>
          <t>Модель · calc()</t>
        </is>
      </c>
      <c r="D247" t="inlineStr">
        <is>
          <t>10</t>
        </is>
      </c>
      <c r="E247" t="inlineStr">
        <is>
          <t>MODEL-LOAD</t>
        </is>
      </c>
      <c r="F247" t="inlineStr">
        <is>
          <t>—</t>
        </is>
      </c>
      <c r="G247" t="inlineStr">
        <is>
          <t>Загрузка</t>
        </is>
      </c>
      <c r="H247" t="inlineStr">
        <is>
          <t>CALC-RESULT</t>
        </is>
      </c>
      <c r="I247" t="inlineStr">
        <is>
          <t>Результаты calc()</t>
        </is>
      </c>
      <c r="J247" t="inlineStr">
        <is>
          <t>RES-loadCur-shootsPerDay</t>
        </is>
      </c>
      <c r="K247" t="inlineStr">
        <is>
          <t>d.loadCur.shootsPerDay</t>
        </is>
      </c>
      <c r="L247" t="inlineStr">
        <is>
          <t>loadCur.shootsPerDay</t>
        </is>
      </c>
      <c r="M247" t="inlineStr">
        <is>
          <t>loadCur: shootsPerDay</t>
        </is>
      </c>
      <c r="N247" t="inlineStr">
        <is>
          <t>result</t>
        </is>
      </c>
      <c r="O247" t="inlineStr">
        <is>
          <t>result</t>
        </is>
      </c>
      <c r="P247" t="inlineStr">
        <is>
          <t>Производный показатель загрузки</t>
        </is>
      </c>
      <c r="R247" t="inlineStr">
        <is>
          <t>1.554440619441584</t>
        </is>
      </c>
      <c r="T247" t="inlineStr">
        <is>
          <t>вложенный объект загрузки</t>
        </is>
      </c>
      <c r="U247" t="inlineStr">
        <is>
          <t>d.loadCur.shootsPerDay</t>
        </is>
      </c>
      <c r="V247" t="inlineStr">
        <is>
          <t>Загрузка</t>
        </is>
      </c>
      <c r="W247" t="inlineStr">
        <is>
          <t>loadCur</t>
        </is>
      </c>
      <c r="Y247" t="inlineStr">
        <is>
          <t>загрузка(ставка)</t>
        </is>
      </c>
      <c r="Z247" t="inlineStr">
        <is>
          <t>детализация 05</t>
        </is>
      </c>
      <c r="AA247" t="inlineStr">
        <is>
          <t>НЕТ — добавить в глоссарий</t>
        </is>
      </c>
      <c r="AB247" s="229" t="inlineStr">
        <is>
          <t>RULE-001</t>
        </is>
      </c>
    </row>
    <row r="248">
      <c r="A248" t="inlineStr">
        <is>
          <t>180</t>
        </is>
      </c>
      <c r="B248" t="inlineStr">
        <is>
          <t>PAGE-MODEL</t>
        </is>
      </c>
      <c r="C248" t="inlineStr">
        <is>
          <t>Модель · calc()</t>
        </is>
      </c>
      <c r="D248" t="inlineStr">
        <is>
          <t>10</t>
        </is>
      </c>
      <c r="E248" t="inlineStr">
        <is>
          <t>MODEL-LOAD</t>
        </is>
      </c>
      <c r="F248" t="inlineStr">
        <is>
          <t>—</t>
        </is>
      </c>
      <c r="G248" t="inlineStr">
        <is>
          <t>Загрузка</t>
        </is>
      </c>
      <c r="H248" t="inlineStr">
        <is>
          <t>CALC-RESULT</t>
        </is>
      </c>
      <c r="I248" t="inlineStr">
        <is>
          <t>Результаты calc()</t>
        </is>
      </c>
      <c r="J248" t="inlineStr">
        <is>
          <t>RES-loadZero-shoots</t>
        </is>
      </c>
      <c r="K248" t="inlineStr">
        <is>
          <t>d.loadZero.shoots</t>
        </is>
      </c>
      <c r="L248" t="inlineStr">
        <is>
          <t>loadZero.shoots</t>
        </is>
      </c>
      <c r="M248" t="inlineStr">
        <is>
          <t>loadZero: shoots</t>
        </is>
      </c>
      <c r="N248" t="inlineStr">
        <is>
          <t>result</t>
        </is>
      </c>
      <c r="O248" t="inlineStr">
        <is>
          <t>result</t>
        </is>
      </c>
      <c r="P248" t="inlineStr">
        <is>
          <t>Производный показатель загрузки</t>
        </is>
      </c>
      <c r="R248" t="inlineStr">
        <is>
          <t>725.7342296427746</t>
        </is>
      </c>
      <c r="T248" t="inlineStr">
        <is>
          <t>вложенный объект загрузки</t>
        </is>
      </c>
      <c r="U248" t="inlineStr">
        <is>
          <t>d.loadZero.shoots</t>
        </is>
      </c>
      <c r="V248" t="inlineStr">
        <is>
          <t>Загрузка</t>
        </is>
      </c>
      <c r="W248" t="inlineStr">
        <is>
          <t>loadZero</t>
        </is>
      </c>
      <c r="Y248" t="inlineStr">
        <is>
          <t>загрузка(ставка)</t>
        </is>
      </c>
      <c r="Z248" t="inlineStr">
        <is>
          <t>детализация 05</t>
        </is>
      </c>
      <c r="AA248" t="inlineStr">
        <is>
          <t>НЕТ — добавить в глоссарий</t>
        </is>
      </c>
      <c r="AB248" s="229" t="inlineStr">
        <is>
          <t>RULE-001</t>
        </is>
      </c>
    </row>
    <row r="249">
      <c r="A249" t="inlineStr">
        <is>
          <t>181</t>
        </is>
      </c>
      <c r="B249" t="inlineStr">
        <is>
          <t>PAGE-MODEL</t>
        </is>
      </c>
      <c r="C249" t="inlineStr">
        <is>
          <t>Модель · calc()</t>
        </is>
      </c>
      <c r="D249" t="inlineStr">
        <is>
          <t>10</t>
        </is>
      </c>
      <c r="E249" t="inlineStr">
        <is>
          <t>MODEL-LOAD</t>
        </is>
      </c>
      <c r="F249" t="inlineStr">
        <is>
          <t>—</t>
        </is>
      </c>
      <c r="G249" t="inlineStr">
        <is>
          <t>Загрузка</t>
        </is>
      </c>
      <c r="H249" t="inlineStr">
        <is>
          <t>CALC-RESULT</t>
        </is>
      </c>
      <c r="I249" t="inlineStr">
        <is>
          <t>Результаты calc()</t>
        </is>
      </c>
      <c r="J249" t="inlineStr">
        <is>
          <t>RES-loadZero-hours</t>
        </is>
      </c>
      <c r="K249" t="inlineStr">
        <is>
          <t>d.loadZero.hours</t>
        </is>
      </c>
      <c r="L249" t="inlineStr">
        <is>
          <t>loadZero.hours</t>
        </is>
      </c>
      <c r="M249" t="inlineStr">
        <is>
          <t>loadZero: hours</t>
        </is>
      </c>
      <c r="N249" t="inlineStr">
        <is>
          <t>result</t>
        </is>
      </c>
      <c r="O249" t="inlineStr">
        <is>
          <t>result</t>
        </is>
      </c>
      <c r="P249" t="inlineStr">
        <is>
          <t>Производный показатель загрузки</t>
        </is>
      </c>
      <c r="R249" t="inlineStr">
        <is>
          <t>4078.671148213873</t>
        </is>
      </c>
      <c r="T249" t="inlineStr">
        <is>
          <t>вложенный объект загрузки</t>
        </is>
      </c>
      <c r="U249" t="inlineStr">
        <is>
          <t>d.loadZero.hours</t>
        </is>
      </c>
      <c r="V249" t="inlineStr">
        <is>
          <t>Загрузка</t>
        </is>
      </c>
      <c r="W249" t="inlineStr">
        <is>
          <t>loadZero</t>
        </is>
      </c>
      <c r="Y249" t="inlineStr">
        <is>
          <t>загрузка(ставка)</t>
        </is>
      </c>
      <c r="Z249" t="inlineStr">
        <is>
          <t>детализация 05</t>
        </is>
      </c>
      <c r="AA249" t="inlineStr">
        <is>
          <t>НЕТ — добавить в глоссарий</t>
        </is>
      </c>
      <c r="AB249" s="229" t="inlineStr">
        <is>
          <t>RULE-001</t>
        </is>
      </c>
    </row>
    <row r="250">
      <c r="A250" t="inlineStr">
        <is>
          <t>182</t>
        </is>
      </c>
      <c r="B250" t="inlineStr">
        <is>
          <t>PAGE-MODEL</t>
        </is>
      </c>
      <c r="C250" t="inlineStr">
        <is>
          <t>Модель · calc()</t>
        </is>
      </c>
      <c r="D250" t="inlineStr">
        <is>
          <t>10</t>
        </is>
      </c>
      <c r="E250" t="inlineStr">
        <is>
          <t>MODEL-LOAD</t>
        </is>
      </c>
      <c r="F250" t="inlineStr">
        <is>
          <t>—</t>
        </is>
      </c>
      <c r="G250" t="inlineStr">
        <is>
          <t>Загрузка</t>
        </is>
      </c>
      <c r="H250" t="inlineStr">
        <is>
          <t>CALC-RESULT</t>
        </is>
      </c>
      <c r="I250" t="inlineStr">
        <is>
          <t>Результаты calc()</t>
        </is>
      </c>
      <c r="J250" t="inlineStr">
        <is>
          <t>RES-loadZero-days</t>
        </is>
      </c>
      <c r="K250" t="inlineStr">
        <is>
          <t>d.loadZero.days</t>
        </is>
      </c>
      <c r="L250" t="inlineStr">
        <is>
          <t>loadZero.days</t>
        </is>
      </c>
      <c r="M250" t="inlineStr">
        <is>
          <t>loadZero: days</t>
        </is>
      </c>
      <c r="N250" t="inlineStr">
        <is>
          <t>result</t>
        </is>
      </c>
      <c r="O250" t="inlineStr">
        <is>
          <t>result</t>
        </is>
      </c>
      <c r="P250" t="inlineStr">
        <is>
          <t>Производный показатель загрузки</t>
        </is>
      </c>
      <c r="R250" t="inlineStr">
        <is>
          <t>582.6673068876961</t>
        </is>
      </c>
      <c r="T250" t="inlineStr">
        <is>
          <t>вложенный объект загрузки</t>
        </is>
      </c>
      <c r="U250" t="inlineStr">
        <is>
          <t>d.loadZero.days</t>
        </is>
      </c>
      <c r="V250" t="inlineStr">
        <is>
          <t>Загрузка</t>
        </is>
      </c>
      <c r="W250" t="inlineStr">
        <is>
          <t>loadZero</t>
        </is>
      </c>
      <c r="Y250" t="inlineStr">
        <is>
          <t>загрузка(ставка)</t>
        </is>
      </c>
      <c r="Z250" t="inlineStr">
        <is>
          <t>детализация 05</t>
        </is>
      </c>
      <c r="AA250" t="inlineStr">
        <is>
          <t>НЕТ — добавить в глоссарий</t>
        </is>
      </c>
      <c r="AB250" s="229" t="inlineStr">
        <is>
          <t>RULE-001</t>
        </is>
      </c>
    </row>
    <row r="251">
      <c r="A251" t="inlineStr">
        <is>
          <t>183</t>
        </is>
      </c>
      <c r="B251" t="inlineStr">
        <is>
          <t>PAGE-MODEL</t>
        </is>
      </c>
      <c r="C251" t="inlineStr">
        <is>
          <t>Модель · calc()</t>
        </is>
      </c>
      <c r="D251" t="inlineStr">
        <is>
          <t>10</t>
        </is>
      </c>
      <c r="E251" t="inlineStr">
        <is>
          <t>MODEL-LOAD</t>
        </is>
      </c>
      <c r="F251" t="inlineStr">
        <is>
          <t>—</t>
        </is>
      </c>
      <c r="G251" t="inlineStr">
        <is>
          <t>Загрузка</t>
        </is>
      </c>
      <c r="H251" t="inlineStr">
        <is>
          <t>CALC-RESULT</t>
        </is>
      </c>
      <c r="I251" t="inlineStr">
        <is>
          <t>Результаты calc()</t>
        </is>
      </c>
      <c r="J251" t="inlineStr">
        <is>
          <t>RES-loadZero-freeDays</t>
        </is>
      </c>
      <c r="K251" t="inlineStr">
        <is>
          <t>d.loadZero.freeDays</t>
        </is>
      </c>
      <c r="L251" t="inlineStr">
        <is>
          <t>loadZero.freeDays</t>
        </is>
      </c>
      <c r="M251" t="inlineStr">
        <is>
          <t>loadZero: freeDays</t>
        </is>
      </c>
      <c r="N251" t="inlineStr">
        <is>
          <t>result</t>
        </is>
      </c>
      <c r="O251" t="inlineStr">
        <is>
          <t>result</t>
        </is>
      </c>
      <c r="P251" t="inlineStr">
        <is>
          <t>Производный показатель загрузки</t>
        </is>
      </c>
      <c r="R251" t="inlineStr">
        <is>
          <t>-217.6673068876961</t>
        </is>
      </c>
      <c r="T251" t="inlineStr">
        <is>
          <t>вложенный объект загрузки</t>
        </is>
      </c>
      <c r="U251" t="inlineStr">
        <is>
          <t>d.loadZero.freeDays</t>
        </is>
      </c>
      <c r="V251" t="inlineStr">
        <is>
          <t>Загрузка</t>
        </is>
      </c>
      <c r="W251" t="inlineStr">
        <is>
          <t>loadZero</t>
        </is>
      </c>
      <c r="Y251" t="inlineStr">
        <is>
          <t>загрузка(ставка)</t>
        </is>
      </c>
      <c r="Z251" t="inlineStr">
        <is>
          <t>детализация 05</t>
        </is>
      </c>
      <c r="AA251" t="inlineStr">
        <is>
          <t>НЕТ — добавить в глоссарий</t>
        </is>
      </c>
      <c r="AB251" s="229" t="inlineStr">
        <is>
          <t>RULE-001</t>
        </is>
      </c>
    </row>
    <row r="252">
      <c r="A252" t="inlineStr">
        <is>
          <t>184</t>
        </is>
      </c>
      <c r="B252" t="inlineStr">
        <is>
          <t>PAGE-MODEL</t>
        </is>
      </c>
      <c r="C252" t="inlineStr">
        <is>
          <t>Модель · calc()</t>
        </is>
      </c>
      <c r="D252" t="inlineStr">
        <is>
          <t>10</t>
        </is>
      </c>
      <c r="E252" t="inlineStr">
        <is>
          <t>MODEL-LOAD</t>
        </is>
      </c>
      <c r="F252" t="inlineStr">
        <is>
          <t>—</t>
        </is>
      </c>
      <c r="G252" t="inlineStr">
        <is>
          <t>Загрузка</t>
        </is>
      </c>
      <c r="H252" t="inlineStr">
        <is>
          <t>CALC-RESULT</t>
        </is>
      </c>
      <c r="I252" t="inlineStr">
        <is>
          <t>Результаты calc()</t>
        </is>
      </c>
      <c r="J252" t="inlineStr">
        <is>
          <t>RES-loadZero-dayHours</t>
        </is>
      </c>
      <c r="K252" t="inlineStr">
        <is>
          <t>d.loadZero.dayHours</t>
        </is>
      </c>
      <c r="L252" t="inlineStr">
        <is>
          <t>loadZero.dayHours</t>
        </is>
      </c>
      <c r="M252" t="inlineStr">
        <is>
          <t>loadZero: dayHours</t>
        </is>
      </c>
      <c r="N252" t="inlineStr">
        <is>
          <t>result</t>
        </is>
      </c>
      <c r="O252" t="inlineStr">
        <is>
          <t>result</t>
        </is>
      </c>
      <c r="P252" t="inlineStr">
        <is>
          <t>Производный показатель загрузки</t>
        </is>
      </c>
      <c r="R252" t="inlineStr">
        <is>
          <t>18.62406916992636</t>
        </is>
      </c>
      <c r="T252" t="inlineStr">
        <is>
          <t>вложенный объект загрузки</t>
        </is>
      </c>
      <c r="U252" t="inlineStr">
        <is>
          <t>d.loadZero.dayHours</t>
        </is>
      </c>
      <c r="V252" t="inlineStr">
        <is>
          <t>Загрузка</t>
        </is>
      </c>
      <c r="W252" t="inlineStr">
        <is>
          <t>loadZero</t>
        </is>
      </c>
      <c r="Y252" t="inlineStr">
        <is>
          <t>загрузка(ставка)</t>
        </is>
      </c>
      <c r="Z252" t="inlineStr">
        <is>
          <t>детализация 05</t>
        </is>
      </c>
      <c r="AA252" t="inlineStr">
        <is>
          <t>НЕТ — добавить в глоссарий</t>
        </is>
      </c>
      <c r="AB252" s="229" t="inlineStr">
        <is>
          <t>RULE-001</t>
        </is>
      </c>
    </row>
    <row r="253">
      <c r="A253" t="inlineStr">
        <is>
          <t>185</t>
        </is>
      </c>
      <c r="B253" t="inlineStr">
        <is>
          <t>PAGE-MODEL</t>
        </is>
      </c>
      <c r="C253" t="inlineStr">
        <is>
          <t>Модель · calc()</t>
        </is>
      </c>
      <c r="D253" t="inlineStr">
        <is>
          <t>10</t>
        </is>
      </c>
      <c r="E253" t="inlineStr">
        <is>
          <t>MODEL-LOAD</t>
        </is>
      </c>
      <c r="F253" t="inlineStr">
        <is>
          <t>—</t>
        </is>
      </c>
      <c r="G253" t="inlineStr">
        <is>
          <t>Загрузка</t>
        </is>
      </c>
      <c r="H253" t="inlineStr">
        <is>
          <t>CALC-RESULT</t>
        </is>
      </c>
      <c r="I253" t="inlineStr">
        <is>
          <t>Результаты calc()</t>
        </is>
      </c>
      <c r="J253" t="inlineStr">
        <is>
          <t>RES-loadZero-shootsPerDay</t>
        </is>
      </c>
      <c r="K253" t="inlineStr">
        <is>
          <t>d.loadZero.shootsPerDay</t>
        </is>
      </c>
      <c r="L253" t="inlineStr">
        <is>
          <t>loadZero.shootsPerDay</t>
        </is>
      </c>
      <c r="M253" t="inlineStr">
        <is>
          <t>loadZero: shootsPerDay</t>
        </is>
      </c>
      <c r="N253" t="inlineStr">
        <is>
          <t>result</t>
        </is>
      </c>
      <c r="O253" t="inlineStr">
        <is>
          <t>result</t>
        </is>
      </c>
      <c r="P253" t="inlineStr">
        <is>
          <t>Производный показатель загрузки</t>
        </is>
      </c>
      <c r="R253" t="inlineStr">
        <is>
          <t>3.313854929875683</t>
        </is>
      </c>
      <c r="T253" t="inlineStr">
        <is>
          <t>вложенный объект загрузки</t>
        </is>
      </c>
      <c r="U253" t="inlineStr">
        <is>
          <t>d.loadZero.shootsPerDay</t>
        </is>
      </c>
      <c r="V253" t="inlineStr">
        <is>
          <t>Загрузка</t>
        </is>
      </c>
      <c r="W253" t="inlineStr">
        <is>
          <t>loadZero</t>
        </is>
      </c>
      <c r="Y253" t="inlineStr">
        <is>
          <t>загрузка(ставка)</t>
        </is>
      </c>
      <c r="Z253" t="inlineStr">
        <is>
          <t>детализация 05</t>
        </is>
      </c>
      <c r="AA253" t="inlineStr">
        <is>
          <t>НЕТ — добавить в глоссарий</t>
        </is>
      </c>
      <c r="AB253" s="229" t="inlineStr">
        <is>
          <t>RULE-001</t>
        </is>
      </c>
    </row>
    <row r="254">
      <c r="A254" t="inlineStr">
        <is>
          <t>БЛОК · Идеальный сценарий [MODEL-GOAL]</t>
        </is>
      </c>
      <c r="AB254" s="229" t="n"/>
    </row>
    <row r="255">
      <c r="A255" t="inlineStr">
        <is>
          <t>№</t>
        </is>
      </c>
      <c r="B255" t="inlineStr">
        <is>
          <t>Страница ID</t>
        </is>
      </c>
      <c r="C255" t="inlineStr">
        <is>
          <t>Страница</t>
        </is>
      </c>
      <c r="D255" t="inlineStr">
        <is>
          <t>Порядок</t>
        </is>
      </c>
      <c r="E255" t="inlineStr">
        <is>
          <t>Блок ID</t>
        </is>
      </c>
      <c r="F255" t="inlineStr">
        <is>
          <t>№ блока</t>
        </is>
      </c>
      <c r="G255" t="inlineStr">
        <is>
          <t>Название блока</t>
        </is>
      </c>
      <c r="H255" t="inlineStr">
        <is>
          <t>Форма ID</t>
        </is>
      </c>
      <c r="I255" t="inlineStr">
        <is>
          <t>Название формы</t>
        </is>
      </c>
      <c r="J255" t="inlineStr">
        <is>
          <t>Поле ID реестра</t>
        </is>
      </c>
      <c r="K255" t="inlineStr">
        <is>
          <t>DOM / код ID</t>
        </is>
      </c>
      <c r="L255" t="inlineStr">
        <is>
          <t>Параметр модели</t>
        </is>
      </c>
      <c r="M255" t="inlineStr">
        <is>
          <t>Наименование поля</t>
        </is>
      </c>
      <c r="N255" t="inlineStr">
        <is>
          <t>Тип поля</t>
        </is>
      </c>
      <c r="O255" t="inlineStr">
        <is>
          <t>Роль</t>
        </is>
      </c>
      <c r="P255" t="inlineStr">
        <is>
          <t>Что вводим / что означает</t>
        </is>
      </c>
      <c r="Q255" t="inlineStr">
        <is>
          <t>Допустимые ответы / варианты</t>
        </is>
      </c>
      <c r="R255" t="inlineStr">
        <is>
          <t>По умолчанию</t>
        </is>
      </c>
      <c r="S255" t="inlineStr">
        <is>
          <t>Единица</t>
        </is>
      </c>
      <c r="T255" t="inlineStr">
        <is>
          <t>Условие показа / включения</t>
        </is>
      </c>
      <c r="U255" t="inlineStr">
        <is>
          <t>Поле результата d</t>
        </is>
      </c>
      <c r="V255" t="inlineStr">
        <is>
          <t>Группа результата</t>
        </is>
      </c>
      <c r="W255" t="inlineStr">
        <is>
          <t>Подгруппа результата</t>
        </is>
      </c>
      <c r="X255" t="inlineStr">
        <is>
          <t>Группа диаграммы</t>
        </is>
      </c>
      <c r="Y255" t="inlineStr">
        <is>
          <t>Формула / источник</t>
        </is>
      </c>
      <c r="Z255" t="inlineStr">
        <is>
          <t>Где выводится</t>
        </is>
      </c>
      <c r="AA255" t="inlineStr">
        <is>
          <t>Тип есть в глоссарии</t>
        </is>
      </c>
      <c r="AB255" s="229" t="inlineStr">
        <is>
          <t>Правило ID</t>
        </is>
      </c>
    </row>
    <row r="256">
      <c r="A256" t="inlineStr">
        <is>
          <t>186</t>
        </is>
      </c>
      <c r="B256" t="inlineStr">
        <is>
          <t>PAGE-MODEL</t>
        </is>
      </c>
      <c r="C256" t="inlineStr">
        <is>
          <t>Модель · calc()</t>
        </is>
      </c>
      <c r="D256" t="inlineStr">
        <is>
          <t>11</t>
        </is>
      </c>
      <c r="E256" t="inlineStr">
        <is>
          <t>MODEL-GOAL</t>
        </is>
      </c>
      <c r="F256" t="inlineStr">
        <is>
          <t>—</t>
        </is>
      </c>
      <c r="G256" t="inlineStr">
        <is>
          <t>Идеальный сценарий</t>
        </is>
      </c>
      <c r="H256" t="inlineStr">
        <is>
          <t>CALC-RESULT</t>
        </is>
      </c>
      <c r="I256" t="inlineStr">
        <is>
          <t>Результаты calc()</t>
        </is>
      </c>
      <c r="J256" t="inlineStr">
        <is>
          <t>RES-goalFund</t>
        </is>
      </c>
      <c r="K256" t="inlineStr">
        <is>
          <t>d.goalFund</t>
        </is>
      </c>
      <c r="L256" t="inlineStr">
        <is>
          <t>goalFund</t>
        </is>
      </c>
      <c r="M256" t="inlineStr">
        <is>
          <t>Фонд развития — необходимый сценарий</t>
        </is>
      </c>
      <c r="N256" t="inlineStr">
        <is>
          <t>result</t>
        </is>
      </c>
      <c r="O256" t="inlineStr">
        <is>
          <t>result</t>
        </is>
      </c>
      <c r="P256" t="inlineStr">
        <is>
          <t>Эффективная сумма фонда развития в необходимом сценарии</t>
        </is>
      </c>
      <c r="R256" t="inlineStr">
        <is>
          <t>0</t>
        </is>
      </c>
      <c r="S256" t="inlineStr">
        <is>
          <t>₽/год</t>
        </is>
      </c>
      <c r="T256" t="inlineStr">
        <is>
          <t>создаётся при каждом calc()</t>
        </is>
      </c>
      <c r="U256" t="inlineStr">
        <is>
          <t>d.goalFund</t>
        </is>
      </c>
      <c r="V256" t="inlineStr">
        <is>
          <t>Резервы</t>
        </is>
      </c>
      <c r="W256" t="inlineStr">
        <is>
          <t>Фонд развития</t>
        </is>
      </c>
      <c r="X256" t="inlineStr">
        <is>
          <t>Резерв · развитие</t>
        </is>
      </c>
      <c r="Y256" t="inlineStr">
        <is>
          <t>R×fundP</t>
        </is>
      </c>
      <c r="Z256" t="inlineStr">
        <is>
          <t>card05</t>
        </is>
      </c>
      <c r="AA256" t="inlineStr">
        <is>
          <t>да</t>
        </is>
      </c>
      <c r="AB256" s="229" t="inlineStr">
        <is>
          <t>RULE-001; RULE-002; RULE-015; RULE-004</t>
        </is>
      </c>
    </row>
    <row r="257">
      <c r="A257" t="inlineStr">
        <is>
          <t>187</t>
        </is>
      </c>
      <c r="B257" t="inlineStr">
        <is>
          <t>PAGE-MODEL</t>
        </is>
      </c>
      <c r="C257" t="inlineStr">
        <is>
          <t>Модель · calc()</t>
        </is>
      </c>
      <c r="D257" t="inlineStr">
        <is>
          <t>11</t>
        </is>
      </c>
      <c r="E257" t="inlineStr">
        <is>
          <t>MODEL-GOAL</t>
        </is>
      </c>
      <c r="F257" t="inlineStr">
        <is>
          <t>—</t>
        </is>
      </c>
      <c r="G257" t="inlineStr">
        <is>
          <t>Идеальный сценарий</t>
        </is>
      </c>
      <c r="H257" t="inlineStr">
        <is>
          <t>CALC-RESULT</t>
        </is>
      </c>
      <c r="I257" t="inlineStr">
        <is>
          <t>Результаты calc()</t>
        </is>
      </c>
      <c r="J257" t="inlineStr">
        <is>
          <t>RES-goalDiscountReserve</t>
        </is>
      </c>
      <c r="K257" t="inlineStr">
        <is>
          <t>d.goalDiscountReserve</t>
        </is>
      </c>
      <c r="L257" t="inlineStr">
        <is>
          <t>goalDiscountReserve</t>
        </is>
      </c>
      <c r="M257" t="inlineStr">
        <is>
          <t>Резерв программы лояльности — необходимый сценарий</t>
        </is>
      </c>
      <c r="N257" t="inlineStr">
        <is>
          <t>result</t>
        </is>
      </c>
      <c r="O257" t="inlineStr">
        <is>
          <t>result</t>
        </is>
      </c>
      <c r="P257" t="inlineStr">
        <is>
          <t>Эффективная сумма резерва лояльности в необходимом сценарии</t>
        </is>
      </c>
      <c r="R257" t="inlineStr">
        <is>
          <t>0</t>
        </is>
      </c>
      <c r="S257" t="inlineStr">
        <is>
          <t>₽/год</t>
        </is>
      </c>
      <c r="T257" t="inlineStr">
        <is>
          <t>создаётся при каждом calc()</t>
        </is>
      </c>
      <c r="U257" t="inlineStr">
        <is>
          <t>d.goalDiscountReserve</t>
        </is>
      </c>
      <c r="V257" t="inlineStr">
        <is>
          <t>Резервы</t>
        </is>
      </c>
      <c r="W257" t="inlineStr">
        <is>
          <t>Лояльность</t>
        </is>
      </c>
      <c r="X257" t="inlineStr">
        <is>
          <t>Резерв · лояльность</t>
        </is>
      </c>
      <c r="Y257" t="inlineStr">
        <is>
          <t>R×discP</t>
        </is>
      </c>
      <c r="Z257" t="inlineStr">
        <is>
          <t>card05</t>
        </is>
      </c>
      <c r="AA257" t="inlineStr">
        <is>
          <t>да</t>
        </is>
      </c>
      <c r="AB257" s="229" t="inlineStr">
        <is>
          <t>RULE-001; RULE-002; RULE-015; RULE-004</t>
        </is>
      </c>
    </row>
    <row r="258">
      <c r="A258" t="inlineStr">
        <is>
          <t>188</t>
        </is>
      </c>
      <c r="B258" t="inlineStr">
        <is>
          <t>PAGE-MODEL</t>
        </is>
      </c>
      <c r="C258" t="inlineStr">
        <is>
          <t>Модель · calc()</t>
        </is>
      </c>
      <c r="D258" t="inlineStr">
        <is>
          <t>11</t>
        </is>
      </c>
      <c r="E258" t="inlineStr">
        <is>
          <t>MODEL-GOAL</t>
        </is>
      </c>
      <c r="F258" t="inlineStr">
        <is>
          <t>—</t>
        </is>
      </c>
      <c r="G258" t="inlineStr">
        <is>
          <t>Идеальный сценарий</t>
        </is>
      </c>
      <c r="H258" t="inlineStr">
        <is>
          <t>CALC-RESULT</t>
        </is>
      </c>
      <c r="I258" t="inlineStr">
        <is>
          <t>Результаты calc()</t>
        </is>
      </c>
      <c r="J258" t="inlineStr">
        <is>
          <t>RES-goalSelfSiteCost</t>
        </is>
      </c>
      <c r="K258" t="inlineStr">
        <is>
          <t>d.goalSelfSiteCost</t>
        </is>
      </c>
      <c r="L258" t="inlineStr">
        <is>
          <t>goalSelfSiteCost</t>
        </is>
      </c>
      <c r="M258" t="inlineStr">
        <is>
          <t>Стоимость собственного сайта — необходимый сценарий</t>
        </is>
      </c>
      <c r="N258" t="inlineStr">
        <is>
          <t>result</t>
        </is>
      </c>
      <c r="O258" t="inlineStr">
        <is>
          <t>result</t>
        </is>
      </c>
      <c r="P258" t="inlineStr">
        <is>
          <t>Эффективная компенсация времени на самостоятельно сделанный сайт</t>
        </is>
      </c>
      <c r="R258" t="inlineStr">
        <is>
          <t>0</t>
        </is>
      </c>
      <c r="S258" t="inlineStr">
        <is>
          <t>₽/год</t>
        </is>
      </c>
      <c r="T258" t="inlineStr">
        <is>
          <t>создаётся при каждом calc()</t>
        </is>
      </c>
      <c r="U258" t="inlineStr">
        <is>
          <t>d.goalSelfSiteCost</t>
        </is>
      </c>
      <c r="V258" t="inlineStr">
        <is>
          <t>Вложения и инвестиции</t>
        </is>
      </c>
      <c r="W258" t="inlineStr">
        <is>
          <t>Сайт</t>
        </is>
      </c>
      <c r="X258" t="inlineStr">
        <is>
          <t>Расходы · реклама и сайт</t>
        </is>
      </c>
      <c r="Y258" t="inlineStr">
        <is>
          <t>R×sdiv</t>
        </is>
      </c>
      <c r="Z258" t="inlineStr">
        <is>
          <t>card05</t>
        </is>
      </c>
      <c r="AA258" t="inlineStr">
        <is>
          <t>да</t>
        </is>
      </c>
      <c r="AB258" s="229" t="inlineStr">
        <is>
          <t>RULE-001; RULE-002; RULE-015; RULE-004</t>
        </is>
      </c>
    </row>
    <row r="259">
      <c r="A259" t="inlineStr">
        <is>
          <t>189</t>
        </is>
      </c>
      <c r="B259" t="inlineStr">
        <is>
          <t>PAGE-MODEL</t>
        </is>
      </c>
      <c r="C259" t="inlineStr">
        <is>
          <t>Модель · calc()</t>
        </is>
      </c>
      <c r="D259" t="inlineStr">
        <is>
          <t>11</t>
        </is>
      </c>
      <c r="E259" t="inlineStr">
        <is>
          <t>MODEL-GOAL</t>
        </is>
      </c>
      <c r="F259" t="inlineStr">
        <is>
          <t>—</t>
        </is>
      </c>
      <c r="G259" t="inlineStr">
        <is>
          <t>Идеальный сценарий</t>
        </is>
      </c>
      <c r="H259" t="inlineStr">
        <is>
          <t>CALC-RESULT</t>
        </is>
      </c>
      <c r="I259" t="inlineStr">
        <is>
          <t>Результаты calc()</t>
        </is>
      </c>
      <c r="J259" t="inlineStr">
        <is>
          <t>RES-goalCostsTotal</t>
        </is>
      </c>
      <c r="K259" t="inlineStr">
        <is>
          <t>d.goalCostsTotal</t>
        </is>
      </c>
      <c r="L259" t="inlineStr">
        <is>
          <t>goalCostsTotal</t>
        </is>
      </c>
      <c r="M259" t="inlineStr">
        <is>
          <t>Все затраты — необходимый сценарий</t>
        </is>
      </c>
      <c r="N259" t="inlineStr">
        <is>
          <t>result</t>
        </is>
      </c>
      <c r="O259" t="inlineStr">
        <is>
          <t>result</t>
        </is>
      </c>
      <c r="P259" t="inlineStr">
        <is>
          <t>Полная сумма эффективных затрат идеального сценария</t>
        </is>
      </c>
      <c r="R259" t="inlineStr">
        <is>
          <t>719942.9739462415</t>
        </is>
      </c>
      <c r="S259" t="inlineStr">
        <is>
          <t>₽/год</t>
        </is>
      </c>
      <c r="T259" t="inlineStr">
        <is>
          <t>создаётся при каждом calc()</t>
        </is>
      </c>
      <c r="U259" t="inlineStr">
        <is>
          <t>d.goalCostsTotal</t>
        </is>
      </c>
      <c r="V259" t="inlineStr">
        <is>
          <t>Доход и стоимость</t>
        </is>
      </c>
      <c r="W259" t="inlineStr">
        <is>
          <t>Затраты</t>
        </is>
      </c>
      <c r="X259" t="inlineStr">
        <is>
          <t>Расходы в совокупности</t>
        </is>
      </c>
      <c r="Y259" t="inlineStr">
        <is>
          <t>C+taxAll+aq+goalFund+goalDiscountReserve+goalSelfSiteCost</t>
        </is>
      </c>
      <c r="Z259" t="inlineStr">
        <is>
          <t>card05</t>
        </is>
      </c>
      <c r="AA259" t="inlineStr">
        <is>
          <t>да</t>
        </is>
      </c>
      <c r="AB259" s="229" t="inlineStr">
        <is>
          <t>RULE-001; RULE-002; RULE-015</t>
        </is>
      </c>
    </row>
    <row r="260">
      <c r="A260" t="inlineStr">
        <is>
          <t>190</t>
        </is>
      </c>
      <c r="B260" t="inlineStr">
        <is>
          <t>PAGE-MODEL</t>
        </is>
      </c>
      <c r="C260" t="inlineStr">
        <is>
          <t>Модель · calc()</t>
        </is>
      </c>
      <c r="D260" t="inlineStr">
        <is>
          <t>11</t>
        </is>
      </c>
      <c r="E260" t="inlineStr">
        <is>
          <t>MODEL-GOAL</t>
        </is>
      </c>
      <c r="F260" t="inlineStr">
        <is>
          <t>—</t>
        </is>
      </c>
      <c r="G260" t="inlineStr">
        <is>
          <t>Идеальный сценарий</t>
        </is>
      </c>
      <c r="H260" t="inlineStr">
        <is>
          <t>CALC-RESULT</t>
        </is>
      </c>
      <c r="I260" t="inlineStr">
        <is>
          <t>Результаты calc()</t>
        </is>
      </c>
      <c r="J260" t="inlineStr">
        <is>
          <t>RES-goalResult</t>
        </is>
      </c>
      <c r="K260" t="inlineStr">
        <is>
          <t>d.goalResult</t>
        </is>
      </c>
      <c r="L260" t="inlineStr">
        <is>
          <t>goalResult</t>
        </is>
      </c>
      <c r="M260" t="inlineStr">
        <is>
          <t>Финансовый результат — необходимый сценарий</t>
        </is>
      </c>
      <c r="N260" t="inlineStr">
        <is>
          <t>result</t>
        </is>
      </c>
      <c r="O260" t="inlineStr">
        <is>
          <t>result</t>
        </is>
      </c>
      <c r="P260" t="inlineStr">
        <is>
          <t>Выручка после вычета всех эффективных затрат идеального сценария</t>
        </is>
      </c>
      <c r="R260" t="inlineStr">
        <is>
          <t>1322592</t>
        </is>
      </c>
      <c r="S260" t="inlineStr">
        <is>
          <t>₽/год</t>
        </is>
      </c>
      <c r="T260" t="inlineStr">
        <is>
          <t>создаётся при каждом calc()</t>
        </is>
      </c>
      <c r="U260" t="inlineStr">
        <is>
          <t>d.goalResult</t>
        </is>
      </c>
      <c r="V260" t="inlineStr">
        <is>
          <t>Доход и стоимость</t>
        </is>
      </c>
      <c r="W260" t="inlineStr">
        <is>
          <t>Доход</t>
        </is>
      </c>
      <c r="X260" t="inlineStr">
        <is>
          <t>Ваш доход на руки</t>
        </is>
      </c>
      <c r="Y260" t="inlineStr">
        <is>
          <t>R−goalCostsTotal</t>
        </is>
      </c>
      <c r="Z260" t="inlineStr">
        <is>
          <t>card05</t>
        </is>
      </c>
      <c r="AA260" t="inlineStr">
        <is>
          <t>да</t>
        </is>
      </c>
      <c r="AB260" s="229" t="inlineStr">
        <is>
          <t>RULE-001; RULE-002; RULE-015</t>
        </is>
      </c>
    </row>
    <row r="261">
      <c r="A261" t="inlineStr">
        <is>
          <t>БЛОК · Текущий сценарий [MODEL-CURRENT]</t>
        </is>
      </c>
      <c r="AB261" s="229" t="n"/>
    </row>
    <row r="262">
      <c r="A262" t="inlineStr">
        <is>
          <t>№</t>
        </is>
      </c>
      <c r="B262" t="inlineStr">
        <is>
          <t>Страница ID</t>
        </is>
      </c>
      <c r="C262" t="inlineStr">
        <is>
          <t>Страница</t>
        </is>
      </c>
      <c r="D262" t="inlineStr">
        <is>
          <t>Порядок</t>
        </is>
      </c>
      <c r="E262" t="inlineStr">
        <is>
          <t>Блок ID</t>
        </is>
      </c>
      <c r="F262" t="inlineStr">
        <is>
          <t>№ блока</t>
        </is>
      </c>
      <c r="G262" t="inlineStr">
        <is>
          <t>Название блока</t>
        </is>
      </c>
      <c r="H262" t="inlineStr">
        <is>
          <t>Форма ID</t>
        </is>
      </c>
      <c r="I262" t="inlineStr">
        <is>
          <t>Название формы</t>
        </is>
      </c>
      <c r="J262" t="inlineStr">
        <is>
          <t>Поле ID реестра</t>
        </is>
      </c>
      <c r="K262" t="inlineStr">
        <is>
          <t>DOM / код ID</t>
        </is>
      </c>
      <c r="L262" t="inlineStr">
        <is>
          <t>Параметр модели</t>
        </is>
      </c>
      <c r="M262" t="inlineStr">
        <is>
          <t>Наименование поля</t>
        </is>
      </c>
      <c r="N262" t="inlineStr">
        <is>
          <t>Тип поля</t>
        </is>
      </c>
      <c r="O262" t="inlineStr">
        <is>
          <t>Роль</t>
        </is>
      </c>
      <c r="P262" t="inlineStr">
        <is>
          <t>Что вводим / что означает</t>
        </is>
      </c>
      <c r="Q262" t="inlineStr">
        <is>
          <t>Допустимые ответы / варианты</t>
        </is>
      </c>
      <c r="R262" t="inlineStr">
        <is>
          <t>По умолчанию</t>
        </is>
      </c>
      <c r="S262" t="inlineStr">
        <is>
          <t>Единица</t>
        </is>
      </c>
      <c r="T262" t="inlineStr">
        <is>
          <t>Условие показа / включения</t>
        </is>
      </c>
      <c r="U262" t="inlineStr">
        <is>
          <t>Поле результата d</t>
        </is>
      </c>
      <c r="V262" t="inlineStr">
        <is>
          <t>Группа результата</t>
        </is>
      </c>
      <c r="W262" t="inlineStr">
        <is>
          <t>Подгруппа результата</t>
        </is>
      </c>
      <c r="X262" t="inlineStr">
        <is>
          <t>Группа диаграммы</t>
        </is>
      </c>
      <c r="Y262" t="inlineStr">
        <is>
          <t>Формула / источник</t>
        </is>
      </c>
      <c r="Z262" t="inlineStr">
        <is>
          <t>Где выводится</t>
        </is>
      </c>
      <c r="AA262" t="inlineStr">
        <is>
          <t>Тип есть в глоссарии</t>
        </is>
      </c>
      <c r="AB262" s="229" t="inlineStr">
        <is>
          <t>Правило ID</t>
        </is>
      </c>
    </row>
    <row r="263">
      <c r="A263" t="inlineStr">
        <is>
          <t>191</t>
        </is>
      </c>
      <c r="B263" t="inlineStr">
        <is>
          <t>PAGE-MODEL</t>
        </is>
      </c>
      <c r="C263" t="inlineStr">
        <is>
          <t>Модель · calc()</t>
        </is>
      </c>
      <c r="D263" t="inlineStr">
        <is>
          <t>12</t>
        </is>
      </c>
      <c r="E263" t="inlineStr">
        <is>
          <t>MODEL-CURRENT</t>
        </is>
      </c>
      <c r="F263" t="inlineStr">
        <is>
          <t>—</t>
        </is>
      </c>
      <c r="G263" t="inlineStr">
        <is>
          <t>Текущий сценарий</t>
        </is>
      </c>
      <c r="H263" t="inlineStr">
        <is>
          <t>CALC-RESULT</t>
        </is>
      </c>
      <c r="I263" t="inlineStr">
        <is>
          <t>Результаты calc()</t>
        </is>
      </c>
      <c r="J263" t="inlineStr">
        <is>
          <t>RES-currentFund</t>
        </is>
      </c>
      <c r="K263" t="inlineStr">
        <is>
          <t>d.currentFund</t>
        </is>
      </c>
      <c r="L263" t="inlineStr">
        <is>
          <t>currentFund</t>
        </is>
      </c>
      <c r="M263" t="inlineStr">
        <is>
          <t>Фонд развития — текущий сценарий</t>
        </is>
      </c>
      <c r="N263" t="inlineStr">
        <is>
          <t>result</t>
        </is>
      </c>
      <c r="O263" t="inlineStr">
        <is>
          <t>result</t>
        </is>
      </c>
      <c r="P263" t="inlineStr">
        <is>
          <t>Эффективная сумма фонда развития при текущей ставке</t>
        </is>
      </c>
      <c r="R263" t="inlineStr">
        <is>
          <t>0</t>
        </is>
      </c>
      <c r="S263" t="inlineStr">
        <is>
          <t>₽/год</t>
        </is>
      </c>
      <c r="T263" t="inlineStr">
        <is>
          <t>создаётся при каждом calc()</t>
        </is>
      </c>
      <c r="U263" t="inlineStr">
        <is>
          <t>d.currentFund</t>
        </is>
      </c>
      <c r="V263" t="inlineStr">
        <is>
          <t>Резервы</t>
        </is>
      </c>
      <c r="W263" t="inlineStr">
        <is>
          <t>Фонд развития</t>
        </is>
      </c>
      <c r="X263" t="inlineStr">
        <is>
          <t>Резерв · развитие</t>
        </is>
      </c>
      <c r="Y263" t="inlineStr">
        <is>
          <t>Rc×fundP</t>
        </is>
      </c>
      <c r="Z263" t="inlineStr">
        <is>
          <t>card05</t>
        </is>
      </c>
      <c r="AA263" t="inlineStr">
        <is>
          <t>да</t>
        </is>
      </c>
      <c r="AB263" s="229" t="inlineStr">
        <is>
          <t>RULE-001; RULE-002; RULE-014; RULE-004</t>
        </is>
      </c>
    </row>
    <row r="264">
      <c r="A264" t="inlineStr">
        <is>
          <t>192</t>
        </is>
      </c>
      <c r="B264" t="inlineStr">
        <is>
          <t>PAGE-MODEL</t>
        </is>
      </c>
      <c r="C264" t="inlineStr">
        <is>
          <t>Модель · calc()</t>
        </is>
      </c>
      <c r="D264" t="inlineStr">
        <is>
          <t>12</t>
        </is>
      </c>
      <c r="E264" t="inlineStr">
        <is>
          <t>MODEL-CURRENT</t>
        </is>
      </c>
      <c r="F264" t="inlineStr">
        <is>
          <t>—</t>
        </is>
      </c>
      <c r="G264" t="inlineStr">
        <is>
          <t>Текущий сценарий</t>
        </is>
      </c>
      <c r="H264" t="inlineStr">
        <is>
          <t>CALC-RESULT</t>
        </is>
      </c>
      <c r="I264" t="inlineStr">
        <is>
          <t>Результаты calc()</t>
        </is>
      </c>
      <c r="J264" t="inlineStr">
        <is>
          <t>RES-currentDiscountReserve</t>
        </is>
      </c>
      <c r="K264" t="inlineStr">
        <is>
          <t>d.currentDiscountReserve</t>
        </is>
      </c>
      <c r="L264" t="inlineStr">
        <is>
          <t>currentDiscountReserve</t>
        </is>
      </c>
      <c r="M264" t="inlineStr">
        <is>
          <t>Резерв программы лояльности — текущий сценарий</t>
        </is>
      </c>
      <c r="N264" t="inlineStr">
        <is>
          <t>result</t>
        </is>
      </c>
      <c r="O264" t="inlineStr">
        <is>
          <t>result</t>
        </is>
      </c>
      <c r="P264" t="inlineStr">
        <is>
          <t>Эффективная сумма резерва лояльности при текущей ставке</t>
        </is>
      </c>
      <c r="R264" t="inlineStr">
        <is>
          <t>0</t>
        </is>
      </c>
      <c r="S264" t="inlineStr">
        <is>
          <t>₽/год</t>
        </is>
      </c>
      <c r="T264" t="inlineStr">
        <is>
          <t>создаётся при каждом calc()</t>
        </is>
      </c>
      <c r="U264" t="inlineStr">
        <is>
          <t>d.currentDiscountReserve</t>
        </is>
      </c>
      <c r="V264" t="inlineStr">
        <is>
          <t>Резервы</t>
        </is>
      </c>
      <c r="W264" t="inlineStr">
        <is>
          <t>Лояльность</t>
        </is>
      </c>
      <c r="X264" t="inlineStr">
        <is>
          <t>Резерв · лояльность</t>
        </is>
      </c>
      <c r="Y264" t="inlineStr">
        <is>
          <t>Rc×discP</t>
        </is>
      </c>
      <c r="Z264" t="inlineStr">
        <is>
          <t>card05</t>
        </is>
      </c>
      <c r="AA264" t="inlineStr">
        <is>
          <t>да</t>
        </is>
      </c>
      <c r="AB264" s="229" t="inlineStr">
        <is>
          <t>RULE-001; RULE-002; RULE-014; RULE-004</t>
        </is>
      </c>
    </row>
    <row r="265">
      <c r="A265" t="inlineStr">
        <is>
          <t>193</t>
        </is>
      </c>
      <c r="B265" t="inlineStr">
        <is>
          <t>PAGE-MODEL</t>
        </is>
      </c>
      <c r="C265" t="inlineStr">
        <is>
          <t>Модель · calc()</t>
        </is>
      </c>
      <c r="D265" t="inlineStr">
        <is>
          <t>12</t>
        </is>
      </c>
      <c r="E265" t="inlineStr">
        <is>
          <t>MODEL-CURRENT</t>
        </is>
      </c>
      <c r="F265" t="inlineStr">
        <is>
          <t>—</t>
        </is>
      </c>
      <c r="G265" t="inlineStr">
        <is>
          <t>Текущий сценарий</t>
        </is>
      </c>
      <c r="H265" t="inlineStr">
        <is>
          <t>CALC-RESULT</t>
        </is>
      </c>
      <c r="I265" t="inlineStr">
        <is>
          <t>Результаты calc()</t>
        </is>
      </c>
      <c r="J265" t="inlineStr">
        <is>
          <t>RES-currentSelfSiteCost</t>
        </is>
      </c>
      <c r="K265" t="inlineStr">
        <is>
          <t>d.currentSelfSiteCost</t>
        </is>
      </c>
      <c r="L265" t="inlineStr">
        <is>
          <t>currentSelfSiteCost</t>
        </is>
      </c>
      <c r="M265" t="inlineStr">
        <is>
          <t>Стоимость собственного сайта — текущий сценарий</t>
        </is>
      </c>
      <c r="N265" t="inlineStr">
        <is>
          <t>result</t>
        </is>
      </c>
      <c r="O265" t="inlineStr">
        <is>
          <t>result</t>
        </is>
      </c>
      <c r="P265" t="inlineStr">
        <is>
          <t>Эффективная компенсация времени на самостоятельно сделанный сайт при текущей ставке</t>
        </is>
      </c>
      <c r="R265" t="inlineStr">
        <is>
          <t>0</t>
        </is>
      </c>
      <c r="S265" t="inlineStr">
        <is>
          <t>₽/год</t>
        </is>
      </c>
      <c r="T265" t="inlineStr">
        <is>
          <t>создаётся при каждом calc()</t>
        </is>
      </c>
      <c r="U265" t="inlineStr">
        <is>
          <t>d.currentSelfSiteCost</t>
        </is>
      </c>
      <c r="V265" t="inlineStr">
        <is>
          <t>Вложения и инвестиции</t>
        </is>
      </c>
      <c r="W265" t="inlineStr">
        <is>
          <t>Сайт</t>
        </is>
      </c>
      <c r="X265" t="inlineStr">
        <is>
          <t>Расходы · реклама и сайт</t>
        </is>
      </c>
      <c r="Y265" t="inlineStr">
        <is>
          <t>Rc×sdiv</t>
        </is>
      </c>
      <c r="Z265" t="inlineStr">
        <is>
          <t>card05</t>
        </is>
      </c>
      <c r="AA265" t="inlineStr">
        <is>
          <t>да</t>
        </is>
      </c>
      <c r="AB265" s="229" t="inlineStr">
        <is>
          <t>RULE-001; RULE-002; RULE-014; RULE-004</t>
        </is>
      </c>
    </row>
    <row r="266">
      <c r="A266" t="inlineStr">
        <is>
          <t>194</t>
        </is>
      </c>
      <c r="B266" t="inlineStr">
        <is>
          <t>PAGE-MODEL</t>
        </is>
      </c>
      <c r="C266" t="inlineStr">
        <is>
          <t>Модель · calc()</t>
        </is>
      </c>
      <c r="D266" t="inlineStr">
        <is>
          <t>12</t>
        </is>
      </c>
      <c r="E266" t="inlineStr">
        <is>
          <t>MODEL-CURRENT</t>
        </is>
      </c>
      <c r="F266" t="inlineStr">
        <is>
          <t>—</t>
        </is>
      </c>
      <c r="G266" t="inlineStr">
        <is>
          <t>Текущий сценарий</t>
        </is>
      </c>
      <c r="H266" t="inlineStr">
        <is>
          <t>CALC-RESULT</t>
        </is>
      </c>
      <c r="I266" t="inlineStr">
        <is>
          <t>Результаты calc()</t>
        </is>
      </c>
      <c r="J266" t="inlineStr">
        <is>
          <t>RES-currentCostsTotal</t>
        </is>
      </c>
      <c r="K266" t="inlineStr">
        <is>
          <t>d.currentCostsTotal</t>
        </is>
      </c>
      <c r="L266" t="inlineStr">
        <is>
          <t>currentCostsTotal</t>
        </is>
      </c>
      <c r="M266" t="inlineStr">
        <is>
          <t>Все затраты — текущий сценарий</t>
        </is>
      </c>
      <c r="N266" t="inlineStr">
        <is>
          <t>result</t>
        </is>
      </c>
      <c r="O266" t="inlineStr">
        <is>
          <t>result</t>
        </is>
      </c>
      <c r="P266" t="inlineStr">
        <is>
          <t>Полная сумма эффективных затрат текущего сценария</t>
        </is>
      </c>
      <c r="R266" t="inlineStr">
        <is>
          <t>662736.9809523809</t>
        </is>
      </c>
      <c r="S266" t="inlineStr">
        <is>
          <t>₽/год</t>
        </is>
      </c>
      <c r="T266" t="inlineStr">
        <is>
          <t>создаётся при каждом calc()</t>
        </is>
      </c>
      <c r="U266" t="inlineStr">
        <is>
          <t>d.currentCostsTotal</t>
        </is>
      </c>
      <c r="V266" t="inlineStr">
        <is>
          <t>Доход и стоимость</t>
        </is>
      </c>
      <c r="W266" t="inlineStr">
        <is>
          <t>Затраты</t>
        </is>
      </c>
      <c r="X266" t="inlineStr">
        <is>
          <t>Расходы в совокупности</t>
        </is>
      </c>
      <c r="Y266" t="inlineStr">
        <is>
          <t>C+taxC+aqC+currentFund+currentDiscountReserve+currentSelfSiteCost</t>
        </is>
      </c>
      <c r="Z266" t="inlineStr">
        <is>
          <t>card05</t>
        </is>
      </c>
      <c r="AA266" t="inlineStr">
        <is>
          <t>да</t>
        </is>
      </c>
      <c r="AB266" s="229" t="inlineStr">
        <is>
          <t>RULE-001; RULE-002; RULE-014</t>
        </is>
      </c>
    </row>
    <row r="267">
      <c r="A267" t="inlineStr">
        <is>
          <t>195</t>
        </is>
      </c>
      <c r="B267" t="inlineStr">
        <is>
          <t>PAGE-MODEL</t>
        </is>
      </c>
      <c r="C267" t="inlineStr">
        <is>
          <t>Модель · calc()</t>
        </is>
      </c>
      <c r="D267" t="inlineStr">
        <is>
          <t>12</t>
        </is>
      </c>
      <c r="E267" t="inlineStr">
        <is>
          <t>MODEL-CURRENT</t>
        </is>
      </c>
      <c r="F267" t="inlineStr">
        <is>
          <t>—</t>
        </is>
      </c>
      <c r="G267" t="inlineStr">
        <is>
          <t>Текущий сценарий</t>
        </is>
      </c>
      <c r="H267" t="inlineStr">
        <is>
          <t>CALC-RESULT</t>
        </is>
      </c>
      <c r="I267" t="inlineStr">
        <is>
          <t>Результаты calc()</t>
        </is>
      </c>
      <c r="J267" t="inlineStr">
        <is>
          <t>RES-currentResult</t>
        </is>
      </c>
      <c r="K267" t="inlineStr">
        <is>
          <t>d.currentResult</t>
        </is>
      </c>
      <c r="L267" t="inlineStr">
        <is>
          <t>currentResult</t>
        </is>
      </c>
      <c r="M267" t="inlineStr">
        <is>
          <t>Текущий доход</t>
        </is>
      </c>
      <c r="N267" t="inlineStr">
        <is>
          <t>result</t>
        </is>
      </c>
      <c r="O267" t="inlineStr">
        <is>
          <t>result</t>
        </is>
      </c>
      <c r="P267" t="inlineStr">
        <is>
          <t>Расчётный доход при Текущей ставке и условиях анкеты после всех эффективных затрат</t>
        </is>
      </c>
      <c r="R267" t="inlineStr">
        <is>
          <t>636863.0190476191</t>
        </is>
      </c>
      <c r="S267" t="inlineStr">
        <is>
          <t>₽/год</t>
        </is>
      </c>
      <c r="T267" t="inlineStr">
        <is>
          <t>создаётся при каждом calc()</t>
        </is>
      </c>
      <c r="U267" t="inlineStr">
        <is>
          <t>d.currentResult</t>
        </is>
      </c>
      <c r="V267" t="inlineStr">
        <is>
          <t>Доход и стоимость</t>
        </is>
      </c>
      <c r="W267" t="inlineStr">
        <is>
          <t>Финансовый результат</t>
        </is>
      </c>
      <c r="X267" t="inlineStr">
        <is>
          <t>Ваш доход на руки / Ваш убыток</t>
        </is>
      </c>
      <c r="Y267" t="inlineStr">
        <is>
          <t>Rc−currentCostsTotal</t>
        </is>
      </c>
      <c r="Z267" t="inlineStr">
        <is>
          <t>card05, детализация</t>
        </is>
      </c>
      <c r="AA267" t="inlineStr">
        <is>
          <t>да</t>
        </is>
      </c>
      <c r="AB267" s="229" t="inlineStr">
        <is>
          <t>RULE-001; RULE-002; RULE-014; RULE-011; RULE-012; RULE-013</t>
        </is>
      </c>
    </row>
    <row r="268">
      <c r="A268" t="inlineStr">
        <is>
          <t>196</t>
        </is>
      </c>
      <c r="B268" t="inlineStr">
        <is>
          <t>PAGE-MODEL</t>
        </is>
      </c>
      <c r="C268" t="inlineStr">
        <is>
          <t>Модель · calc()</t>
        </is>
      </c>
      <c r="D268" t="inlineStr">
        <is>
          <t>12</t>
        </is>
      </c>
      <c r="E268" t="inlineStr">
        <is>
          <t>MODEL-CURRENT</t>
        </is>
      </c>
      <c r="F268" t="inlineStr">
        <is>
          <t>—</t>
        </is>
      </c>
      <c r="G268" t="inlineStr">
        <is>
          <t>Текущий сценарий</t>
        </is>
      </c>
      <c r="H268" t="inlineStr">
        <is>
          <t>CALC-RESULT</t>
        </is>
      </c>
      <c r="I268" t="inlineStr">
        <is>
          <t>Результаты calc()</t>
        </is>
      </c>
      <c r="J268" t="inlineStr">
        <is>
          <t>RES-currentIncome</t>
        </is>
      </c>
      <c r="K268" t="inlineStr">
        <is>
          <t>d.currentIncome</t>
        </is>
      </c>
      <c r="L268" t="inlineStr">
        <is>
          <t>currentIncome</t>
        </is>
      </c>
      <c r="M268" t="inlineStr">
        <is>
          <t>Доход — текущий сценарий</t>
        </is>
      </c>
      <c r="N268" t="inlineStr">
        <is>
          <t>result</t>
        </is>
      </c>
      <c r="O268" t="inlineStr">
        <is>
          <t>result</t>
        </is>
      </c>
      <c r="P268" t="inlineStr">
        <is>
          <t>Положительная часть текущего финансового результата</t>
        </is>
      </c>
      <c r="R268" t="inlineStr">
        <is>
          <t>636863.0190476191</t>
        </is>
      </c>
      <c r="S268" t="inlineStr">
        <is>
          <t>₽/год</t>
        </is>
      </c>
      <c r="T268" t="inlineStr">
        <is>
          <t>создаётся при каждом calc()</t>
        </is>
      </c>
      <c r="U268" t="inlineStr">
        <is>
          <t>d.currentIncome</t>
        </is>
      </c>
      <c r="V268" t="inlineStr">
        <is>
          <t>Доход и стоимость</t>
        </is>
      </c>
      <c r="W268" t="inlineStr">
        <is>
          <t>Доход</t>
        </is>
      </c>
      <c r="X268" t="inlineStr">
        <is>
          <t>Ваш доход на руки</t>
        </is>
      </c>
      <c r="Y268" t="inlineStr">
        <is>
          <t>max(currentResult,0)</t>
        </is>
      </c>
      <c r="Z268" t="inlineStr">
        <is>
          <t>card05</t>
        </is>
      </c>
      <c r="AA268" t="inlineStr">
        <is>
          <t>да</t>
        </is>
      </c>
      <c r="AB268" s="229" t="inlineStr">
        <is>
          <t>RULE-001; RULE-002; RULE-014; RULE-011; RULE-012; RULE-013</t>
        </is>
      </c>
    </row>
    <row r="269">
      <c r="A269" t="inlineStr">
        <is>
          <t>197</t>
        </is>
      </c>
      <c r="B269" t="inlineStr">
        <is>
          <t>PAGE-MODEL</t>
        </is>
      </c>
      <c r="C269" t="inlineStr">
        <is>
          <t>Модель · calc()</t>
        </is>
      </c>
      <c r="D269" t="inlineStr">
        <is>
          <t>12</t>
        </is>
      </c>
      <c r="E269" t="inlineStr">
        <is>
          <t>MODEL-CURRENT</t>
        </is>
      </c>
      <c r="F269" t="inlineStr">
        <is>
          <t>—</t>
        </is>
      </c>
      <c r="G269" t="inlineStr">
        <is>
          <t>Текущий сценарий</t>
        </is>
      </c>
      <c r="H269" t="inlineStr">
        <is>
          <t>CALC-RESULT</t>
        </is>
      </c>
      <c r="I269" t="inlineStr">
        <is>
          <t>Результаты calc()</t>
        </is>
      </c>
      <c r="J269" t="inlineStr">
        <is>
          <t>RES-currentLoss</t>
        </is>
      </c>
      <c r="K269" t="inlineStr">
        <is>
          <t>d.currentLoss</t>
        </is>
      </c>
      <c r="L269" t="inlineStr">
        <is>
          <t>currentLoss</t>
        </is>
      </c>
      <c r="M269" t="inlineStr">
        <is>
          <t>Убыток — текущий сценарий</t>
        </is>
      </c>
      <c r="N269" t="inlineStr">
        <is>
          <t>result</t>
        </is>
      </c>
      <c r="O269" t="inlineStr">
        <is>
          <t>result</t>
        </is>
      </c>
      <c r="P269" t="inlineStr">
        <is>
          <t>Отрицательная часть текущего финансового результата со знаком минус</t>
        </is>
      </c>
      <c r="R269" t="inlineStr">
        <is>
          <t>0</t>
        </is>
      </c>
      <c r="S269" t="inlineStr">
        <is>
          <t>₽/год</t>
        </is>
      </c>
      <c r="T269" t="inlineStr">
        <is>
          <t>создаётся при каждом calc()</t>
        </is>
      </c>
      <c r="U269" t="inlineStr">
        <is>
          <t>d.currentLoss</t>
        </is>
      </c>
      <c r="V269" t="inlineStr">
        <is>
          <t>Доход и стоимость</t>
        </is>
      </c>
      <c r="W269" t="inlineStr">
        <is>
          <t>Убыток</t>
        </is>
      </c>
      <c r="X269" t="inlineStr">
        <is>
          <t>Ваш убыток</t>
        </is>
      </c>
      <c r="Y269" t="inlineStr">
        <is>
          <t>min(currentResult,0)</t>
        </is>
      </c>
      <c r="Z269" t="inlineStr">
        <is>
          <t>card05</t>
        </is>
      </c>
      <c r="AA269" t="inlineStr">
        <is>
          <t>да</t>
        </is>
      </c>
      <c r="AB269" s="229" t="inlineStr">
        <is>
          <t>RULE-001; RULE-002; RULE-014; RULE-011; RULE-012; RULE-013</t>
        </is>
      </c>
    </row>
    <row r="270">
      <c r="A270" t="inlineStr">
        <is>
          <t>198</t>
        </is>
      </c>
      <c r="B270" t="inlineStr">
        <is>
          <t>PAGE-MODEL</t>
        </is>
      </c>
      <c r="C270" t="inlineStr">
        <is>
          <t>Модель · calc()</t>
        </is>
      </c>
      <c r="D270" t="inlineStr">
        <is>
          <t>12</t>
        </is>
      </c>
      <c r="E270" t="inlineStr">
        <is>
          <t>MODEL-CURRENT</t>
        </is>
      </c>
      <c r="F270" t="inlineStr">
        <is>
          <t>—</t>
        </is>
      </c>
      <c r="G270" t="inlineStr">
        <is>
          <t>Текущий сценарий</t>
        </is>
      </c>
      <c r="H270" t="inlineStr">
        <is>
          <t>CALC-RESULT</t>
        </is>
      </c>
      <c r="I270" t="inlineStr">
        <is>
          <t>Результаты calc()</t>
        </is>
      </c>
      <c r="J270" t="inlineStr">
        <is>
          <t>RES-currentIsLoss</t>
        </is>
      </c>
      <c r="K270" t="inlineStr">
        <is>
          <t>d.currentIsLoss</t>
        </is>
      </c>
      <c r="L270" t="inlineStr">
        <is>
          <t>currentIsLoss</t>
        </is>
      </c>
      <c r="M270" t="inlineStr">
        <is>
          <t>Признак убытка — текущий сценарий</t>
        </is>
      </c>
      <c r="N270" t="inlineStr">
        <is>
          <t>result</t>
        </is>
      </c>
      <c r="O270" t="inlineStr">
        <is>
          <t>result</t>
        </is>
      </c>
      <c r="P270" t="inlineStr">
        <is>
          <t>Логический признак отрицательного текущего финансового результата</t>
        </is>
      </c>
      <c r="Q270" t="inlineStr">
        <is>
          <t>false / true</t>
        </is>
      </c>
      <c r="R270" t="inlineStr">
        <is>
          <t>false</t>
        </is>
      </c>
      <c r="T270" t="inlineStr">
        <is>
          <t>создаётся при каждом calc()</t>
        </is>
      </c>
      <c r="U270" t="inlineStr">
        <is>
          <t>d.currentIsLoss</t>
        </is>
      </c>
      <c r="V270" t="inlineStr">
        <is>
          <t>Доход и стоимость</t>
        </is>
      </c>
      <c r="W270" t="inlineStr">
        <is>
          <t>Убыток</t>
        </is>
      </c>
      <c r="Y270" t="inlineStr">
        <is>
          <t>currentResult&lt;0</t>
        </is>
      </c>
      <c r="Z270" t="inlineStr">
        <is>
          <t>card05</t>
        </is>
      </c>
      <c r="AA270" t="inlineStr">
        <is>
          <t>да</t>
        </is>
      </c>
      <c r="AB270" s="229" t="inlineStr">
        <is>
          <t>RULE-001; RULE-014; RULE-011; RULE-012; RULE-013</t>
        </is>
      </c>
    </row>
    <row r="271">
      <c r="A271" t="inlineStr">
        <is>
          <t xml:space="preserve">200</t>
        </is>
      </c>
      <c r="B271" t="inlineStr">
        <is>
          <t xml:space="preserve">PAGE-MODEL</t>
        </is>
      </c>
      <c r="C271" t="inlineStr">
        <is>
          <t xml:space="preserve">Модель · calc()</t>
        </is>
      </c>
      <c r="D271" t="inlineStr">
        <is>
          <t xml:space="preserve">9</t>
        </is>
      </c>
      <c r="E271" t="inlineStr">
        <is>
          <t xml:space="preserve">MODEL-09</t>
        </is>
      </c>
      <c r="F271" t="inlineStr">
        <is>
          <t xml:space="preserve">—</t>
        </is>
      </c>
      <c r="G271" t="inlineStr">
        <is>
          <t xml:space="preserve">Резервы</t>
        </is>
      </c>
      <c r="H271" t="inlineStr">
        <is>
          <t xml:space="preserve">CALC-RESULT</t>
        </is>
      </c>
      <c r="I271" t="inlineStr">
        <is>
          <t xml:space="preserve">Результаты calc()</t>
        </is>
      </c>
      <c r="J271" t="inlineStr">
        <is>
          <t xml:space="preserve">RES-vacY</t>
        </is>
      </c>
      <c r="K271" t="inlineStr">
        <is>
          <t xml:space="preserve">d.vacY</t>
        </is>
      </c>
      <c r="L271" t="inlineStr">
        <is>
          <t xml:space="preserve">vacY</t>
        </is>
      </c>
      <c r="M271" t="inlineStr">
        <is>
          <t xml:space="preserve">Резерв на отпуск</t>
        </is>
      </c>
      <c r="N271" t="inlineStr">
        <is>
          <t xml:space="preserve">result</t>
        </is>
      </c>
      <c r="O271" t="inlineStr">
        <is>
          <t xml:space="preserve">result</t>
        </is>
      </c>
      <c r="P271" t="inlineStr">
        <is>
          <t xml:space="preserve">Один месячный желаемый доход на руки, откладываемый как отпускные</t>
        </is>
      </c>
      <c r="R271" t="inlineStr">
        <is>
          <t xml:space="preserve">Ny/12</t>
        </is>
      </c>
      <c r="S271" t="inlineStr">
        <is>
          <t xml:space="preserve">₽/год</t>
        </is>
      </c>
      <c r="T271" t="inlineStr">
        <is>
          <t xml:space="preserve">всегда</t>
        </is>
      </c>
      <c r="U271" t="inlineStr">
        <is>
          <t xml:space="preserve">d.vacY</t>
        </is>
      </c>
      <c r="V271" t="inlineStr">
        <is>
          <t xml:space="preserve">Резервы</t>
        </is>
      </c>
      <c r="W271" t="inlineStr">
        <is>
          <t xml:space="preserve">Отпуск</t>
        </is>
      </c>
      <c r="X271" t="inlineStr">
        <is>
          <t xml:space="preserve">Резерв · отпуск</t>
        </is>
      </c>
      <c r="Y271" t="inlineStr">
        <is>
          <t xml:space="preserve">Ny/12</t>
        </is>
      </c>
      <c r="Z271" t="inlineStr">
        <is>
          <t xml:space="preserve">card01</t>
        </is>
      </c>
      <c r="AA271" t="inlineStr">
        <is>
          <t xml:space="preserve">да</t>
        </is>
      </c>
      <c r="AB271" t="inlineStr">
        <is>
          <t xml:space="preserve">RULE-001; RULE-002; RULE-004</t>
        </is>
      </c>
    </row>
    <row r="272">
      <c r="A272" t="inlineStr">
        <is>
          <t xml:space="preserve">201</t>
        </is>
      </c>
      <c r="B272" t="inlineStr">
        <is>
          <t xml:space="preserve">PAGE-MODEL</t>
        </is>
      </c>
      <c r="C272" t="inlineStr">
        <is>
          <t xml:space="preserve">Модель · calc()</t>
        </is>
      </c>
      <c r="D272" t="inlineStr">
        <is>
          <t xml:space="preserve">7</t>
        </is>
      </c>
      <c r="E272" t="inlineStr">
        <is>
          <t xml:space="preserve">MODEL-07</t>
        </is>
      </c>
      <c r="F272" t="inlineStr">
        <is>
          <t xml:space="preserve">—</t>
        </is>
      </c>
      <c r="G272" t="inlineStr">
        <is>
          <t xml:space="preserve">Доход и стоимость</t>
        </is>
      </c>
      <c r="H272" t="inlineStr">
        <is>
          <t xml:space="preserve">CALC-RESULT</t>
        </is>
      </c>
      <c r="I272" t="inlineStr">
        <is>
          <t xml:space="preserve">Результаты calc()</t>
        </is>
      </c>
      <c r="J272" t="inlineStr">
        <is>
          <t xml:space="preserve">RES-minShootsY</t>
        </is>
      </c>
      <c r="K272" t="inlineStr">
        <is>
          <t xml:space="preserve">d.minShootsY</t>
        </is>
      </c>
      <c r="L272" t="inlineStr">
        <is>
          <t xml:space="preserve">minShootsY</t>
        </is>
      </c>
      <c r="M272" t="inlineStr">
        <is>
          <t xml:space="preserve">Минимальное количество съёмок (за год)</t>
        </is>
      </c>
      <c r="N272" t="inlineStr">
        <is>
          <t xml:space="preserve">result</t>
        </is>
      </c>
      <c r="O272" t="inlineStr">
        <is>
          <t xml:space="preserve">result</t>
        </is>
      </c>
      <c r="P272" t="inlineStr">
        <is>
          <t xml:space="preserve">Результат расчёта или служеб</t>
        </is>
      </c>
      <c r="R272" t="inlineStr">
        <is>
          <t xml:space="preserve">64.645649</t>
        </is>
      </c>
      <c r="S272" t="inlineStr">
        <is>
          <t xml:space="preserve">шт/год</t>
        </is>
      </c>
      <c r="T272" t="inlineStr">
        <is>
          <t xml:space="preserve">создаётся при каждом calc()</t>
        </is>
      </c>
      <c r="U272" t="inlineStr">
        <is>
          <t xml:space="preserve">d.minShootsY</t>
        </is>
      </c>
      <c r="V272" t="inlineStr">
        <is>
          <t xml:space="preserve">Доход и стоимость</t>
        </is>
      </c>
      <c r="W272" t="inlineStr">
        <is>
          <t xml:space="preserve">Доход и стоимость</t>
        </is>
      </c>
      <c r="Y272" t="inlineStr">
        <is>
          <t xml:space="preserve">Rb/(R/py)</t>
        </is>
      </c>
      <c r="Z272" t="inlineStr">
        <is>
          <t xml:space="preserve">пока не показывается (кандидат — главный экран)</t>
        </is>
      </c>
      <c r="AA272" t="inlineStr">
        <is>
          <t xml:space="preserve">да</t>
        </is>
      </c>
      <c r="AB272" t="inlineStr">
        <is>
          <t xml:space="preserve">RULE-001; RULE-002</t>
        </is>
      </c>
    </row>
    <row r="273">
      <c r="A273" t="inlineStr">
        <is>
          <t xml:space="preserve">202</t>
        </is>
      </c>
      <c r="B273" t="inlineStr">
        <is>
          <t xml:space="preserve">PAGE-MODEL</t>
        </is>
      </c>
      <c r="C273" t="inlineStr">
        <is>
          <t xml:space="preserve">Модель · calc()</t>
        </is>
      </c>
      <c r="D273" t="inlineStr">
        <is>
          <t xml:space="preserve">7</t>
        </is>
      </c>
      <c r="E273" t="inlineStr">
        <is>
          <t xml:space="preserve">MODEL-07</t>
        </is>
      </c>
      <c r="F273" t="inlineStr">
        <is>
          <t xml:space="preserve">—</t>
        </is>
      </c>
      <c r="G273" t="inlineStr">
        <is>
          <t xml:space="preserve">Доход и стоимость</t>
        </is>
      </c>
      <c r="H273" t="inlineStr">
        <is>
          <t xml:space="preserve">CALC-RESULT</t>
        </is>
      </c>
      <c r="I273" t="inlineStr">
        <is>
          <t xml:space="preserve">Результаты calc()</t>
        </is>
      </c>
      <c r="J273" t="inlineStr">
        <is>
          <t xml:space="preserve">RES-minShootsM</t>
        </is>
      </c>
      <c r="K273" t="inlineStr">
        <is>
          <t xml:space="preserve">d.minShootsM</t>
        </is>
      </c>
      <c r="L273" t="inlineStr">
        <is>
          <t xml:space="preserve">minShootsM</t>
        </is>
      </c>
      <c r="M273" t="inlineStr">
        <is>
          <t xml:space="preserve">Минимальное количество съёмок (в месяц)</t>
        </is>
      </c>
      <c r="N273" t="inlineStr">
        <is>
          <t xml:space="preserve">result</t>
        </is>
      </c>
      <c r="O273" t="inlineStr">
        <is>
          <t xml:space="preserve">result</t>
        </is>
      </c>
      <c r="P273" t="inlineStr">
        <is>
          <t xml:space="preserve">Результат расчёта или служеб</t>
        </is>
      </c>
      <c r="R273" t="inlineStr">
        <is>
          <t xml:space="preserve">5.387137</t>
        </is>
      </c>
      <c r="S273" t="inlineStr">
        <is>
          <t xml:space="preserve">шт/мес</t>
        </is>
      </c>
      <c r="T273" t="inlineStr">
        <is>
          <t xml:space="preserve">создаётся при каждом calc()</t>
        </is>
      </c>
      <c r="U273" t="inlineStr">
        <is>
          <t xml:space="preserve">d.minShootsM</t>
        </is>
      </c>
      <c r="V273" t="inlineStr">
        <is>
          <t xml:space="preserve">Доход и стоимость</t>
        </is>
      </c>
      <c r="W273" t="inlineStr">
        <is>
          <t xml:space="preserve">Доход и стоимость</t>
        </is>
      </c>
      <c r="Y273" t="inlineStr">
        <is>
          <t xml:space="preserve">Rb/(R/py)/MO</t>
        </is>
      </c>
      <c r="Z273" t="inlineStr">
        <is>
          <t xml:space="preserve">пока не показывается (кандидат — главный экран)</t>
        </is>
      </c>
      <c r="AA273" t="inlineStr">
        <is>
          <t xml:space="preserve">да</t>
        </is>
      </c>
      <c r="AB273" t="inlineStr">
        <is>
          <t xml:space="preserve">RULE-001; RULE-002</t>
        </is>
      </c>
    </row>
    <row r="274">
      <c r="A274" t="inlineStr">
        <is>
          <t xml:space="preserve">203</t>
        </is>
      </c>
      <c r="B274" t="inlineStr">
        <is>
          <t xml:space="preserve">PAGE-MODEL</t>
        </is>
      </c>
      <c r="C274" t="inlineStr">
        <is>
          <t xml:space="preserve">Модель · calc()</t>
        </is>
      </c>
      <c r="D274" t="inlineStr">
        <is>
          <t xml:space="preserve">7</t>
        </is>
      </c>
      <c r="E274" t="inlineStr">
        <is>
          <t xml:space="preserve">MODEL-07</t>
        </is>
      </c>
      <c r="F274" t="inlineStr">
        <is>
          <t xml:space="preserve">—</t>
        </is>
      </c>
      <c r="G274" t="inlineStr">
        <is>
          <t xml:space="preserve">Доход и стоимость</t>
        </is>
      </c>
      <c r="H274" t="inlineStr">
        <is>
          <t xml:space="preserve">CALC-RESULT</t>
        </is>
      </c>
      <c r="I274" t="inlineStr">
        <is>
          <t xml:space="preserve">Результаты calc()</t>
        </is>
      </c>
      <c r="J274" t="inlineStr">
        <is>
          <t xml:space="preserve">RES-totalExpenses</t>
        </is>
      </c>
      <c r="K274" t="inlineStr">
        <is>
          <t xml:space="preserve">d.totalExpenses</t>
        </is>
      </c>
      <c r="L274" t="inlineStr">
        <is>
          <t xml:space="preserve">totalExpenses</t>
        </is>
      </c>
      <c r="M274" t="inlineStr">
        <is>
          <t xml:space="preserve">Всего расходов</t>
        </is>
      </c>
      <c r="N274" t="inlineStr">
        <is>
          <t xml:space="preserve">result</t>
        </is>
      </c>
      <c r="O274" t="inlineStr">
        <is>
          <t xml:space="preserve">result</t>
        </is>
      </c>
      <c r="P274" t="inlineStr">
        <is>
          <t xml:space="preserve">Финансовые расходы, Налоги и Эквайринг за год</t>
        </is>
      </c>
      <c r="R274" t="inlineStr">
        <is>
          <t xml:space="preserve">719942.9739462415</t>
        </is>
      </c>
      <c r="S274" t="inlineStr">
        <is>
          <t xml:space="preserve">₽/год</t>
        </is>
      </c>
      <c r="T274" t="inlineStr">
        <is>
          <t xml:space="preserve">создаётся при каждом calc()</t>
        </is>
      </c>
      <c r="U274" t="inlineStr">
        <is>
          <t xml:space="preserve">d.totalExpenses</t>
        </is>
      </c>
      <c r="V274" t="inlineStr">
        <is>
          <t xml:space="preserve">Доход и стоимость</t>
        </is>
      </c>
      <c r="W274" t="inlineStr">
        <is>
          <t xml:space="preserve">Затраты</t>
        </is>
      </c>
      <c r="X274" t="inlineStr">
        <is>
          <t xml:space="preserve">Расходы в совокупности</t>
        </is>
      </c>
      <c r="Y274" t="inlineStr">
        <is>
          <t xml:space="preserve">C+taxAll+aq</t>
        </is>
      </c>
      <c r="Z274" t="inlineStr">
        <is>
          <t xml:space="preserve">главный экран, детализация</t>
        </is>
      </c>
      <c r="AA274" t="inlineStr">
        <is>
          <t xml:space="preserve">да</t>
        </is>
      </c>
      <c r="AB274" t="inlineStr">
        <is>
          <t xml:space="preserve">RULE-001; RULE-002; RULE-015</t>
        </is>
      </c>
    </row>
    <row r="275">
      <c r="B275" t="inlineStr">
        <is>
          <t xml:space="preserve">PAGE-MODEL</t>
        </is>
      </c>
      <c r="C275" t="inlineStr">
        <is>
          <t xml:space="preserve">Модель · calc()</t>
        </is>
      </c>
      <c r="D275" t="inlineStr">
        <is>
          <t xml:space="preserve">10</t>
        </is>
      </c>
      <c r="E275" t="inlineStr">
        <is>
          <t xml:space="preserve">MODEL-LOAD</t>
        </is>
      </c>
      <c r="F275" t="inlineStr">
        <is>
          <t xml:space="preserve">—</t>
        </is>
      </c>
      <c r="G275" t="inlineStr">
        <is>
          <t xml:space="preserve">Загрузка</t>
        </is>
      </c>
      <c r="H275" t="inlineStr">
        <is>
          <t xml:space="preserve">CALC-RESULT</t>
        </is>
      </c>
      <c r="I275" t="inlineStr">
        <is>
          <t xml:space="preserve">Результаты calc()</t>
        </is>
      </c>
      <c r="N275" t="inlineStr">
        <is>
          <t xml:space="preserve">result</t>
        </is>
      </c>
      <c r="O275" t="inlineStr">
        <is>
          <t xml:space="preserve">result</t>
        </is>
      </c>
      <c r="T275" t="inlineStr">
        <is>
          <t xml:space="preserve">создаётся при каждом calc()</t>
        </is>
      </c>
      <c r="V275" t="inlineStr">
        <is>
          <t xml:space="preserve">Загрузка</t>
        </is>
      </c>
      <c r="W275" t="inlineStr">
        <is>
          <t xml:space="preserve">Точка безубыточности</t>
        </is>
      </c>
      <c r="X275" t="inlineStr">
        <is>
          <t xml:space="preserve">Количество съёмок</t>
        </is>
      </c>
      <c r="Z275" t="inlineStr">
        <is>
          <t xml:space="preserve">карточка «Дохода нет»</t>
        </is>
      </c>
      <c r="AA275" t="inlineStr">
        <is>
          <t xml:space="preserve">да</t>
        </is>
      </c>
      <c r="AB275" t="inlineStr">
        <is>
          <t xml:space="preserve">RULE-001; RULE-002; RULE-016</t>
        </is>
      </c>
      <c r="A275" t="inlineStr">
        <is>
          <t xml:space="preserve">204</t>
        </is>
      </c>
      <c r="J275" t="inlineStr">
        <is>
          <t xml:space="preserve">RES-zeroShootsY</t>
        </is>
      </c>
      <c r="K275" t="inlineStr">
        <is>
          <t xml:space="preserve">d.zeroShootsY</t>
        </is>
      </c>
      <c r="L275" t="inlineStr">
        <is>
          <t xml:space="preserve">zeroShootsY</t>
        </is>
      </c>
      <c r="M275" t="inlineStr">
        <is>
          <t xml:space="preserve">Съёмок для покрытия расходов при Ставке в ноль (за год)</t>
        </is>
      </c>
      <c r="P275" t="inlineStr">
        <is>
          <t xml:space="preserve">Количество съёмочных проектов для покрытия расходов при Ставке в ноль за год</t>
        </is>
      </c>
      <c r="R275" t="inlineStr">
        <is>
          <t xml:space="preserve">216.6</t>
        </is>
      </c>
      <c r="S275" t="inlineStr">
        <is>
          <t xml:space="preserve">шт/год</t>
        </is>
      </c>
      <c r="U275" t="inlineStr">
        <is>
          <t xml:space="preserve">d.zeroShootsY</t>
        </is>
      </c>
      <c r="Y275" t="inlineStr">
        <is>
          <t xml:space="preserve">Rb/(rateZero×S)</t>
        </is>
      </c>
    </row>
    <row r="276">
      <c r="B276" t="inlineStr">
        <is>
          <t xml:space="preserve">PAGE-MODEL</t>
        </is>
      </c>
      <c r="C276" t="inlineStr">
        <is>
          <t xml:space="preserve">Модель · calc()</t>
        </is>
      </c>
      <c r="D276" t="inlineStr">
        <is>
          <t xml:space="preserve">10</t>
        </is>
      </c>
      <c r="E276" t="inlineStr">
        <is>
          <t xml:space="preserve">MODEL-LOAD</t>
        </is>
      </c>
      <c r="F276" t="inlineStr">
        <is>
          <t xml:space="preserve">—</t>
        </is>
      </c>
      <c r="G276" t="inlineStr">
        <is>
          <t xml:space="preserve">Загрузка</t>
        </is>
      </c>
      <c r="H276" t="inlineStr">
        <is>
          <t xml:space="preserve">CALC-RESULT</t>
        </is>
      </c>
      <c r="I276" t="inlineStr">
        <is>
          <t xml:space="preserve">Результаты calc()</t>
        </is>
      </c>
      <c r="N276" t="inlineStr">
        <is>
          <t xml:space="preserve">result</t>
        </is>
      </c>
      <c r="O276" t="inlineStr">
        <is>
          <t xml:space="preserve">result</t>
        </is>
      </c>
      <c r="T276" t="inlineStr">
        <is>
          <t xml:space="preserve">создаётся при каждом calc()</t>
        </is>
      </c>
      <c r="V276" t="inlineStr">
        <is>
          <t xml:space="preserve">Загрузка</t>
        </is>
      </c>
      <c r="W276" t="inlineStr">
        <is>
          <t xml:space="preserve">Точка безубыточности</t>
        </is>
      </c>
      <c r="X276" t="inlineStr">
        <is>
          <t xml:space="preserve">Количество съёмок</t>
        </is>
      </c>
      <c r="Z276" t="inlineStr">
        <is>
          <t xml:space="preserve">карточка «Дохода нет»</t>
        </is>
      </c>
      <c r="AA276" t="inlineStr">
        <is>
          <t xml:space="preserve">да</t>
        </is>
      </c>
      <c r="AB276" t="inlineStr">
        <is>
          <t xml:space="preserve">RULE-001; RULE-002; RULE-016</t>
        </is>
      </c>
      <c r="A276" t="inlineStr">
        <is>
          <t xml:space="preserve">205</t>
        </is>
      </c>
      <c r="J276" t="inlineStr">
        <is>
          <t xml:space="preserve">RES-zeroShootsM</t>
        </is>
      </c>
      <c r="K276" t="inlineStr">
        <is>
          <t xml:space="preserve">d.zeroShootsM</t>
        </is>
      </c>
      <c r="L276" t="inlineStr">
        <is>
          <t xml:space="preserve">zeroShootsM</t>
        </is>
      </c>
      <c r="M276" t="inlineStr">
        <is>
          <t xml:space="preserve">Съёмок для покрытия расходов при Ставке в ноль (в месяц)</t>
        </is>
      </c>
      <c r="P276" t="inlineStr">
        <is>
          <t xml:space="preserve">Количество съёмочных проектов для покрытия расходов при Ставке в ноль в месяц</t>
        </is>
      </c>
      <c r="R276" t="inlineStr">
        <is>
          <t xml:space="preserve">18.05</t>
        </is>
      </c>
      <c r="S276" t="inlineStr">
        <is>
          <t xml:space="preserve">шт/мес</t>
        </is>
      </c>
      <c r="U276" t="inlineStr">
        <is>
          <t xml:space="preserve">d.zeroShootsM</t>
        </is>
      </c>
      <c r="Y276" t="inlineStr">
        <is>
          <t xml:space="preserve">zeroShootsY/12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0"/>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42" customWidth="1" min="4" max="4"/>
    <col width="48" customWidth="1" min="5" max="5"/>
    <col width="48" customWidth="1" min="6" max="6"/>
    <col width="68" customWidth="1" min="7" max="7"/>
  </cols>
  <sheetData>
    <row r="1" ht="34" customHeight="1">
      <c r="A1" s="314" t="inlineStr">
        <is>
          <t>№</t>
        </is>
      </c>
      <c r="B1" s="314" t="inlineStr">
        <is>
          <t>Название правила</t>
        </is>
      </c>
      <c r="C1" s="314" t="inlineStr">
        <is>
          <t>ID</t>
        </is>
      </c>
      <c r="D1" s="314" t="inlineStr">
        <is>
          <t>Условие</t>
        </is>
      </c>
      <c r="E1" s="314" t="inlineStr">
        <is>
          <t>Действие</t>
        </is>
      </c>
      <c r="F1" s="314" t="inlineStr">
        <is>
          <t>Краткое описание</t>
        </is>
      </c>
      <c r="G1" s="314" t="inlineStr">
        <is>
          <t>Ссылка на документ</t>
        </is>
      </c>
    </row>
    <row r="2" ht="74" customHeight="1">
      <c r="A2" s="315" t="n">
        <v>1</v>
      </c>
      <c r="B2" s="315" t="inlineStr">
        <is>
          <t>Единственный источник расчёта</t>
        </is>
      </c>
      <c r="C2" s="315" t="inlineStr">
        <is>
          <t>RULE-001</t>
        </is>
      </c>
      <c r="D2" s="315" t="inlineStr">
        <is>
          <t>Показатель нужен отчёту, детализации или книге</t>
        </is>
      </c>
      <c r="E2" s="315" t="inlineStr">
        <is>
          <t>Сначала рассчитать показатель в calc(), затем передавать готовое значение оболочкам</t>
        </is>
      </c>
      <c r="F2" s="315" t="inlineStr">
        <is>
          <t>report.html и другие оболочки не создают параллельную математику.</t>
        </is>
      </c>
      <c r="G2" s="316" t="inlineStr">
        <is>
          <t>Документация/ДОРОЖНАЯ_КАРТА.md</t>
        </is>
      </c>
    </row>
    <row r="3" ht="74" customHeight="1">
      <c r="A3" s="317" t="n">
        <v>2</v>
      </c>
      <c r="B3" s="317" t="inlineStr">
        <is>
          <t>Точный расчёт и показ до целого рубля</t>
        </is>
      </c>
      <c r="C3" s="317" t="inlineStr">
        <is>
          <t>RULE-002</t>
        </is>
      </c>
      <c r="D3" s="317" t="inlineStr">
        <is>
          <t>Денежный результат выводится пользователю</t>
        </is>
      </c>
      <c r="E3" s="317" t="inlineStr">
        <is>
          <t>Сохранить полную точность в calc(), для показа округлить до ближайшего целого рубля</t>
        </is>
      </c>
      <c r="F3" s="317" t="inlineStr">
        <is>
          <t>Округлённое отображение не возвращается в формулы.</t>
        </is>
      </c>
      <c r="G3" s="318" t="inlineStr">
        <is>
          <t>Документация/Описания расчётов/Архитектура — Нулевые значения, отключённые блоки и убыток.md</t>
        </is>
      </c>
    </row>
    <row r="4" ht="74" customHeight="1">
      <c r="A4" s="315" t="n">
        <v>3</v>
      </c>
      <c r="B4" s="315" t="inlineStr">
        <is>
          <t>Практическая ставка вверх до 100 ₽</t>
        </is>
      </c>
      <c r="C4" s="315" t="inlineStr">
        <is>
          <t>RULE-003</t>
        </is>
      </c>
      <c r="D4" s="315" t="inlineStr">
        <is>
          <t>Ставка отдельно утверждена как практическая рекомендация</t>
        </is>
      </c>
      <c r="E4" s="315" t="inlineStr">
        <is>
          <t>Округлить значение вверх до ближайших 100 ₽</t>
        </is>
      </c>
      <c r="F4" s="315" t="inlineStr">
        <is>
          <t>Специальное правило действует только в практических блоках, а не во всём отчёте.</t>
        </is>
      </c>
      <c r="G4" s="316" t="inlineStr">
        <is>
          <t>Документация/Описания расчётов/Блок 05 — 02 Желаемый доход.md</t>
        </is>
      </c>
    </row>
    <row r="5" ht="74" customHeight="1">
      <c r="A5" s="317" t="n">
        <v>4</v>
      </c>
      <c r="B5" s="317" t="inlineStr">
        <is>
          <t>Эффективный ноль отключённого параметра</t>
        </is>
      </c>
      <c r="C5" s="317" t="inlineStr">
        <is>
          <t>RULE-004</t>
        </is>
      </c>
      <c r="D5" s="317" t="inlineStr">
        <is>
          <t>Параметр выключен, исключён или относится к неактивной ветке</t>
        </is>
      </c>
      <c r="E5" s="317" t="inlineStr">
        <is>
          <t>Оставить параметр в структуре модели, установить его эффективное значение равным 0</t>
        </is>
      </c>
      <c r="F5" s="317" t="inlineStr">
        <is>
          <t>Формула продолжает складывать единый набор эффективных значений.</t>
        </is>
      </c>
      <c r="G5" s="318" t="inlineStr">
        <is>
          <t>Документация/Описания расчётов/Архитектура — Нулевые значения, отключённые блоки и убыток.md</t>
        </is>
      </c>
    </row>
    <row r="6" ht="74" customHeight="1">
      <c r="A6" s="315" t="n">
        <v>5</v>
      </c>
      <c r="B6" s="315" t="inlineStr">
        <is>
          <t>Прямая галочка</t>
        </is>
      </c>
      <c r="C6" s="315" t="inlineStr">
        <is>
          <t>RULE-005</t>
        </is>
      </c>
      <c r="D6" s="315" t="inlineStr">
        <is>
          <t>Галочка непосредственно включает необязательный параметр</t>
        </is>
      </c>
      <c r="E6" s="315" t="inlineStr">
        <is>
          <t>Снята — эффективное значение 0; установлена — использовать сохранённое значение</t>
        </is>
      </c>
      <c r="F6" s="315" t="inlineStr">
        <is>
          <t>Применяется к фондам и резервам, включаемым прямой галочкой.</t>
        </is>
      </c>
      <c r="G6" s="316" t="inlineStr">
        <is>
          <t>Документация/Описания расчётов/Архитектура — Нулевые значения, отключённые блоки и убыток.md</t>
        </is>
      </c>
    </row>
    <row r="7" ht="74" customHeight="1">
      <c r="A7" s="317" t="n">
        <v>6</v>
      </c>
      <c r="B7" s="317" t="inlineStr">
        <is>
          <t>Обратная галочка</t>
        </is>
      </c>
      <c r="C7" s="317" t="inlineStr">
        <is>
          <t>RULE-006</t>
        </is>
      </c>
      <c r="D7" s="317" t="inlineStr">
        <is>
          <t>Галочка имеет смысл «Не учитывать этот блок»</t>
        </is>
      </c>
      <c r="E7" s="317" t="inlineStr">
        <is>
          <t>Снята — блок участвует; установлена — все эффективные результаты блока равны 0</t>
        </is>
      </c>
      <c r="F7" s="317" t="inlineStr">
        <is>
          <t>Сырые введённые значения сохраняются для повторного включения.</t>
        </is>
      </c>
      <c r="G7" s="318" t="inlineStr">
        <is>
          <t>Документация/Описания расчётов/Архитектура — Нулевые значения, отключённые блоки и убыток.md</t>
        </is>
      </c>
    </row>
    <row r="8" ht="74" customHeight="1">
      <c r="A8" s="315" t="n">
        <v>7</v>
      </c>
      <c r="B8" s="315" t="inlineStr">
        <is>
          <t>Переключатель ветки</t>
        </is>
      </c>
      <c r="C8" s="315" t="inlineStr">
        <is>
          <t>RULE-007</t>
        </is>
      </c>
      <c r="D8" s="315" t="inlineStr">
        <is>
          <t>Radio или select выбирает одну из взаимоисключающих веток</t>
        </is>
      </c>
      <c r="E8" s="315" t="inlineStr">
        <is>
          <t>Рассчитать активную ветку; вклады остальных веток установить равными 0</t>
        </is>
      </c>
      <c r="F8" s="315" t="inlineStr">
        <is>
          <t>Используется для рабочего места, сайта, учёта и других альтернатив.</t>
        </is>
      </c>
      <c r="G8" s="316" t="inlineStr">
        <is>
          <t>Документация/Описания расчётов/Архитектура — Нулевые значения, отключённые блоки и убыток.md</t>
        </is>
      </c>
    </row>
    <row r="9" ht="74" customHeight="1">
      <c r="A9" s="317" t="n">
        <v>8</v>
      </c>
      <c r="B9" s="317" t="inlineStr">
        <is>
          <t>Обязательный параметр и делитель</t>
        </is>
      </c>
      <c r="C9" s="317" t="inlineStr">
        <is>
          <t>RULE-008</t>
        </is>
      </c>
      <c r="D9" s="317" t="inlineStr">
        <is>
          <t>Обязательное структурное значение отсутствует, равно 0 или недопустимо</t>
        </is>
      </c>
      <c r="E9" s="317" t="inlineStr">
        <is>
          <t>Остановить расчёт и показать ошибку поля; не подменять значение и не делить на 0</t>
        </is>
      </c>
      <c r="F9" s="317" t="inlineStr">
        <is>
          <t>Нулевой вклад разрешён необязательным расходам, но не обязательным делителям.</t>
        </is>
      </c>
      <c r="G9" s="318" t="inlineStr">
        <is>
          <t>Документация/Описания расчётов/Архитектура — Нулевые значения, отключённые блоки и убыток.md</t>
        </is>
      </c>
    </row>
    <row r="10" ht="74" customHeight="1">
      <c r="A10" s="315" t="n">
        <v>9</v>
      </c>
      <c r="B10" s="315" t="inlineStr">
        <is>
          <t>Автоподбор налога — управляющий режим</t>
        </is>
      </c>
      <c r="C10" s="315" t="inlineStr">
        <is>
          <t>RULE-009</t>
        </is>
      </c>
      <c r="D10" s="315" t="inlineStr">
        <is>
          <t>Галочка tax_auto снята</t>
        </is>
      </c>
      <c r="E10" s="315" t="inlineStr">
        <is>
          <t>Перейти к выбранному вручную налоговому режиму, а не обнулять налог</t>
        </is>
      </c>
      <c r="F10" s="315" t="inlineStr">
        <is>
          <t>tax_auto управляет способом выбора режима и не является денежным параметром.</t>
        </is>
      </c>
      <c r="G10" s="316" t="inlineStr">
        <is>
          <t>Документация/Описания расчётов/Архитектура — Нулевые значения, отключённые блоки и убыток.md</t>
        </is>
      </c>
    </row>
    <row r="11" ht="74" customHeight="1">
      <c r="A11" s="317" t="n">
        <v>10</v>
      </c>
      <c r="B11" s="317" t="inlineStr">
        <is>
          <t>Собственное жильё — контекстная галочка</t>
        </is>
      </c>
      <c r="C11" s="317" t="inlineStr">
        <is>
          <t>RULE-010</t>
        </is>
      </c>
      <c r="D11" s="317" t="inlineStr">
        <is>
          <t>Установлена галочка own_home</t>
        </is>
      </c>
      <c r="E11" s="317" t="inlineStr">
        <is>
          <t>Сохранить контекст собственного жилья; не обнулять автоматически расходы рабочего места</t>
        </is>
      </c>
      <c r="F11" s="317" t="inlineStr">
        <is>
          <t>own_home сама по себе не является выключателем стоимости жилья.</t>
        </is>
      </c>
      <c r="G11" s="318" t="inlineStr">
        <is>
          <t>Документация/Описания расчётов/Архитектура — Нулевые значения, отключённые блоки и убыток.md</t>
        </is>
      </c>
    </row>
    <row r="12" ht="74" customHeight="1">
      <c r="A12" s="315" t="n">
        <v>11</v>
      </c>
      <c r="B12" s="315" t="inlineStr">
        <is>
          <t>Отрицательный ввод и отрицательный результат</t>
        </is>
      </c>
      <c r="C12" s="315" t="inlineStr">
        <is>
          <t>RULE-011</t>
        </is>
      </c>
      <c r="D12" s="315" t="inlineStr">
        <is>
          <t>Получено отрицательное значение</t>
        </is>
      </c>
      <c r="E12" s="315" t="inlineStr">
        <is>
          <t>Отрицательный пользовательский ввод отклонить; отрицательный вычисленный результат сохранить</t>
        </is>
      </c>
      <c r="F12" s="315" t="inlineStr">
        <is>
          <t>Убыток является допустимым результатом модели, отрицательная стоимость — ошибкой ввода.</t>
        </is>
      </c>
      <c r="G12" s="316" t="inlineStr">
        <is>
          <t>Документация/Описания расчётов/Архитектура — Нулевые значения, отключённые блоки и убыток.md</t>
        </is>
      </c>
    </row>
    <row r="13" ht="74" customHeight="1">
      <c r="A13" s="317" t="n">
        <v>12</v>
      </c>
      <c r="B13" s="317" t="inlineStr">
        <is>
          <t>Отображение убытка</t>
        </is>
      </c>
      <c r="C13" s="317" t="inlineStr">
        <is>
          <t>RULE-012</t>
        </is>
      </c>
      <c r="D13" s="317" t="inlineStr">
        <is>
          <t>Финансовый результат текущего сценария меньше 0</t>
        </is>
      </c>
      <c r="E13" s="317" t="inlineStr">
        <is>
          <t>Показать «Ваш убыток», настоящий знак минус, сравнительную плашку и пояснение</t>
        </is>
      </c>
      <c r="F13" s="317" t="inlineStr">
        <is>
          <t>Отрицательный результат не обрезается до 0 и не показывается обычным кольцом дохода.</t>
        </is>
      </c>
      <c r="G13" s="318" t="inlineStr">
        <is>
          <t>Документация/Описания расчётов/Блок 05 — 01 Текущий доход.md</t>
        </is>
      </c>
    </row>
    <row r="14" ht="74" customHeight="1">
      <c r="A14" s="315" t="n">
        <v>13</v>
      </c>
      <c r="B14" s="315" t="inlineStr">
        <is>
          <t>Ноль без отрицательного знака</t>
        </is>
      </c>
      <c r="C14" s="315" t="inlineStr">
        <is>
          <t>RULE-013</t>
        </is>
      </c>
      <c r="D14" s="315" t="inlineStr">
        <is>
          <t>После округления денежный результат равен 0</t>
        </is>
      </c>
      <c r="E14" s="315" t="inlineStr">
        <is>
          <t>Показать 0 ₽, а не −0 ₽</t>
        </is>
      </c>
      <c r="F14" s="315" t="inlineStr">
        <is>
          <t>Проверка знака выполняется после округления пользовательского значения.</t>
        </is>
      </c>
      <c r="G14" s="316" t="inlineStr">
        <is>
          <t>Документация/Описания расчётов/Архитектура — Нулевые значения, отключённые блоки и убыток.md</t>
        </is>
      </c>
    </row>
    <row r="15" ht="74" customHeight="1">
      <c r="A15" s="317" t="n">
        <v>14</v>
      </c>
      <c r="B15" s="317" t="inlineStr">
        <is>
          <t>Полный текущий финансовый результат</t>
        </is>
      </c>
      <c r="C15" s="317" t="inlineStr">
        <is>
          <t>RULE-014</t>
        </is>
      </c>
      <c r="D15" s="317" t="inlineStr">
        <is>
          <t>Рассчитывается сценарий по текущей ставке</t>
        </is>
      </c>
      <c r="E15" s="317" t="inlineStr">
        <is>
          <t>Из выручки вычесть расходы дела, налог, эквайринг, фонд развития, резерв лояльности и собственный сайт</t>
        </is>
      </c>
      <c r="F15" s="317" t="inlineStr">
        <is>
          <t>Все составляющие приходят из calc() как эффективные значения.</t>
        </is>
      </c>
      <c r="G15" s="318" t="inlineStr">
        <is>
          <t>Документация/Описания расчётов/Блок 05 — 01 Текущий доход.md</t>
        </is>
      </c>
    </row>
    <row r="16" ht="74" customHeight="1">
      <c r="A16" s="315" t="n">
        <v>15</v>
      </c>
      <c r="B16" s="315" t="inlineStr">
        <is>
          <t>Полные затраты необходимого сценария</t>
        </is>
      </c>
      <c r="C16" s="315" t="inlineStr">
        <is>
          <t>RULE-015</t>
        </is>
      </c>
      <c r="D16" s="315" t="inlineStr">
        <is>
          <t>Рассчитывается сценарий необходимого дохода</t>
        </is>
      </c>
      <c r="E16" s="315" t="inlineStr">
        <is>
          <t>Собрать goalCostsTotal из всех эффективных затрат и получить goalResult</t>
        </is>
      </c>
      <c r="F16" s="315" t="inlineStr">
        <is>
          <t>Кольцо и карточка используют готовые значения идеального сценария из calc().</t>
        </is>
      </c>
      <c r="G16" s="316" t="inlineStr">
        <is>
          <t>Документация/Описания расчётов/Блок 05 — 02 Желаемый доход.md</t>
        </is>
      </c>
    </row>
    <row r="17" ht="74" customHeight="1">
      <c r="A17" s="317" t="n">
        <v>16</v>
      </c>
      <c r="B17" s="317" t="inlineStr">
        <is>
          <t>Единая точка безубыточности</t>
        </is>
      </c>
      <c r="C17" s="317" t="inlineStr">
        <is>
          <t>RULE-016</t>
        </is>
      </c>
      <c r="D17" s="317" t="inlineStr">
        <is>
          <t>Рассчитывается сценарий «В ноль»</t>
        </is>
      </c>
      <c r="E17" s="317" t="inlineStr">
        <is>
          <t>Использовать готовые Rb и rateZero из calc(); не решать уравнение повторно в report.html</t>
        </is>
      </c>
      <c r="F17" s="317" t="inlineStr">
        <is>
          <t>Точный расчёт хранится в модели, пользователю деньги показываются до рубля.</t>
        </is>
      </c>
      <c r="G17" s="318" t="inlineStr">
        <is>
          <t>Документация/Описания расчётов/Блок 05 — 03 В ноль.md</t>
        </is>
      </c>
    </row>
    <row r="18" ht="74" customHeight="1">
      <c r="A18" s="315" t="n">
        <v>17</v>
      </c>
      <c r="B18" s="315" t="inlineStr">
        <is>
          <t>Отключённые налоги</t>
        </is>
      </c>
      <c r="C18" s="315" t="inlineStr">
        <is>
          <t>RULE-017</t>
        </is>
      </c>
      <c r="D18" s="315" t="inlineStr">
        <is>
          <t>Установлено tax_off</t>
        </is>
      </c>
      <c r="E18" s="315" t="inlineStr">
        <is>
          <t>Установить эффективный налог равным 0 во всех сценариях</t>
        </is>
      </c>
      <c r="F18" s="315" t="inlineStr">
        <is>
          <t>Выбранная налоговая ставка может сохраняться, но не даёт вклад в расчёт.</t>
        </is>
      </c>
      <c r="G18" s="316" t="inlineStr">
        <is>
          <t>Документация/Описания расчётов/Архитектура — Нулевые значения, отключённые блоки и убыток.md</t>
        </is>
      </c>
    </row>
    <row r="19" ht="74" customHeight="1">
      <c r="A19" s="317" t="n">
        <v>18</v>
      </c>
      <c r="B19" s="317" t="inlineStr">
        <is>
          <t>Точность вводимых денежных полей</t>
        </is>
      </c>
      <c r="C19" s="317" t="inlineStr">
        <is>
          <t>RULE-018</t>
        </is>
      </c>
      <c r="D19" s="317" t="inlineStr">
        <is>
          <t>Для конкретного денежного поля утверждены правила ввода</t>
        </is>
      </c>
      <c r="E19" s="317" t="inlineStr">
        <is>
          <t>Принимать целые рубли без копеек; шаг 100 ₽ применять после отдельного утверждения поля</t>
        </is>
      </c>
      <c r="F19" s="317" t="inlineStr">
        <is>
          <t>Минимум, максимум и допустимость нуля определяются отдельно для каждого поля.</t>
        </is>
      </c>
      <c r="G19" s="318" t="inlineStr">
        <is>
          <t>Задачи/З-035_валидация_и_реалистичные_пределы_полей_c.md</t>
        </is>
      </c>
    </row>
    <row r="20" ht="74" customHeight="1">
      <c r="A20" s="315" t="n">
        <v>19</v>
      </c>
      <c r="B20" s="315" t="inlineStr">
        <is>
          <t>Публикационная копия без DEMO</t>
        </is>
      </c>
      <c r="C20" s="315" t="inlineStr">
        <is>
          <t>RULE-019</t>
        </is>
      </c>
      <c r="D20" s="315" t="inlineStr">
        <is>
          <t>Калькулятор готовится к выгрузке на сайт</t>
        </is>
      </c>
      <c r="E20" s="315" t="inlineStr">
        <is>
          <t>Создать вторую публикационную копию без DEMO; без данных показывать предложение заполнить анкету</t>
        </is>
      </c>
      <c r="F20" s="315" t="inlineStr">
        <is>
          <t>Техническая копия с DEMO сохраняется для разработки, но не публикуется.</t>
        </is>
      </c>
      <c r="G20" s="316" t="inlineStr">
        <is>
          <t>Задачи/З-039_перед_выгрузкой_создать_вторую_копию_кал.md</t>
        </is>
      </c>
    </row>
  </sheetData>
  <autoFilter ref="A1:G2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s>
  <pageMargins left="0.75" right="0.75" top="1" bottom="1" header="0.5" footer="0.5"/>
</worksheet>
</file>

<file path=xl/worksheets/sheet32.xml><?xml version="1.0" encoding="utf-8"?>
<worksheet xmlns="http://schemas.openxmlformats.org/spreadsheetml/2006/main">
  <dimension ref="A1:L12"/>
  <cols>
    <col min="1" max="1" width="16" customWidth="1"/>
    <col min="2" max="2" width="38"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s>
  <sheetData>
    <row r="1">
      <c r="A1" t="inlineStr">
        <is>
          <t xml:space="preserve">СОСТАВ · ЧТО ИЗ ЧЕГО СКЛАДЫВАЕТСЯ</t>
        </is>
      </c>
    </row>
    <row r="2">
      <c r="A2" t="inlineStr">
        <is>
          <t xml:space="preserve">Лист содержит только группирующие понятия и фиксирует, какие понятия и поля калькулятора входят в их состав. Формулы, алгоритмы вычисления, пользовательские вводы и отдельные расчётные показатели сюда не заносятся: формулы хранятся на листе calc, подробные алгоритмы — в паспортах расчётов. Наименования берутся только из листа 01_Глоссарий; ID — из calc.html.</t>
        </is>
      </c>
    </row>
    <row r="3">
      <c r="C3" t="inlineStr">
        <is>
          <t xml:space="preserve">Составные части</t>
        </is>
      </c>
    </row>
    <row r="4">
      <c r="A4" t="inlineStr">
        <is>
          <t xml:space="preserve">ID</t>
        </is>
      </c>
      <c r="B4" t="inlineStr">
        <is>
          <t xml:space="preserve">Наименование</t>
        </is>
      </c>
      <c r="C4" t="inlineStr">
        <is>
          <t xml:space="preserve">1</t>
        </is>
      </c>
      <c r="D4" t="inlineStr">
        <is>
          <t xml:space="preserve">2</t>
        </is>
      </c>
      <c r="E4" t="inlineStr">
        <is>
          <t xml:space="preserve">3</t>
        </is>
      </c>
      <c r="F4" t="inlineStr">
        <is>
          <t xml:space="preserve">4</t>
        </is>
      </c>
      <c r="G4" t="inlineStr">
        <is>
          <t xml:space="preserve">5</t>
        </is>
      </c>
      <c r="H4" t="inlineStr">
        <is>
          <t xml:space="preserve">6</t>
        </is>
      </c>
      <c r="I4" t="inlineStr">
        <is>
          <t xml:space="preserve">7</t>
        </is>
      </c>
      <c r="J4" t="inlineStr">
        <is>
          <t xml:space="preserve">8</t>
        </is>
      </c>
      <c r="K4" t="inlineStr">
        <is>
          <t xml:space="preserve">9</t>
        </is>
      </c>
      <c r="L4" t="inlineStr">
        <is>
          <t xml:space="preserve">10</t>
        </is>
      </c>
    </row>
    <row r="5">
      <c r="A5" t="inlineStr">
        <is>
          <t xml:space="preserve">R</t>
        </is>
      </c>
      <c r="B5" t="inlineStr">
        <is>
          <t xml:space="preserve">Выручка</t>
        </is>
      </c>
      <c r="C5" t="inlineStr">
        <is>
          <t xml:space="preserve">Желаемый доход</t>
        </is>
      </c>
      <c r="D5" t="inlineStr">
        <is>
          <t xml:space="preserve">Финансовые расходы</t>
        </is>
      </c>
      <c r="E5" t="inlineStr">
        <is>
          <t xml:space="preserve">Налоги</t>
        </is>
      </c>
      <c r="F5" t="inlineStr">
        <is>
          <t xml:space="preserve">Эквайринг</t>
        </is>
      </c>
      <c r="G5" t="inlineStr">
        <is>
          <t xml:space="preserve">Инвестиционное время</t>
        </is>
      </c>
      <c r="H5" t="inlineStr">
        <is>
          <t xml:space="preserve">Резерв на развитие</t>
        </is>
      </c>
      <c r="I5" t="inlineStr">
        <is>
          <t xml:space="preserve">Резерв на программу лояльности</t>
        </is>
      </c>
    </row>
    <row r="6">
      <c r="A6" t="inlineStr">
        <is>
          <t xml:space="preserve">C</t>
        </is>
      </c>
      <c r="B6" t="inlineStr">
        <is>
          <t xml:space="preserve">Финансовые расходы</t>
        </is>
      </c>
      <c r="C6" t="inlineStr">
        <is>
          <t xml:space="preserve">Финансовые вложения (инвестиции)</t>
        </is>
      </c>
      <c r="D6" t="inlineStr">
        <is>
          <t xml:space="preserve">Регулярные расходы специалиста</t>
        </is>
      </c>
    </row>
    <row r="7">
      <c r="A7" t="inlineStr">
        <is>
          <t xml:space="preserve">—</t>
        </is>
      </c>
      <c r="B7" t="inlineStr">
        <is>
          <t xml:space="preserve">Всего расходов</t>
        </is>
      </c>
      <c r="C7" t="inlineStr">
        <is>
          <t xml:space="preserve">Финансовые расходы</t>
        </is>
      </c>
      <c r="D7" t="inlineStr">
        <is>
          <t xml:space="preserve">Налоги</t>
        </is>
      </c>
      <c r="E7" t="inlineStr">
        <is>
          <t xml:space="preserve">Эквайринг</t>
        </is>
      </c>
    </row>
    <row r="8">
      <c r="A8" t="inlineStr">
        <is>
          <t xml:space="preserve">—</t>
        </is>
      </c>
      <c r="B8" t="inlineStr">
        <is>
          <t xml:space="preserve">Резервный фонд</t>
        </is>
      </c>
      <c r="C8" t="inlineStr">
        <is>
          <t xml:space="preserve">Резерв на отпуск</t>
        </is>
      </c>
      <c r="D8" t="inlineStr">
        <is>
          <t xml:space="preserve">Резерв на развитие</t>
        </is>
      </c>
      <c r="E8" t="inlineStr">
        <is>
          <t xml:space="preserve">Резерв на программу лояльности</t>
        </is>
      </c>
    </row>
    <row r="9">
      <c r="A9" t="inlineStr">
        <is>
          <t xml:space="preserve">vari</t>
        </is>
      </c>
      <c r="B9" t="inlineStr">
        <is>
          <t xml:space="preserve">Регулярные расходы специалиста</t>
        </is>
      </c>
      <c r="C9" t="inlineStr">
        <is>
          <t xml:space="preserve">Подписки</t>
        </is>
      </c>
      <c r="D9" t="inlineStr">
        <is>
          <t xml:space="preserve">Реклама</t>
        </is>
      </c>
      <c r="E9" t="inlineStr">
        <is>
          <t xml:space="preserve">Банковское обслуживание</t>
        </is>
      </c>
      <c r="F9" t="inlineStr">
        <is>
          <t xml:space="preserve">Бухгалтерия</t>
        </is>
      </c>
      <c r="G9" t="inlineStr">
        <is>
          <t xml:space="preserve">Содержание рабочего места</t>
        </is>
      </c>
    </row>
    <row r="10">
      <c r="A10" t="inlineStr">
        <is>
          <t xml:space="preserve">amort</t>
        </is>
      </c>
      <c r="B10" t="inlineStr">
        <is>
          <t xml:space="preserve">Финансовые вложения (инвестиции)</t>
        </is>
      </c>
      <c r="C10" t="inlineStr">
        <is>
          <t xml:space="preserve">Съёмочное оборудование</t>
        </is>
      </c>
      <c r="D10" t="inlineStr">
        <is>
          <t xml:space="preserve">Офисное оборудование</t>
        </is>
      </c>
      <c r="E10" t="inlineStr">
        <is>
          <t xml:space="preserve">ПО</t>
        </is>
      </c>
      <c r="F10" t="inlineStr">
        <is>
          <t xml:space="preserve">Обустройство рабочего места</t>
        </is>
      </c>
      <c r="G10" t="inlineStr">
        <is>
          <t xml:space="preserve">Обучение</t>
        </is>
      </c>
      <c r="H10" t="inlineStr">
        <is>
          <t xml:space="preserve">Сайт</t>
        </is>
      </c>
    </row>
    <row r="11">
      <c r="A11" t="inlineStr">
        <is>
          <t xml:space="preserve">workHours</t>
        </is>
      </c>
      <c r="B11" t="inlineStr">
        <is>
          <t xml:space="preserve">Временные расходы</t>
        </is>
      </c>
      <c r="C11" t="inlineStr">
        <is>
          <t xml:space="preserve">Съёмочное время</t>
        </is>
      </c>
      <c r="D11" t="inlineStr">
        <is>
          <t xml:space="preserve">Время на постпродакшн</t>
        </is>
      </c>
      <c r="E11" t="inlineStr">
        <is>
          <t xml:space="preserve">Проектное клиентское время</t>
        </is>
      </c>
      <c r="F11" t="inlineStr">
        <is>
          <t xml:space="preserve">Поиск заказов</t>
        </is>
      </c>
      <c r="G11" t="inlineStr">
        <is>
          <t xml:space="preserve">Учёт</t>
        </is>
      </c>
      <c r="H11" t="inlineStr">
        <is>
          <t xml:space="preserve">Резерв времени на простой и форс-мажоры</t>
        </is>
      </c>
      <c r="I11" t="inlineStr">
        <is>
          <t xml:space="preserve">Неэффективное рабочее время</t>
        </is>
      </c>
    </row>
    <row r="12">
      <c r="A12" t="inlineStr">
        <is>
          <t xml:space="preserve">—</t>
        </is>
      </c>
      <c r="B12" t="inlineStr">
        <is>
          <t xml:space="preserve">Инвестиционное время</t>
        </is>
      </c>
      <c r="C12" t="inlineStr">
        <is>
          <t xml:space="preserve">Обучение</t>
        </is>
      </c>
      <c r="D12" t="inlineStr">
        <is>
          <t xml:space="preserve">Сайт</t>
        </is>
      </c>
    </row>
  </sheetData>
  <mergeCells count="1">
    <mergeCell ref="C3:L3"/>
  </mergeCells>
</worksheet>
</file>

<file path=xl/worksheets/sheet33.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t>
        </is>
      </c>
      <c r="B1" t="inlineStr">
        <is>
          <t xml:space="preserve">Страница</t>
        </is>
      </c>
      <c r="C1" t="inlineStr">
        <is>
          <t xml:space="preserve">№ блока</t>
        </is>
      </c>
      <c r="D1" t="inlineStr">
        <is>
          <t xml:space="preserve">Блок ID</t>
        </is>
      </c>
      <c r="E1" t="inlineStr">
        <is>
          <t xml:space="preserve">Название блока</t>
        </is>
      </c>
      <c r="F1" t="inlineStr">
        <is>
          <t xml:space="preserve">Тип элемента</t>
        </is>
      </c>
      <c r="G1" t="inlineStr">
        <is>
          <t xml:space="preserve">DOM / параметр ID</t>
        </is>
      </c>
      <c r="H1" t="inlineStr">
        <is>
          <t xml:space="preserve">Наименование поля или позиции</t>
        </is>
      </c>
      <c r="I1" t="inlineStr">
        <is>
          <t xml:space="preserve">Значение по умолчанию</t>
        </is>
      </c>
      <c r="J1" t="inlineStr">
        <is>
          <t xml:space="preserve">Единица</t>
        </is>
      </c>
      <c r="K1" t="inlineStr">
        <is>
          <t xml:space="preserve">Срок / период</t>
        </is>
      </c>
      <c r="L1" t="inlineStr">
        <is>
          <t xml:space="preserve">Тип расчёта</t>
        </is>
      </c>
      <c r="M1" t="inlineStr">
        <is>
          <t xml:space="preserve">Варианты</t>
        </is>
      </c>
      <c r="N1" t="inlineStr">
        <is>
          <t xml:space="preserve">min</t>
        </is>
      </c>
      <c r="O1" t="inlineStr">
        <is>
          <t xml:space="preserve">max</t>
        </is>
      </c>
      <c r="P1" t="inlineStr">
        <is>
          <t xml:space="preserve">step</t>
        </is>
      </c>
      <c r="Q1" t="inlineStr">
        <is>
          <t xml:space="preserve">Условие / ветка</t>
        </is>
      </c>
      <c r="R1" t="inlineStr">
        <is>
          <t xml:space="preserve">Форма / каталог</t>
        </is>
      </c>
      <c r="S1" t="inlineStr">
        <is>
          <t xml:space="preserve">Источник</t>
        </is>
      </c>
    </row>
    <row r="2">
      <c r="A2" t="inlineStr">
        <is>
          <t xml:space="preserve">1</t>
        </is>
      </c>
      <c r="B2" t="inlineStr">
        <is>
          <t xml:space="preserve">Веб/calc.html</t>
        </is>
      </c>
      <c r="C2" t="inlineStr">
        <is>
          <t xml:space="preserve">01</t>
        </is>
      </c>
      <c r="D2" t="inlineStr">
        <is>
          <t xml:space="preserve">CALC-B01</t>
        </is>
      </c>
      <c r="E2" t="inlineStr">
        <is>
          <t xml:space="preserve">Ваш желаемый доход</t>
        </is>
      </c>
      <c r="F2" t="inlineStr">
        <is>
          <t xml:space="preserve">text</t>
        </is>
      </c>
      <c r="G2" t="inlineStr">
        <is>
          <t xml:space="preserve">income_month</t>
        </is>
      </c>
      <c r="H2" t="inlineStr">
        <is>
          <t xml:space="preserve">Желаемый доход</t>
        </is>
      </c>
      <c r="I2" t="inlineStr">
        <is>
          <t xml:space="preserve">110216</t>
        </is>
      </c>
      <c r="J2" t="inlineStr">
        <is>
          <t xml:space="preserve">₽/мес</t>
        </is>
      </c>
      <c r="S2" t="inlineStr">
        <is>
          <t xml:space="preserve">HTML: value / checked / selected</t>
        </is>
      </c>
    </row>
    <row r="3">
      <c r="A3" t="inlineStr">
        <is>
          <t xml:space="preserve">2</t>
        </is>
      </c>
      <c r="B3" t="inlineStr">
        <is>
          <t xml:space="preserve">Веб/calc.html</t>
        </is>
      </c>
      <c r="C3" t="inlineStr">
        <is>
          <t xml:space="preserve">02</t>
        </is>
      </c>
      <c r="D3" t="inlineStr">
        <is>
          <t xml:space="preserve">CALC-B02</t>
        </is>
      </c>
      <c r="E3" t="inlineStr">
        <is>
          <t xml:space="preserve">Ваш налоговый режим</t>
        </is>
      </c>
      <c r="F3" t="inlineStr">
        <is>
          <t xml:space="preserve">select</t>
        </is>
      </c>
      <c r="G3" t="inlineStr">
        <is>
          <t xml:space="preserve">regime</t>
        </is>
      </c>
      <c r="H3" t="inlineStr">
        <is>
          <t xml:space="preserve">На каком режиме налогообложения вы работаете?</t>
        </is>
      </c>
      <c r="I3" t="inlineStr">
        <is>
          <t xml:space="preserve">npd</t>
        </is>
      </c>
      <c r="M3" t="inlineStr">
        <is>
          <t xml:space="preserve">npd — Самозанятый (НПД) | usn6 — ИП, УСН «Доходы» — 6% | usn15 — ИП, УСН «Доходы минус расходы» — 15% | ausn8 — ИП, АУСН «Доходы» — 8% | ausn20 — ИП, АУСН «Доходы минус расходы» — 20%</t>
        </is>
      </c>
      <c r="S3" t="inlineStr">
        <is>
          <t xml:space="preserve">HTML: value / checked / selected</t>
        </is>
      </c>
    </row>
    <row r="4">
      <c r="A4" t="inlineStr">
        <is>
          <t xml:space="preserve">3</t>
        </is>
      </c>
      <c r="B4" t="inlineStr">
        <is>
          <t xml:space="preserve">Веб/calc.html</t>
        </is>
      </c>
      <c r="C4" t="inlineStr">
        <is>
          <t xml:space="preserve">02</t>
        </is>
      </c>
      <c r="D4" t="inlineStr">
        <is>
          <t xml:space="preserve">CALC-B02</t>
        </is>
      </c>
      <c r="E4" t="inlineStr">
        <is>
          <t xml:space="preserve">Ваш налоговый режим</t>
        </is>
      </c>
      <c r="F4" t="inlineStr">
        <is>
          <t xml:space="preserve">select</t>
        </is>
      </c>
      <c r="G4" t="inlineStr">
        <is>
          <t xml:space="preserve">npd_who</t>
        </is>
      </c>
      <c r="H4" t="inlineStr">
        <is>
          <t xml:space="preserve">С кем вы чаще работаете?</t>
        </is>
      </c>
      <c r="I4" t="inlineStr">
        <is>
          <t xml:space="preserve">mix</t>
        </is>
      </c>
      <c r="M4" t="inlineStr">
        <is>
          <t xml:space="preserve">mix — И с частными лицами, и с компаниями | phys — Только с частными лицами | jur — Только с компаниями и ИП</t>
        </is>
      </c>
      <c r="Q4" t="inlineStr">
        <is>
          <t xml:space="preserve">режим НПД</t>
        </is>
      </c>
      <c r="S4" t="inlineStr">
        <is>
          <t xml:space="preserve">HTML: value / checked / selected</t>
        </is>
      </c>
    </row>
    <row r="5">
      <c r="A5" t="inlineStr">
        <is>
          <t xml:space="preserve">4</t>
        </is>
      </c>
      <c r="B5" t="inlineStr">
        <is>
          <t xml:space="preserve">Веб/calc.html</t>
        </is>
      </c>
      <c r="C5" t="inlineStr">
        <is>
          <t xml:space="preserve">02</t>
        </is>
      </c>
      <c r="D5" t="inlineStr">
        <is>
          <t xml:space="preserve">CALC-B02</t>
        </is>
      </c>
      <c r="E5" t="inlineStr">
        <is>
          <t xml:space="preserve">Ваш налоговый режим</t>
        </is>
      </c>
      <c r="F5" t="inlineStr">
        <is>
          <t xml:space="preserve">checkbox</t>
        </is>
      </c>
      <c r="G5" t="inlineStr">
        <is>
          <t xml:space="preserve">tax_auto</t>
        </is>
      </c>
      <c r="H5" t="inlineStr">
        <is>
          <t xml:space="preserve">Подбирать режим автоматически</t>
        </is>
      </c>
      <c r="I5" t="inlineStr">
        <is>
          <t xml:space="preserve">нет</t>
        </is>
      </c>
      <c r="S5" t="inlineStr">
        <is>
          <t xml:space="preserve">HTML: value / checked / selected</t>
        </is>
      </c>
    </row>
    <row r="6">
      <c r="A6" t="inlineStr">
        <is>
          <t xml:space="preserve">5</t>
        </is>
      </c>
      <c r="B6" t="inlineStr">
        <is>
          <t xml:space="preserve">Веб/calc.html</t>
        </is>
      </c>
      <c r="C6" t="inlineStr">
        <is>
          <t xml:space="preserve">02</t>
        </is>
      </c>
      <c r="D6" t="inlineStr">
        <is>
          <t xml:space="preserve">CALC-B02</t>
        </is>
      </c>
      <c r="E6" t="inlineStr">
        <is>
          <t xml:space="preserve">Ваш налоговый режим</t>
        </is>
      </c>
      <c r="F6" t="inlineStr">
        <is>
          <t xml:space="preserve">checkbox</t>
        </is>
      </c>
      <c r="G6" t="inlineStr">
        <is>
          <t xml:space="preserve">tax_off</t>
        </is>
      </c>
      <c r="H6" t="inlineStr">
        <is>
          <t xml:space="preserve">Не учитывать этот блок в расчёте</t>
        </is>
      </c>
      <c r="I6" t="inlineStr">
        <is>
          <t xml:space="preserve">нет</t>
        </is>
      </c>
      <c r="S6" t="inlineStr">
        <is>
          <t xml:space="preserve">HTML: value / checked / selected</t>
        </is>
      </c>
    </row>
    <row r="7">
      <c r="A7" t="inlineStr">
        <is>
          <t xml:space="preserve">6</t>
        </is>
      </c>
      <c r="B7" t="inlineStr">
        <is>
          <t xml:space="preserve">Веб/calc.html</t>
        </is>
      </c>
      <c r="C7" t="inlineStr">
        <is>
          <t xml:space="preserve">03</t>
        </is>
      </c>
      <c r="D7" t="inlineStr">
        <is>
          <t xml:space="preserve">CALC-B03</t>
        </is>
      </c>
      <c r="E7" t="inlineStr">
        <is>
          <t xml:space="preserve">Ваша текущая ставка</t>
        </is>
      </c>
      <c r="F7" t="inlineStr">
        <is>
          <t xml:space="preserve">text</t>
        </is>
      </c>
      <c r="G7" t="inlineStr">
        <is>
          <t xml:space="preserve">current_rate</t>
        </is>
      </c>
      <c r="H7" t="inlineStr">
        <is>
          <t xml:space="preserve">Ваша текущая ставка</t>
        </is>
      </c>
      <c r="I7" t="inlineStr">
        <is>
          <t xml:space="preserve">6000</t>
        </is>
      </c>
      <c r="J7" t="inlineStr">
        <is>
          <t xml:space="preserve">₽/ч</t>
        </is>
      </c>
      <c r="S7" t="inlineStr">
        <is>
          <t xml:space="preserve">HTML: value / checked / selected</t>
        </is>
      </c>
    </row>
    <row r="8">
      <c r="A8" t="inlineStr">
        <is>
          <t xml:space="preserve">7</t>
        </is>
      </c>
      <c r="B8" t="inlineStr">
        <is>
          <t xml:space="preserve">Веб/calc.html</t>
        </is>
      </c>
      <c r="C8" t="inlineStr">
        <is>
          <t xml:space="preserve">04</t>
        </is>
      </c>
      <c r="D8" t="inlineStr">
        <is>
          <t xml:space="preserve">CALC-B04</t>
        </is>
      </c>
      <c r="E8" t="inlineStr">
        <is>
          <t xml:space="preserve">Готовых кадров за 1 час</t>
        </is>
      </c>
      <c r="F8" t="inlineStr">
        <is>
          <t xml:space="preserve">number</t>
        </is>
      </c>
      <c r="G8" t="inlineStr">
        <is>
          <t xml:space="preserve">frames_out</t>
        </is>
      </c>
      <c r="H8" t="inlineStr">
        <is>
          <t xml:space="preserve">Готовых кадров за 1 час</t>
        </is>
      </c>
      <c r="I8" t="inlineStr">
        <is>
          <t xml:space="preserve">80</t>
        </is>
      </c>
      <c r="J8" t="inlineStr">
        <is>
          <t xml:space="preserve">кадров/час</t>
        </is>
      </c>
      <c r="N8" t="inlineStr">
        <is>
          <t xml:space="preserve">1</t>
        </is>
      </c>
      <c r="P8" t="inlineStr">
        <is>
          <t xml:space="preserve">10</t>
        </is>
      </c>
      <c r="S8" t="inlineStr">
        <is>
          <t xml:space="preserve">HTML: value / checked / selected</t>
        </is>
      </c>
    </row>
    <row r="9">
      <c r="A9" t="inlineStr">
        <is>
          <t xml:space="preserve">8</t>
        </is>
      </c>
      <c r="B9" t="inlineStr">
        <is>
          <t xml:space="preserve">Веб/calc.html</t>
        </is>
      </c>
      <c r="C9" t="inlineStr">
        <is>
          <t xml:space="preserve">04</t>
        </is>
      </c>
      <c r="D9" t="inlineStr">
        <is>
          <t xml:space="preserve">CALC-B04</t>
        </is>
      </c>
      <c r="E9" t="inlineStr">
        <is>
          <t xml:space="preserve">Готовых кадров за 1 час</t>
        </is>
      </c>
      <c r="F9" t="inlineStr">
        <is>
          <t xml:space="preserve">number</t>
        </is>
      </c>
      <c r="G9" t="inlineStr">
        <is>
          <t xml:space="preserve">shutter_per_hour</t>
        </is>
      </c>
      <c r="H9" t="inlineStr">
        <is>
          <t xml:space="preserve">Сколько срабатываний затвора приходится обычно на один ваш час съёмки?</t>
        </is>
      </c>
      <c r="I9" t="inlineStr">
        <is>
          <t xml:space="preserve">350</t>
        </is>
      </c>
      <c r="J9" t="inlineStr">
        <is>
          <t xml:space="preserve">кадров/час</t>
        </is>
      </c>
      <c r="N9" t="inlineStr">
        <is>
          <t xml:space="preserve">1</t>
        </is>
      </c>
      <c r="P9" t="inlineStr">
        <is>
          <t xml:space="preserve">10</t>
        </is>
      </c>
      <c r="S9" t="inlineStr">
        <is>
          <t xml:space="preserve">HTML: value / checked / selected</t>
        </is>
      </c>
    </row>
    <row r="10">
      <c r="A10" t="inlineStr">
        <is>
          <t xml:space="preserve">9</t>
        </is>
      </c>
      <c r="B10" t="inlineStr">
        <is>
          <t xml:space="preserve">Веб/calc.html</t>
        </is>
      </c>
      <c r="C10" t="inlineStr">
        <is>
          <t xml:space="preserve">04</t>
        </is>
      </c>
      <c r="D10" t="inlineStr">
        <is>
          <t xml:space="preserve">CALC-B04</t>
        </is>
      </c>
      <c r="E10" t="inlineStr">
        <is>
          <t xml:space="preserve">Готовых кадров за 1 час</t>
        </is>
      </c>
      <c r="F10" t="inlineStr">
        <is>
          <t xml:space="preserve">number</t>
        </is>
      </c>
      <c r="G10" t="inlineStr">
        <is>
          <t xml:space="preserve">shutter_life</t>
        </is>
      </c>
      <c r="H10" t="inlineStr">
        <is>
          <t xml:space="preserve">Ресурс затвора вашей камеры</t>
        </is>
      </c>
      <c r="I10" t="inlineStr">
        <is>
          <t xml:space="preserve">300000</t>
        </is>
      </c>
      <c r="J10" t="inlineStr">
        <is>
          <t xml:space="preserve">срабатываний</t>
        </is>
      </c>
      <c r="N10" t="inlineStr">
        <is>
          <t xml:space="preserve">1000</t>
        </is>
      </c>
      <c r="P10" t="inlineStr">
        <is>
          <t xml:space="preserve">10000</t>
        </is>
      </c>
      <c r="S10" t="inlineStr">
        <is>
          <t xml:space="preserve">HTML: value / checked / selected</t>
        </is>
      </c>
    </row>
    <row r="11">
      <c r="A11" t="inlineStr">
        <is>
          <t xml:space="preserve">10</t>
        </is>
      </c>
      <c r="B11" t="inlineStr">
        <is>
          <t xml:space="preserve">Веб/calc.html</t>
        </is>
      </c>
      <c r="C11" t="inlineStr">
        <is>
          <t xml:space="preserve">05</t>
        </is>
      </c>
      <c r="D11" t="inlineStr">
        <is>
          <t xml:space="preserve">CALC-B05</t>
        </is>
      </c>
      <c r="E11" t="inlineStr">
        <is>
          <t xml:space="preserve">Минимальный заказ (часов)</t>
        </is>
      </c>
      <c r="F11" t="inlineStr">
        <is>
          <t xml:space="preserve">number</t>
        </is>
      </c>
      <c r="G11" t="inlineStr">
        <is>
          <t xml:space="preserve">shoot_manual</t>
        </is>
      </c>
      <c r="H11" t="inlineStr">
        <is>
          <t xml:space="preserve">Минимальный заказ (часов)</t>
        </is>
      </c>
      <c r="I11" t="inlineStr">
        <is>
          <t xml:space="preserve">1</t>
        </is>
      </c>
      <c r="J11" t="inlineStr">
        <is>
          <t xml:space="preserve">часов</t>
        </is>
      </c>
      <c r="N11" t="inlineStr">
        <is>
          <t xml:space="preserve">0.5</t>
        </is>
      </c>
      <c r="P11" t="inlineStr">
        <is>
          <t xml:space="preserve">0.5</t>
        </is>
      </c>
      <c r="S11" t="inlineStr">
        <is>
          <t xml:space="preserve">HTML: value / checked / selected</t>
        </is>
      </c>
    </row>
    <row r="12">
      <c r="A12" t="inlineStr">
        <is>
          <t xml:space="preserve">11</t>
        </is>
      </c>
      <c r="B12" t="inlineStr">
        <is>
          <t xml:space="preserve">Веб/calc.html</t>
        </is>
      </c>
      <c r="C12" t="inlineStr">
        <is>
          <t xml:space="preserve">06</t>
        </is>
      </c>
      <c r="D12" t="inlineStr">
        <is>
          <t xml:space="preserve">CALC-B06</t>
        </is>
      </c>
      <c r="E12" t="inlineStr">
        <is>
          <t xml:space="preserve">Время на постпродакшн</t>
        </is>
      </c>
      <c r="F12" t="inlineStr">
        <is>
          <t xml:space="preserve">number</t>
        </is>
      </c>
      <c r="G12" t="inlineStr">
        <is>
          <t xml:space="preserve">post_ratio</t>
        </is>
      </c>
      <c r="H12" t="inlineStr">
        <is>
          <t xml:space="preserve">Время на постпродакшн</t>
        </is>
      </c>
      <c r="I12" t="inlineStr">
        <is>
          <t xml:space="preserve">3</t>
        </is>
      </c>
      <c r="J12" t="inlineStr">
        <is>
          <t xml:space="preserve">часа</t>
        </is>
      </c>
      <c r="P12" t="inlineStr">
        <is>
          <t xml:space="preserve">0.5</t>
        </is>
      </c>
      <c r="S12" t="inlineStr">
        <is>
          <t xml:space="preserve">HTML: value / checked / selected</t>
        </is>
      </c>
    </row>
    <row r="13">
      <c r="A13" t="inlineStr">
        <is>
          <t xml:space="preserve">12</t>
        </is>
      </c>
      <c r="B13" t="inlineStr">
        <is>
          <t xml:space="preserve">Веб/calc.html</t>
        </is>
      </c>
      <c r="C13" t="inlineStr">
        <is>
          <t xml:space="preserve">07</t>
        </is>
      </c>
      <c r="D13" t="inlineStr">
        <is>
          <t xml:space="preserve">c_FormClientTime</t>
        </is>
      </c>
      <c r="E13" t="inlineStr">
        <is>
          <t xml:space="preserve">Проектная работа с клиентами (на один проект)</t>
        </is>
      </c>
      <c r="F13" t="inlineStr">
        <is>
          <t xml:space="preserve">number</t>
        </is>
      </c>
      <c r="G13" t="inlineStr">
        <is>
          <t xml:space="preserve">client_time</t>
        </is>
      </c>
      <c r="H13" t="inlineStr">
        <is>
          <t xml:space="preserve">Проектная работа с клиентами (на один проект)</t>
        </is>
      </c>
      <c r="I13" t="inlineStr">
        <is>
          <t xml:space="preserve">1</t>
        </is>
      </c>
      <c r="J13" t="inlineStr">
        <is>
          <t xml:space="preserve">часа</t>
        </is>
      </c>
      <c r="P13" t="inlineStr">
        <is>
          <t xml:space="preserve">0.5</t>
        </is>
      </c>
      <c r="S13" t="inlineStr">
        <is>
          <t xml:space="preserve">HTML: value / checked / selected</t>
        </is>
      </c>
    </row>
    <row r="14">
      <c r="A14" t="inlineStr">
        <is>
          <t xml:space="preserve">13</t>
        </is>
      </c>
      <c r="B14" t="inlineStr">
        <is>
          <t xml:space="preserve">Веб/calc.html</t>
        </is>
      </c>
      <c r="C14" t="inlineStr">
        <is>
          <t xml:space="preserve">07</t>
        </is>
      </c>
      <c r="D14" t="inlineStr">
        <is>
          <t xml:space="preserve">c_FormClientTime</t>
        </is>
      </c>
      <c r="E14" t="inlineStr">
        <is>
          <t xml:space="preserve">Проектная работа с клиентами (на один проект)</t>
        </is>
      </c>
      <c r="F14" t="inlineStr">
        <is>
          <t xml:space="preserve">checkbox</t>
        </is>
      </c>
      <c r="G14" t="inlineStr">
        <is>
          <t xml:space="preserve">EXC:FormClientTime</t>
        </is>
      </c>
      <c r="H14" t="inlineStr">
        <is>
          <t xml:space="preserve">Не учитывать этот блок в расчёте</t>
        </is>
      </c>
      <c r="I14" t="inlineStr">
        <is>
          <t xml:space="preserve">нет</t>
        </is>
      </c>
      <c r="S14" t="inlineStr">
        <is>
          <t xml:space="preserve">HTML: value / checked / selected</t>
        </is>
      </c>
    </row>
    <row r="15">
      <c r="A15" t="inlineStr">
        <is>
          <t xml:space="preserve">14</t>
        </is>
      </c>
      <c r="B15" t="inlineStr">
        <is>
          <t xml:space="preserve">Веб/calc.html</t>
        </is>
      </c>
      <c r="C15" t="inlineStr">
        <is>
          <t xml:space="preserve">08</t>
        </is>
      </c>
      <c r="D15" t="inlineStr">
        <is>
          <t xml:space="preserve">c_FormPromoTime</t>
        </is>
      </c>
      <c r="E15" t="inlineStr">
        <is>
          <t xml:space="preserve">Поиск заказов</t>
        </is>
      </c>
      <c r="F15" t="inlineStr">
        <is>
          <t xml:space="preserve">number</t>
        </is>
      </c>
      <c r="G15" t="inlineStr">
        <is>
          <t xml:space="preserve">promo_per_day</t>
        </is>
      </c>
      <c r="H15" t="inlineStr">
        <is>
          <t xml:space="preserve">Поиск заказов</t>
        </is>
      </c>
      <c r="I15" t="inlineStr">
        <is>
          <t xml:space="preserve">2</t>
        </is>
      </c>
      <c r="J15" t="inlineStr">
        <is>
          <t xml:space="preserve">ч/день</t>
        </is>
      </c>
      <c r="P15" t="inlineStr">
        <is>
          <t xml:space="preserve">0.5</t>
        </is>
      </c>
      <c r="S15" t="inlineStr">
        <is>
          <t xml:space="preserve">HTML: value / checked / selected</t>
        </is>
      </c>
    </row>
    <row r="16">
      <c r="A16" t="inlineStr">
        <is>
          <t xml:space="preserve">15</t>
        </is>
      </c>
      <c r="B16" t="inlineStr">
        <is>
          <t xml:space="preserve">Веб/calc.html</t>
        </is>
      </c>
      <c r="C16" t="inlineStr">
        <is>
          <t xml:space="preserve">08</t>
        </is>
      </c>
      <c r="D16" t="inlineStr">
        <is>
          <t xml:space="preserve">c_FormPromoTime</t>
        </is>
      </c>
      <c r="E16" t="inlineStr">
        <is>
          <t xml:space="preserve">Поиск заказов</t>
        </is>
      </c>
      <c r="F16" t="inlineStr">
        <is>
          <t xml:space="preserve">checkbox</t>
        </is>
      </c>
      <c r="G16" t="inlineStr">
        <is>
          <t xml:space="preserve">EXC:FormPromoTime</t>
        </is>
      </c>
      <c r="H16" t="inlineStr">
        <is>
          <t xml:space="preserve">Не учитывать этот блок в расчёте</t>
        </is>
      </c>
      <c r="I16" t="inlineStr">
        <is>
          <t xml:space="preserve">нет</t>
        </is>
      </c>
      <c r="S16" t="inlineStr">
        <is>
          <t xml:space="preserve">HTML: value / checked / selected</t>
        </is>
      </c>
    </row>
    <row r="17">
      <c r="A17" t="inlineStr">
        <is>
          <t xml:space="preserve">16</t>
        </is>
      </c>
      <c r="B17" t="inlineStr">
        <is>
          <t xml:space="preserve">Веб/calc.html</t>
        </is>
      </c>
      <c r="C17" t="inlineStr">
        <is>
          <t xml:space="preserve">09</t>
        </is>
      </c>
      <c r="D17" t="inlineStr">
        <is>
          <t xml:space="preserve">c_Form001</t>
        </is>
      </c>
      <c r="E17" t="inlineStr">
        <is>
          <t xml:space="preserve">Съёмочное оборудование</t>
        </is>
      </c>
      <c r="F17" t="inlineStr">
        <is>
          <t xml:space="preserve">checkbox</t>
        </is>
      </c>
      <c r="G17" t="inlineStr">
        <is>
          <t xml:space="preserve">EXC:Form001</t>
        </is>
      </c>
      <c r="H17" t="inlineStr">
        <is>
          <t xml:space="preserve">Не учитывать этот блок в расчёте</t>
        </is>
      </c>
      <c r="I17" t="inlineStr">
        <is>
          <t xml:space="preserve">нет</t>
        </is>
      </c>
      <c r="S17" t="inlineStr">
        <is>
          <t xml:space="preserve">HTML: value / checked / selected</t>
        </is>
      </c>
    </row>
    <row r="18">
      <c r="A18" t="inlineStr">
        <is>
          <t xml:space="preserve">17</t>
        </is>
      </c>
      <c r="B18" t="inlineStr">
        <is>
          <t xml:space="preserve">Веб/calc.html</t>
        </is>
      </c>
      <c r="C18" t="inlineStr">
        <is>
          <t xml:space="preserve">10</t>
        </is>
      </c>
      <c r="D18" t="inlineStr">
        <is>
          <t xml:space="preserve">c_Form002</t>
        </is>
      </c>
      <c r="E18" t="inlineStr">
        <is>
          <t xml:space="preserve">Офисное оборудование</t>
        </is>
      </c>
      <c r="F18" t="inlineStr">
        <is>
          <t xml:space="preserve">checkbox</t>
        </is>
      </c>
      <c r="G18" t="inlineStr">
        <is>
          <t xml:space="preserve">EXC:Form002</t>
        </is>
      </c>
      <c r="H18" t="inlineStr">
        <is>
          <t xml:space="preserve">Не учитывать этот блок в расчёте</t>
        </is>
      </c>
      <c r="I18" t="inlineStr">
        <is>
          <t xml:space="preserve">нет</t>
        </is>
      </c>
      <c r="S18" t="inlineStr">
        <is>
          <t xml:space="preserve">HTML: value / checked / selected</t>
        </is>
      </c>
    </row>
    <row r="19">
      <c r="A19" t="inlineStr">
        <is>
          <t xml:space="preserve">18</t>
        </is>
      </c>
      <c r="B19" t="inlineStr">
        <is>
          <t xml:space="preserve">Веб/calc.html</t>
        </is>
      </c>
      <c r="C19" t="inlineStr">
        <is>
          <t xml:space="preserve">11</t>
        </is>
      </c>
      <c r="D19" t="inlineStr">
        <is>
          <t xml:space="preserve">c_Form008b</t>
        </is>
      </c>
      <c r="E19" t="inlineStr">
        <is>
          <t xml:space="preserve">Программное обеспечение</t>
        </is>
      </c>
      <c r="F19" t="inlineStr">
        <is>
          <t xml:space="preserve">checkbox</t>
        </is>
      </c>
      <c r="G19" t="inlineStr">
        <is>
          <t xml:space="preserve">EXC:Form008b</t>
        </is>
      </c>
      <c r="H19" t="inlineStr">
        <is>
          <t xml:space="preserve">Не учитывать этот блок в расчёте</t>
        </is>
      </c>
      <c r="I19" t="inlineStr">
        <is>
          <t xml:space="preserve">нет</t>
        </is>
      </c>
      <c r="S19" t="inlineStr">
        <is>
          <t xml:space="preserve">HTML: value / checked / selected</t>
        </is>
      </c>
    </row>
    <row r="20">
      <c r="A20" t="inlineStr">
        <is>
          <t xml:space="preserve">19</t>
        </is>
      </c>
      <c r="B20" t="inlineStr">
        <is>
          <t xml:space="preserve">Веб/calc.html</t>
        </is>
      </c>
      <c r="C20" t="inlineStr">
        <is>
          <t xml:space="preserve">12</t>
        </is>
      </c>
      <c r="D20" t="inlineStr">
        <is>
          <t xml:space="preserve">c_Form009b</t>
        </is>
      </c>
      <c r="E20" t="inlineStr">
        <is>
          <t xml:space="preserve">Рабочее место</t>
        </is>
      </c>
      <c r="F20" t="inlineStr">
        <is>
          <t xml:space="preserve">radio</t>
        </is>
      </c>
      <c r="G20" t="inlineStr">
        <is>
          <t xml:space="preserve">ws_mode:home</t>
        </is>
      </c>
      <c r="H20" t="inlineStr">
        <is>
          <t xml:space="preserve">Работаю из дома</t>
        </is>
      </c>
      <c r="I20" t="inlineStr">
        <is>
          <t xml:space="preserve">да</t>
        </is>
      </c>
      <c r="M20" t="inlineStr">
        <is>
          <t xml:space="preserve">home</t>
        </is>
      </c>
      <c r="S20" t="inlineStr">
        <is>
          <t xml:space="preserve">HTML: value / checked / selected</t>
        </is>
      </c>
    </row>
    <row r="21">
      <c r="A21" t="inlineStr">
        <is>
          <t xml:space="preserve">20</t>
        </is>
      </c>
      <c r="B21" t="inlineStr">
        <is>
          <t xml:space="preserve">Веб/calc.html</t>
        </is>
      </c>
      <c r="C21" t="inlineStr">
        <is>
          <t xml:space="preserve">12</t>
        </is>
      </c>
      <c r="D21" t="inlineStr">
        <is>
          <t xml:space="preserve">c_Form009b</t>
        </is>
      </c>
      <c r="E21" t="inlineStr">
        <is>
          <t xml:space="preserve">Рабочее место</t>
        </is>
      </c>
      <c r="F21" t="inlineStr">
        <is>
          <t xml:space="preserve">radio</t>
        </is>
      </c>
      <c r="G21" t="inlineStr">
        <is>
          <t xml:space="preserve">ws_mode:office</t>
        </is>
      </c>
      <c r="H21" t="inlineStr">
        <is>
          <t xml:space="preserve">Арендую помещение</t>
        </is>
      </c>
      <c r="I21" t="inlineStr">
        <is>
          <t xml:space="preserve">нет</t>
        </is>
      </c>
      <c r="M21" t="inlineStr">
        <is>
          <t xml:space="preserve">office</t>
        </is>
      </c>
      <c r="S21" t="inlineStr">
        <is>
          <t xml:space="preserve">HTML: value / checked / selected</t>
        </is>
      </c>
    </row>
    <row r="22">
      <c r="A22" t="inlineStr">
        <is>
          <t xml:space="preserve">21</t>
        </is>
      </c>
      <c r="B22" t="inlineStr">
        <is>
          <t xml:space="preserve">Веб/calc.html</t>
        </is>
      </c>
      <c r="C22" t="inlineStr">
        <is>
          <t xml:space="preserve">12</t>
        </is>
      </c>
      <c r="D22" t="inlineStr">
        <is>
          <t xml:space="preserve">c_Form009b</t>
        </is>
      </c>
      <c r="E22" t="inlineStr">
        <is>
          <t xml:space="preserve">Рабочее место</t>
        </is>
      </c>
      <c r="F22" t="inlineStr">
        <is>
          <t xml:space="preserve">text</t>
        </is>
      </c>
      <c r="G22" t="inlineStr">
        <is>
          <t xml:space="preserve">home_rent</t>
        </is>
      </c>
      <c r="H22" t="inlineStr">
        <is>
          <t xml:space="preserve">Сколько вы платите за жильё в месяц</t>
        </is>
      </c>
      <c r="I22" t="inlineStr">
        <is>
          <t xml:space="preserve">40000</t>
        </is>
      </c>
      <c r="J22" t="inlineStr">
        <is>
          <t xml:space="preserve">₽/мес</t>
        </is>
      </c>
      <c r="Q22" t="inlineStr">
        <is>
          <t xml:space="preserve">рабочее место: дома</t>
        </is>
      </c>
      <c r="S22" t="inlineStr">
        <is>
          <t xml:space="preserve">HTML: value / checked / selected</t>
        </is>
      </c>
    </row>
    <row r="23">
      <c r="A23" t="inlineStr">
        <is>
          <t xml:space="preserve">22</t>
        </is>
      </c>
      <c r="B23" t="inlineStr">
        <is>
          <t xml:space="preserve">Веб/calc.html</t>
        </is>
      </c>
      <c r="C23" t="inlineStr">
        <is>
          <t xml:space="preserve">12</t>
        </is>
      </c>
      <c r="D23" t="inlineStr">
        <is>
          <t xml:space="preserve">c_Form009b</t>
        </is>
      </c>
      <c r="E23" t="inlineStr">
        <is>
          <t xml:space="preserve">Рабочее место</t>
        </is>
      </c>
      <c r="F23" t="inlineStr">
        <is>
          <t xml:space="preserve">checkbox</t>
        </is>
      </c>
      <c r="G23" t="inlineStr">
        <is>
          <t xml:space="preserve">own_home</t>
        </is>
      </c>
      <c r="H23" t="inlineStr">
        <is>
          <t xml:space="preserve">Живу в своём, ипотеки нет</t>
        </is>
      </c>
      <c r="I23" t="inlineStr">
        <is>
          <t xml:space="preserve">нет</t>
        </is>
      </c>
      <c r="Q23" t="inlineStr">
        <is>
          <t xml:space="preserve">рабочее место: дома</t>
        </is>
      </c>
      <c r="S23" t="inlineStr">
        <is>
          <t xml:space="preserve">HTML: value / checked / selected</t>
        </is>
      </c>
    </row>
    <row r="24">
      <c r="A24" t="inlineStr">
        <is>
          <t xml:space="preserve">23</t>
        </is>
      </c>
      <c r="B24" t="inlineStr">
        <is>
          <t xml:space="preserve">Веб/calc.html</t>
        </is>
      </c>
      <c r="C24" t="inlineStr">
        <is>
          <t xml:space="preserve">12</t>
        </is>
      </c>
      <c r="D24" t="inlineStr">
        <is>
          <t xml:space="preserve">c_Form009b</t>
        </is>
      </c>
      <c r="E24" t="inlineStr">
        <is>
          <t xml:space="preserve">Рабочее место</t>
        </is>
      </c>
      <c r="F24" t="inlineStr">
        <is>
          <t xml:space="preserve">text</t>
        </is>
      </c>
      <c r="G24" t="inlineStr">
        <is>
          <t xml:space="preserve">home_util</t>
        </is>
      </c>
      <c r="H24" t="inlineStr">
        <is>
          <t xml:space="preserve">Коммунальные платежи, интернет и связь</t>
        </is>
      </c>
      <c r="I24" t="inlineStr">
        <is>
          <t xml:space="preserve">7000</t>
        </is>
      </c>
      <c r="J24" t="inlineStr">
        <is>
          <t xml:space="preserve">₽/мес</t>
        </is>
      </c>
      <c r="Q24" t="inlineStr">
        <is>
          <t xml:space="preserve">рабочее место: дома</t>
        </is>
      </c>
      <c r="S24" t="inlineStr">
        <is>
          <t xml:space="preserve">HTML: value / checked / selected</t>
        </is>
      </c>
    </row>
    <row r="25">
      <c r="A25" t="inlineStr">
        <is>
          <t xml:space="preserve">24</t>
        </is>
      </c>
      <c r="B25" t="inlineStr">
        <is>
          <t xml:space="preserve">Веб/calc.html</t>
        </is>
      </c>
      <c r="C25" t="inlineStr">
        <is>
          <t xml:space="preserve">12</t>
        </is>
      </c>
      <c r="D25" t="inlineStr">
        <is>
          <t xml:space="preserve">c_Form009b</t>
        </is>
      </c>
      <c r="E25" t="inlineStr">
        <is>
          <t xml:space="preserve">Рабочее место</t>
        </is>
      </c>
      <c r="F25" t="inlineStr">
        <is>
          <t xml:space="preserve">number</t>
        </is>
      </c>
      <c r="G25" t="inlineStr">
        <is>
          <t xml:space="preserve">home_area</t>
        </is>
      </c>
      <c r="H25" t="inlineStr">
        <is>
          <t xml:space="preserve">Общая площадь вашего жилья</t>
        </is>
      </c>
      <c r="I25" t="inlineStr">
        <is>
          <t xml:space="preserve">50</t>
        </is>
      </c>
      <c r="J25" t="inlineStr">
        <is>
          <t xml:space="preserve">м²</t>
        </is>
      </c>
      <c r="Q25" t="inlineStr">
        <is>
          <t xml:space="preserve">рабочее место: дома</t>
        </is>
      </c>
      <c r="S25" t="inlineStr">
        <is>
          <t xml:space="preserve">HTML: value / checked / selected</t>
        </is>
      </c>
    </row>
    <row r="26">
      <c r="A26" t="inlineStr">
        <is>
          <t xml:space="preserve">25</t>
        </is>
      </c>
      <c r="B26" t="inlineStr">
        <is>
          <t xml:space="preserve">Веб/calc.html</t>
        </is>
      </c>
      <c r="C26" t="inlineStr">
        <is>
          <t xml:space="preserve">12</t>
        </is>
      </c>
      <c r="D26" t="inlineStr">
        <is>
          <t xml:space="preserve">c_Form009b</t>
        </is>
      </c>
      <c r="E26" t="inlineStr">
        <is>
          <t xml:space="preserve">Рабочее место</t>
        </is>
      </c>
      <c r="F26" t="inlineStr">
        <is>
          <t xml:space="preserve">number</t>
        </is>
      </c>
      <c r="G26" t="inlineStr">
        <is>
          <t xml:space="preserve">cab_area</t>
        </is>
      </c>
      <c r="H26" t="inlineStr">
        <is>
          <t xml:space="preserve">Сколько метров выделено под рабочую зону</t>
        </is>
      </c>
      <c r="I26" t="inlineStr">
        <is>
          <t xml:space="preserve">6</t>
        </is>
      </c>
      <c r="J26" t="inlineStr">
        <is>
          <t xml:space="preserve">м²</t>
        </is>
      </c>
      <c r="Q26" t="inlineStr">
        <is>
          <t xml:space="preserve">рабочее место: дома</t>
        </is>
      </c>
      <c r="S26" t="inlineStr">
        <is>
          <t xml:space="preserve">HTML: value / checked / selected</t>
        </is>
      </c>
    </row>
    <row r="27">
      <c r="A27" t="inlineStr">
        <is>
          <t xml:space="preserve">26</t>
        </is>
      </c>
      <c r="B27" t="inlineStr">
        <is>
          <t xml:space="preserve">Веб/calc.html</t>
        </is>
      </c>
      <c r="C27" t="inlineStr">
        <is>
          <t xml:space="preserve">12</t>
        </is>
      </c>
      <c r="D27" t="inlineStr">
        <is>
          <t xml:space="preserve">c_Form009b</t>
        </is>
      </c>
      <c r="E27" t="inlineStr">
        <is>
          <t xml:space="preserve">Рабочее место</t>
        </is>
      </c>
      <c r="F27" t="inlineStr">
        <is>
          <t xml:space="preserve">text</t>
        </is>
      </c>
      <c r="G27" t="inlineStr">
        <is>
          <t xml:space="preserve">office_rent</t>
        </is>
      </c>
      <c r="H27" t="inlineStr">
        <is>
          <t xml:space="preserve">Аренда помещения</t>
        </is>
      </c>
      <c r="I27" t="inlineStr">
        <is>
          <t xml:space="preserve">15000</t>
        </is>
      </c>
      <c r="J27" t="inlineStr">
        <is>
          <t xml:space="preserve">₽/мес</t>
        </is>
      </c>
      <c r="Q27" t="inlineStr">
        <is>
          <t xml:space="preserve">рабочее место: отдельное помещение</t>
        </is>
      </c>
      <c r="S27" t="inlineStr">
        <is>
          <t xml:space="preserve">HTML: value / checked / selected</t>
        </is>
      </c>
    </row>
    <row r="28">
      <c r="A28" t="inlineStr">
        <is>
          <t xml:space="preserve">27</t>
        </is>
      </c>
      <c r="B28" t="inlineStr">
        <is>
          <t xml:space="preserve">Веб/calc.html</t>
        </is>
      </c>
      <c r="C28" t="inlineStr">
        <is>
          <t xml:space="preserve">12</t>
        </is>
      </c>
      <c r="D28" t="inlineStr">
        <is>
          <t xml:space="preserve">c_Form009b</t>
        </is>
      </c>
      <c r="E28" t="inlineStr">
        <is>
          <t xml:space="preserve">Рабочее место</t>
        </is>
      </c>
      <c r="F28" t="inlineStr">
        <is>
          <t xml:space="preserve">text</t>
        </is>
      </c>
      <c r="G28" t="inlineStr">
        <is>
          <t xml:space="preserve">office_util</t>
        </is>
      </c>
      <c r="H28" t="inlineStr">
        <is>
          <t xml:space="preserve">Коммунальные платежи, интернет и связь</t>
        </is>
      </c>
      <c r="I28" t="inlineStr">
        <is>
          <t xml:space="preserve">7000</t>
        </is>
      </c>
      <c r="J28" t="inlineStr">
        <is>
          <t xml:space="preserve">₽/мес</t>
        </is>
      </c>
      <c r="Q28" t="inlineStr">
        <is>
          <t xml:space="preserve">рабочее место: отдельное помещение</t>
        </is>
      </c>
      <c r="S28" t="inlineStr">
        <is>
          <t xml:space="preserve">HTML: value / checked / selected</t>
        </is>
      </c>
    </row>
    <row r="29">
      <c r="A29" t="inlineStr">
        <is>
          <t xml:space="preserve">28</t>
        </is>
      </c>
      <c r="B29" t="inlineStr">
        <is>
          <t xml:space="preserve">Веб/calc.html</t>
        </is>
      </c>
      <c r="C29" t="inlineStr">
        <is>
          <t xml:space="preserve">12</t>
        </is>
      </c>
      <c r="D29" t="inlineStr">
        <is>
          <t xml:space="preserve">c_Form009b</t>
        </is>
      </c>
      <c r="E29" t="inlineStr">
        <is>
          <t xml:space="preserve">Рабочее место</t>
        </is>
      </c>
      <c r="F29" t="inlineStr">
        <is>
          <t xml:space="preserve">checkbox</t>
        </is>
      </c>
      <c r="G29" t="inlineStr">
        <is>
          <t xml:space="preserve">EXC:Form009b</t>
        </is>
      </c>
      <c r="H29" t="inlineStr">
        <is>
          <t xml:space="preserve">Не учитывать этот блок в расчёте</t>
        </is>
      </c>
      <c r="I29" t="inlineStr">
        <is>
          <t xml:space="preserve">нет</t>
        </is>
      </c>
      <c r="S29" t="inlineStr">
        <is>
          <t xml:space="preserve">HTML: value / checked / selected</t>
        </is>
      </c>
    </row>
    <row r="30">
      <c r="A30" t="inlineStr">
        <is>
          <t xml:space="preserve">29</t>
        </is>
      </c>
      <c r="B30" t="inlineStr">
        <is>
          <t xml:space="preserve">Веб/calc.html</t>
        </is>
      </c>
      <c r="C30" t="inlineStr">
        <is>
          <t xml:space="preserve">13</t>
        </is>
      </c>
      <c r="D30" t="inlineStr">
        <is>
          <t xml:space="preserve">c_Form006</t>
        </is>
      </c>
      <c r="E30" t="inlineStr">
        <is>
          <t xml:space="preserve">Обучение и курсы</t>
        </is>
      </c>
      <c r="F30" t="inlineStr">
        <is>
          <t xml:space="preserve">number</t>
        </is>
      </c>
      <c r="G30" t="inlineStr">
        <is>
          <t xml:space="preserve">edu_life</t>
        </is>
      </c>
      <c r="H30" t="inlineStr">
        <is>
          <t xml:space="preserve">За сколько лет окупить вложения в обучение</t>
        </is>
      </c>
      <c r="I30" t="inlineStr">
        <is>
          <t xml:space="preserve">7</t>
        </is>
      </c>
      <c r="J30" t="inlineStr">
        <is>
          <t xml:space="preserve">лет</t>
        </is>
      </c>
      <c r="S30" t="inlineStr">
        <is>
          <t xml:space="preserve">HTML: value / checked / selected</t>
        </is>
      </c>
    </row>
    <row r="31">
      <c r="A31" t="inlineStr">
        <is>
          <t xml:space="preserve">30</t>
        </is>
      </c>
      <c r="B31" t="inlineStr">
        <is>
          <t xml:space="preserve">Веб/calc.html</t>
        </is>
      </c>
      <c r="C31" t="inlineStr">
        <is>
          <t xml:space="preserve">13</t>
        </is>
      </c>
      <c r="D31" t="inlineStr">
        <is>
          <t xml:space="preserve">c_Form006</t>
        </is>
      </c>
      <c r="E31" t="inlineStr">
        <is>
          <t xml:space="preserve">Обучение и курсы</t>
        </is>
      </c>
      <c r="F31" t="inlineStr">
        <is>
          <t xml:space="preserve">checkbox</t>
        </is>
      </c>
      <c r="G31" t="inlineStr">
        <is>
          <t xml:space="preserve">EXC:Form006</t>
        </is>
      </c>
      <c r="H31" t="inlineStr">
        <is>
          <t xml:space="preserve">Не учитывать этот блок в расчёте</t>
        </is>
      </c>
      <c r="I31" t="inlineStr">
        <is>
          <t xml:space="preserve">нет</t>
        </is>
      </c>
      <c r="S31" t="inlineStr">
        <is>
          <t xml:space="preserve">HTML: value / checked / selected</t>
        </is>
      </c>
    </row>
    <row r="32">
      <c r="A32" t="inlineStr">
        <is>
          <t xml:space="preserve">31</t>
        </is>
      </c>
      <c r="B32" t="inlineStr">
        <is>
          <t xml:space="preserve">Веб/calc.html</t>
        </is>
      </c>
      <c r="C32" t="inlineStr">
        <is>
          <t xml:space="preserve">14</t>
        </is>
      </c>
      <c r="D32" t="inlineStr">
        <is>
          <t xml:space="preserve">c_Form014</t>
        </is>
      </c>
      <c r="E32" t="inlineStr">
        <is>
          <t xml:space="preserve">Создание сайта</t>
        </is>
      </c>
      <c r="F32" t="inlineStr">
        <is>
          <t xml:space="preserve">radio</t>
        </is>
      </c>
      <c r="G32" t="inlineStr">
        <is>
          <t xml:space="preserve">site_mode:hired</t>
        </is>
      </c>
      <c r="H32" t="inlineStr">
        <is>
          <t xml:space="preserve">Нанимал (а) специалиста</t>
        </is>
      </c>
      <c r="I32" t="inlineStr">
        <is>
          <t xml:space="preserve">да</t>
        </is>
      </c>
      <c r="M32" t="inlineStr">
        <is>
          <t xml:space="preserve">hired</t>
        </is>
      </c>
      <c r="S32" t="inlineStr">
        <is>
          <t xml:space="preserve">HTML: value / checked / selected</t>
        </is>
      </c>
    </row>
    <row r="33">
      <c r="A33" t="inlineStr">
        <is>
          <t xml:space="preserve">32</t>
        </is>
      </c>
      <c r="B33" t="inlineStr">
        <is>
          <t xml:space="preserve">Веб/calc.html</t>
        </is>
      </c>
      <c r="C33" t="inlineStr">
        <is>
          <t xml:space="preserve">14</t>
        </is>
      </c>
      <c r="D33" t="inlineStr">
        <is>
          <t xml:space="preserve">c_Form014</t>
        </is>
      </c>
      <c r="E33" t="inlineStr">
        <is>
          <t xml:space="preserve">Создание сайта</t>
        </is>
      </c>
      <c r="F33" t="inlineStr">
        <is>
          <t xml:space="preserve">radio</t>
        </is>
      </c>
      <c r="G33" t="inlineStr">
        <is>
          <t xml:space="preserve">site_mode:self</t>
        </is>
      </c>
      <c r="H33" t="inlineStr">
        <is>
          <t xml:space="preserve">Делал (а) самостоятельно</t>
        </is>
      </c>
      <c r="I33" t="inlineStr">
        <is>
          <t xml:space="preserve">нет</t>
        </is>
      </c>
      <c r="M33" t="inlineStr">
        <is>
          <t xml:space="preserve">self</t>
        </is>
      </c>
      <c r="S33" t="inlineStr">
        <is>
          <t xml:space="preserve">HTML: value / checked / selected</t>
        </is>
      </c>
    </row>
    <row r="34">
      <c r="A34" t="inlineStr">
        <is>
          <t xml:space="preserve">33</t>
        </is>
      </c>
      <c r="B34" t="inlineStr">
        <is>
          <t xml:space="preserve">Веб/calc.html</t>
        </is>
      </c>
      <c r="C34" t="inlineStr">
        <is>
          <t xml:space="preserve">14</t>
        </is>
      </c>
      <c r="D34" t="inlineStr">
        <is>
          <t xml:space="preserve">c_Form014</t>
        </is>
      </c>
      <c r="E34" t="inlineStr">
        <is>
          <t xml:space="preserve">Создание сайта</t>
        </is>
      </c>
      <c r="F34" t="inlineStr">
        <is>
          <t xml:space="preserve">text</t>
        </is>
      </c>
      <c r="G34" t="inlineStr">
        <is>
          <t xml:space="preserve">site_cost</t>
        </is>
      </c>
      <c r="H34" t="inlineStr">
        <is>
          <t xml:space="preserve">Сколько вы заплатили за создание сайта</t>
        </is>
      </c>
      <c r="I34" t="inlineStr">
        <is>
          <t xml:space="preserve">70000</t>
        </is>
      </c>
      <c r="J34" t="inlineStr">
        <is>
          <t xml:space="preserve">₽</t>
        </is>
      </c>
      <c r="Q34" t="inlineStr">
        <is>
          <t xml:space="preserve">сайт заказан у специалистов</t>
        </is>
      </c>
      <c r="S34" t="inlineStr">
        <is>
          <t xml:space="preserve">HTML: value / checked / selected</t>
        </is>
      </c>
    </row>
    <row r="35">
      <c r="A35" t="inlineStr">
        <is>
          <t xml:space="preserve">34</t>
        </is>
      </c>
      <c r="B35" t="inlineStr">
        <is>
          <t xml:space="preserve">Веб/calc.html</t>
        </is>
      </c>
      <c r="C35" t="inlineStr">
        <is>
          <t xml:space="preserve">14</t>
        </is>
      </c>
      <c r="D35" t="inlineStr">
        <is>
          <t xml:space="preserve">c_Form014</t>
        </is>
      </c>
      <c r="E35" t="inlineStr">
        <is>
          <t xml:space="preserve">Создание сайта</t>
        </is>
      </c>
      <c r="F35" t="inlineStr">
        <is>
          <t xml:space="preserve">number</t>
        </is>
      </c>
      <c r="G35" t="inlineStr">
        <is>
          <t xml:space="preserve">site_hours</t>
        </is>
      </c>
      <c r="H35" t="inlineStr">
        <is>
          <t xml:space="preserve">Сколько времени вы потратили на создание сайта</t>
        </is>
      </c>
      <c r="I35" t="inlineStr">
        <is>
          <t xml:space="preserve">80</t>
        </is>
      </c>
      <c r="J35" t="inlineStr">
        <is>
          <t xml:space="preserve">ч</t>
        </is>
      </c>
      <c r="Q35" t="inlineStr">
        <is>
          <t xml:space="preserve">сайт создан самостоятельно</t>
        </is>
      </c>
      <c r="S35" t="inlineStr">
        <is>
          <t xml:space="preserve">HTML: value / checked / selected</t>
        </is>
      </c>
    </row>
    <row r="36">
      <c r="A36" t="inlineStr">
        <is>
          <t xml:space="preserve">35</t>
        </is>
      </c>
      <c r="B36" t="inlineStr">
        <is>
          <t xml:space="preserve">Веб/calc.html</t>
        </is>
      </c>
      <c r="C36" t="inlineStr">
        <is>
          <t xml:space="preserve">14</t>
        </is>
      </c>
      <c r="D36" t="inlineStr">
        <is>
          <t xml:space="preserve">c_Form014</t>
        </is>
      </c>
      <c r="E36" t="inlineStr">
        <is>
          <t xml:space="preserve">Создание сайта</t>
        </is>
      </c>
      <c r="F36" t="inlineStr">
        <is>
          <t xml:space="preserve">number</t>
        </is>
      </c>
      <c r="G36" t="inlineStr">
        <is>
          <t xml:space="preserve">site_life</t>
        </is>
      </c>
      <c r="H36" t="inlineStr">
        <is>
          <t xml:space="preserve">За сколько лет окупить вложения в сайт</t>
        </is>
      </c>
      <c r="I36" t="inlineStr">
        <is>
          <t xml:space="preserve">7</t>
        </is>
      </c>
      <c r="J36" t="inlineStr">
        <is>
          <t xml:space="preserve">лет</t>
        </is>
      </c>
      <c r="S36" t="inlineStr">
        <is>
          <t xml:space="preserve">HTML: value / checked / selected</t>
        </is>
      </c>
    </row>
    <row r="37">
      <c r="A37" t="inlineStr">
        <is>
          <t xml:space="preserve">36</t>
        </is>
      </c>
      <c r="B37" t="inlineStr">
        <is>
          <t xml:space="preserve">Веб/calc.html</t>
        </is>
      </c>
      <c r="C37" t="inlineStr">
        <is>
          <t xml:space="preserve">14</t>
        </is>
      </c>
      <c r="D37" t="inlineStr">
        <is>
          <t xml:space="preserve">c_Form014</t>
        </is>
      </c>
      <c r="E37" t="inlineStr">
        <is>
          <t xml:space="preserve">Создание сайта</t>
        </is>
      </c>
      <c r="F37" t="inlineStr">
        <is>
          <t xml:space="preserve">checkbox</t>
        </is>
      </c>
      <c r="G37" t="inlineStr">
        <is>
          <t xml:space="preserve">EXC:Form014</t>
        </is>
      </c>
      <c r="H37" t="inlineStr">
        <is>
          <t xml:space="preserve">Не учитывать этот блок в расчёте</t>
        </is>
      </c>
      <c r="I37" t="inlineStr">
        <is>
          <t xml:space="preserve">нет</t>
        </is>
      </c>
      <c r="S37" t="inlineStr">
        <is>
          <t xml:space="preserve">HTML: value / checked / selected</t>
        </is>
      </c>
    </row>
    <row r="38">
      <c r="A38" t="inlineStr">
        <is>
          <t xml:space="preserve">37</t>
        </is>
      </c>
      <c r="B38" t="inlineStr">
        <is>
          <t xml:space="preserve">Веб/calc.html</t>
        </is>
      </c>
      <c r="C38" t="inlineStr">
        <is>
          <t xml:space="preserve">15</t>
        </is>
      </c>
      <c r="D38" t="inlineStr">
        <is>
          <t xml:space="preserve">c_Form010</t>
        </is>
      </c>
      <c r="E38" t="inlineStr">
        <is>
          <t xml:space="preserve">Реклама и продвижение</t>
        </is>
      </c>
      <c r="F38" t="inlineStr">
        <is>
          <t xml:space="preserve">checkbox</t>
        </is>
      </c>
      <c r="G38" t="inlineStr">
        <is>
          <t xml:space="preserve">EXC:Form010</t>
        </is>
      </c>
      <c r="H38" t="inlineStr">
        <is>
          <t xml:space="preserve">Не учитывать этот блок в расчёте</t>
        </is>
      </c>
      <c r="I38" t="inlineStr">
        <is>
          <t xml:space="preserve">нет</t>
        </is>
      </c>
      <c r="S38" t="inlineStr">
        <is>
          <t xml:space="preserve">HTML: value / checked / selected</t>
        </is>
      </c>
    </row>
    <row r="39">
      <c r="A39" t="inlineStr">
        <is>
          <t xml:space="preserve">38</t>
        </is>
      </c>
      <c r="B39" t="inlineStr">
        <is>
          <t xml:space="preserve">Веб/calc.html</t>
        </is>
      </c>
      <c r="C39" t="inlineStr">
        <is>
          <t xml:space="preserve">16</t>
        </is>
      </c>
      <c r="D39" t="inlineStr">
        <is>
          <t xml:space="preserve">c_Form015b</t>
        </is>
      </c>
      <c r="E39" t="inlineStr">
        <is>
          <t xml:space="preserve">Банковское обслуживание</t>
        </is>
      </c>
      <c r="F39" t="inlineStr">
        <is>
          <t xml:space="preserve">text</t>
        </is>
      </c>
      <c r="G39" t="inlineStr">
        <is>
          <t xml:space="preserve">acq_name</t>
        </is>
      </c>
      <c r="H39" t="inlineStr">
        <is>
          <t xml:space="preserve">Банковское обслуживание</t>
        </is>
      </c>
      <c r="I39" t="inlineStr">
        <is>
          <t xml:space="preserve">Эквайринг</t>
        </is>
      </c>
      <c r="J39" t="inlineStr">
        <is>
          <t xml:space="preserve">%</t>
        </is>
      </c>
      <c r="Q39" t="inlineStr">
        <is>
          <t xml:space="preserve">строка эквайринга включена</t>
        </is>
      </c>
      <c r="S39" t="inlineStr">
        <is>
          <t xml:space="preserve">HTML: value / checked / selected</t>
        </is>
      </c>
    </row>
    <row r="40">
      <c r="A40" t="inlineStr">
        <is>
          <t xml:space="preserve">39</t>
        </is>
      </c>
      <c r="B40" t="inlineStr">
        <is>
          <t xml:space="preserve">Веб/calc.html</t>
        </is>
      </c>
      <c r="C40" t="inlineStr">
        <is>
          <t xml:space="preserve">16</t>
        </is>
      </c>
      <c r="D40" t="inlineStr">
        <is>
          <t xml:space="preserve">c_Form015b</t>
        </is>
      </c>
      <c r="E40" t="inlineStr">
        <is>
          <t xml:space="preserve">Банковское обслуживание</t>
        </is>
      </c>
      <c r="F40" t="inlineStr">
        <is>
          <t xml:space="preserve">number</t>
        </is>
      </c>
      <c r="G40" t="inlineStr">
        <is>
          <t xml:space="preserve">acq_rate</t>
        </is>
      </c>
      <c r="H40" t="inlineStr">
        <is>
          <t xml:space="preserve">Банковское обслуживание</t>
        </is>
      </c>
      <c r="I40" t="inlineStr">
        <is>
          <t xml:space="preserve">2.7</t>
        </is>
      </c>
      <c r="J40" t="inlineStr">
        <is>
          <t xml:space="preserve">%</t>
        </is>
      </c>
      <c r="P40" t="inlineStr">
        <is>
          <t xml:space="preserve">0.1</t>
        </is>
      </c>
      <c r="Q40" t="inlineStr">
        <is>
          <t xml:space="preserve">строка эквайринга включена</t>
        </is>
      </c>
      <c r="S40" t="inlineStr">
        <is>
          <t xml:space="preserve">HTML: value / checked / selected</t>
        </is>
      </c>
    </row>
    <row r="41">
      <c r="A41" t="inlineStr">
        <is>
          <t xml:space="preserve">40</t>
        </is>
      </c>
      <c r="B41" t="inlineStr">
        <is>
          <t xml:space="preserve">Веб/calc.html</t>
        </is>
      </c>
      <c r="C41" t="inlineStr">
        <is>
          <t xml:space="preserve">16</t>
        </is>
      </c>
      <c r="D41" t="inlineStr">
        <is>
          <t xml:space="preserve">c_Form015b</t>
        </is>
      </c>
      <c r="E41" t="inlineStr">
        <is>
          <t xml:space="preserve">Банковское обслуживание</t>
        </is>
      </c>
      <c r="F41" t="inlineStr">
        <is>
          <t xml:space="preserve">number</t>
        </is>
      </c>
      <c r="G41" t="inlineStr">
        <is>
          <t xml:space="preserve">acq_share</t>
        </is>
      </c>
      <c r="H41" t="inlineStr">
        <is>
          <t xml:space="preserve">Доля безналичных платежей</t>
        </is>
      </c>
      <c r="I41" t="inlineStr">
        <is>
          <t xml:space="preserve">100</t>
        </is>
      </c>
      <c r="J41" t="inlineStr">
        <is>
          <t xml:space="preserve">%</t>
        </is>
      </c>
      <c r="P41" t="inlineStr">
        <is>
          <t xml:space="preserve">5</t>
        </is>
      </c>
      <c r="Q41" t="inlineStr">
        <is>
          <t xml:space="preserve">строка эквайринга включена</t>
        </is>
      </c>
      <c r="S41" t="inlineStr">
        <is>
          <t xml:space="preserve">HTML: value / checked / selected</t>
        </is>
      </c>
    </row>
    <row r="42">
      <c r="A42" t="inlineStr">
        <is>
          <t xml:space="preserve">41</t>
        </is>
      </c>
      <c r="B42" t="inlineStr">
        <is>
          <t xml:space="preserve">Веб/calc.html</t>
        </is>
      </c>
      <c r="C42" t="inlineStr">
        <is>
          <t xml:space="preserve">16</t>
        </is>
      </c>
      <c r="D42" t="inlineStr">
        <is>
          <t xml:space="preserve">c_Form015b</t>
        </is>
      </c>
      <c r="E42" t="inlineStr">
        <is>
          <t xml:space="preserve">Банковское обслуживание</t>
        </is>
      </c>
      <c r="F42" t="inlineStr">
        <is>
          <t xml:space="preserve">checkbox</t>
        </is>
      </c>
      <c r="G42" t="inlineStr">
        <is>
          <t xml:space="preserve">EXC:Form015b</t>
        </is>
      </c>
      <c r="H42" t="inlineStr">
        <is>
          <t xml:space="preserve">Не учитывать этот блок в расчёте</t>
        </is>
      </c>
      <c r="I42" t="inlineStr">
        <is>
          <t xml:space="preserve">нет</t>
        </is>
      </c>
      <c r="S42" t="inlineStr">
        <is>
          <t xml:space="preserve">HTML: value / checked / selected</t>
        </is>
      </c>
    </row>
    <row r="43">
      <c r="A43" t="inlineStr">
        <is>
          <t xml:space="preserve">42</t>
        </is>
      </c>
      <c r="B43" t="inlineStr">
        <is>
          <t xml:space="preserve">Веб/calc.html</t>
        </is>
      </c>
      <c r="C43" t="inlineStr">
        <is>
          <t xml:space="preserve">17</t>
        </is>
      </c>
      <c r="D43" t="inlineStr">
        <is>
          <t xml:space="preserve">c_Form011</t>
        </is>
      </c>
      <c r="E43" t="inlineStr">
        <is>
          <t xml:space="preserve">Бухгалтерия и учёт</t>
        </is>
      </c>
      <c r="F43" t="inlineStr">
        <is>
          <t xml:space="preserve">radio</t>
        </is>
      </c>
      <c r="G43" t="inlineStr">
        <is>
          <t xml:space="preserve">acc_mode:self</t>
        </is>
      </c>
      <c r="H43" t="inlineStr">
        <is>
          <t xml:space="preserve">Веду самостоятельно</t>
        </is>
      </c>
      <c r="I43" t="inlineStr">
        <is>
          <t xml:space="preserve">да</t>
        </is>
      </c>
      <c r="M43" t="inlineStr">
        <is>
          <t xml:space="preserve">self</t>
        </is>
      </c>
      <c r="S43" t="inlineStr">
        <is>
          <t xml:space="preserve">HTML: value / checked / selected</t>
        </is>
      </c>
    </row>
    <row r="44">
      <c r="A44" t="inlineStr">
        <is>
          <t xml:space="preserve">43</t>
        </is>
      </c>
      <c r="B44" t="inlineStr">
        <is>
          <t xml:space="preserve">Веб/calc.html</t>
        </is>
      </c>
      <c r="C44" t="inlineStr">
        <is>
          <t xml:space="preserve">17</t>
        </is>
      </c>
      <c r="D44" t="inlineStr">
        <is>
          <t xml:space="preserve">c_Form011</t>
        </is>
      </c>
      <c r="E44" t="inlineStr">
        <is>
          <t xml:space="preserve">Бухгалтерия и учёт</t>
        </is>
      </c>
      <c r="F44" t="inlineStr">
        <is>
          <t xml:space="preserve">radio</t>
        </is>
      </c>
      <c r="G44" t="inlineStr">
        <is>
          <t xml:space="preserve">acc_mode:hired</t>
        </is>
      </c>
      <c r="H44" t="inlineStr">
        <is>
          <t xml:space="preserve">Нанимаю специалиста</t>
        </is>
      </c>
      <c r="I44" t="inlineStr">
        <is>
          <t xml:space="preserve">нет</t>
        </is>
      </c>
      <c r="M44" t="inlineStr">
        <is>
          <t xml:space="preserve">hired</t>
        </is>
      </c>
      <c r="S44" t="inlineStr">
        <is>
          <t xml:space="preserve">HTML: value / checked / selected</t>
        </is>
      </c>
    </row>
    <row r="45">
      <c r="A45" t="inlineStr">
        <is>
          <t xml:space="preserve">44</t>
        </is>
      </c>
      <c r="B45" t="inlineStr">
        <is>
          <t xml:space="preserve">Веб/calc.html</t>
        </is>
      </c>
      <c r="C45" t="inlineStr">
        <is>
          <t xml:space="preserve">17</t>
        </is>
      </c>
      <c r="D45" t="inlineStr">
        <is>
          <t xml:space="preserve">c_Form011</t>
        </is>
      </c>
      <c r="E45" t="inlineStr">
        <is>
          <t xml:space="preserve">Бухгалтерия и учёт</t>
        </is>
      </c>
      <c r="F45" t="inlineStr">
        <is>
          <t xml:space="preserve">number</t>
        </is>
      </c>
      <c r="G45" t="inlineStr">
        <is>
          <t xml:space="preserve">acc_per_quarter</t>
        </is>
      </c>
      <c r="H45" t="inlineStr">
        <is>
          <t xml:space="preserve">Сколько часов в квартал уходит на отчётность</t>
        </is>
      </c>
      <c r="I45" t="inlineStr">
        <is>
          <t xml:space="preserve">3</t>
        </is>
      </c>
      <c r="J45" t="inlineStr">
        <is>
          <t xml:space="preserve">ч</t>
        </is>
      </c>
      <c r="Q45" t="inlineStr">
        <is>
          <t xml:space="preserve">учёт ведётся самостоятельно</t>
        </is>
      </c>
      <c r="S45" t="inlineStr">
        <is>
          <t xml:space="preserve">HTML: value / checked / selected</t>
        </is>
      </c>
    </row>
    <row r="46">
      <c r="A46" t="inlineStr">
        <is>
          <t xml:space="preserve">45</t>
        </is>
      </c>
      <c r="B46" t="inlineStr">
        <is>
          <t xml:space="preserve">Веб/calc.html</t>
        </is>
      </c>
      <c r="C46" t="inlineStr">
        <is>
          <t xml:space="preserve">17</t>
        </is>
      </c>
      <c r="D46" t="inlineStr">
        <is>
          <t xml:space="preserve">c_Form011</t>
        </is>
      </c>
      <c r="E46" t="inlineStr">
        <is>
          <t xml:space="preserve">Бухгалтерия и учёт</t>
        </is>
      </c>
      <c r="F46" t="inlineStr">
        <is>
          <t xml:space="preserve">text</t>
        </is>
      </c>
      <c r="G46" t="inlineStr">
        <is>
          <t xml:space="preserve">acc_cost_month</t>
        </is>
      </c>
      <c r="H46" t="inlineStr">
        <is>
          <t xml:space="preserve">Сколько стоит ведение учёта</t>
        </is>
      </c>
      <c r="I46" t="inlineStr">
        <is>
          <t xml:space="preserve">10000</t>
        </is>
      </c>
      <c r="J46" t="inlineStr">
        <is>
          <t xml:space="preserve">₽/мес</t>
        </is>
      </c>
      <c r="Q46" t="inlineStr">
        <is>
          <t xml:space="preserve">учёт ведёт специалист</t>
        </is>
      </c>
      <c r="S46" t="inlineStr">
        <is>
          <t xml:space="preserve">HTML: value / checked / selected</t>
        </is>
      </c>
    </row>
    <row r="47">
      <c r="A47" t="inlineStr">
        <is>
          <t xml:space="preserve">46</t>
        </is>
      </c>
      <c r="B47" t="inlineStr">
        <is>
          <t xml:space="preserve">Веб/calc.html</t>
        </is>
      </c>
      <c r="C47" t="inlineStr">
        <is>
          <t xml:space="preserve">17</t>
        </is>
      </c>
      <c r="D47" t="inlineStr">
        <is>
          <t xml:space="preserve">c_Form011</t>
        </is>
      </c>
      <c r="E47" t="inlineStr">
        <is>
          <t xml:space="preserve">Бухгалтерия и учёт</t>
        </is>
      </c>
      <c r="F47" t="inlineStr">
        <is>
          <t xml:space="preserve">checkbox</t>
        </is>
      </c>
      <c r="G47" t="inlineStr">
        <is>
          <t xml:space="preserve">EXC:Form011</t>
        </is>
      </c>
      <c r="H47" t="inlineStr">
        <is>
          <t xml:space="preserve">Не учитывать этот блок в расчёте</t>
        </is>
      </c>
      <c r="I47" t="inlineStr">
        <is>
          <t xml:space="preserve">нет</t>
        </is>
      </c>
      <c r="S47" t="inlineStr">
        <is>
          <t xml:space="preserve">HTML: value / checked / selected</t>
        </is>
      </c>
    </row>
    <row r="48">
      <c r="A48" t="inlineStr">
        <is>
          <t xml:space="preserve">47</t>
        </is>
      </c>
      <c r="B48" t="inlineStr">
        <is>
          <t xml:space="preserve">Веб/calc.html</t>
        </is>
      </c>
      <c r="C48" t="inlineStr">
        <is>
          <t xml:space="preserve">18</t>
        </is>
      </c>
      <c r="D48" t="inlineStr">
        <is>
          <t xml:space="preserve">c_Form018</t>
        </is>
      </c>
      <c r="E48" t="inlineStr">
        <is>
          <t xml:space="preserve">Резерв времени на простой и форс-мажоры</t>
        </is>
      </c>
      <c r="F48" t="inlineStr">
        <is>
          <t xml:space="preserve">checkbox</t>
        </is>
      </c>
      <c r="G48" t="inlineStr">
        <is>
          <t xml:space="preserve">fm_on</t>
        </is>
      </c>
      <c r="H48" t="inlineStr">
        <is>
          <t xml:space="preserve">Учитывать резерв времени на простой и форс-мажоры</t>
        </is>
      </c>
      <c r="I48" t="inlineStr">
        <is>
          <t xml:space="preserve">нет</t>
        </is>
      </c>
      <c r="S48" t="inlineStr">
        <is>
          <t xml:space="preserve">HTML: value / checked / selected</t>
        </is>
      </c>
    </row>
    <row r="49">
      <c r="A49" t="inlineStr">
        <is>
          <t xml:space="preserve">48</t>
        </is>
      </c>
      <c r="B49" t="inlineStr">
        <is>
          <t xml:space="preserve">Веб/calc.html</t>
        </is>
      </c>
      <c r="C49" t="inlineStr">
        <is>
          <t xml:space="preserve">18</t>
        </is>
      </c>
      <c r="D49" t="inlineStr">
        <is>
          <t xml:space="preserve">c_Form018</t>
        </is>
      </c>
      <c r="E49" t="inlineStr">
        <is>
          <t xml:space="preserve">Резерв времени на простой и форс-мажоры</t>
        </is>
      </c>
      <c r="F49" t="inlineStr">
        <is>
          <t xml:space="preserve">range</t>
        </is>
      </c>
      <c r="G49" t="inlineStr">
        <is>
          <t xml:space="preserve">fm_pct</t>
        </is>
      </c>
      <c r="H49" t="inlineStr">
        <is>
          <t xml:space="preserve">Резерв времени на простой и форс-мажоры</t>
        </is>
      </c>
      <c r="I49" t="inlineStr">
        <is>
          <t xml:space="preserve">5</t>
        </is>
      </c>
      <c r="N49" t="inlineStr">
        <is>
          <t xml:space="preserve">0</t>
        </is>
      </c>
      <c r="O49" t="inlineStr">
        <is>
          <t xml:space="preserve">15</t>
        </is>
      </c>
      <c r="P49" t="inlineStr">
        <is>
          <t xml:space="preserve">1</t>
        </is>
      </c>
      <c r="S49" t="inlineStr">
        <is>
          <t xml:space="preserve">HTML: value / checked / selected</t>
        </is>
      </c>
    </row>
    <row r="50">
      <c r="A50" t="inlineStr">
        <is>
          <t xml:space="preserve">49</t>
        </is>
      </c>
      <c r="B50" t="inlineStr">
        <is>
          <t xml:space="preserve">Веб/calc.html</t>
        </is>
      </c>
      <c r="C50" t="inlineStr">
        <is>
          <t xml:space="preserve">19</t>
        </is>
      </c>
      <c r="D50" t="inlineStr">
        <is>
          <t xml:space="preserve">c_Form016</t>
        </is>
      </c>
      <c r="E50" t="inlineStr">
        <is>
          <t xml:space="preserve">Фонд развития</t>
        </is>
      </c>
      <c r="F50" t="inlineStr">
        <is>
          <t xml:space="preserve">checkbox</t>
        </is>
      </c>
      <c r="G50" t="inlineStr">
        <is>
          <t xml:space="preserve">fund_on</t>
        </is>
      </c>
      <c r="H50" t="inlineStr">
        <is>
          <t xml:space="preserve">Заложить фонд развития</t>
        </is>
      </c>
      <c r="I50" t="inlineStr">
        <is>
          <t xml:space="preserve">нет</t>
        </is>
      </c>
      <c r="S50" t="inlineStr">
        <is>
          <t xml:space="preserve">HTML: value / checked / selected</t>
        </is>
      </c>
    </row>
    <row r="51">
      <c r="A51" t="inlineStr">
        <is>
          <t xml:space="preserve">50</t>
        </is>
      </c>
      <c r="B51" t="inlineStr">
        <is>
          <t xml:space="preserve">Веб/calc.html</t>
        </is>
      </c>
      <c r="C51" t="inlineStr">
        <is>
          <t xml:space="preserve">19</t>
        </is>
      </c>
      <c r="D51" t="inlineStr">
        <is>
          <t xml:space="preserve">c_Form016</t>
        </is>
      </c>
      <c r="E51" t="inlineStr">
        <is>
          <t xml:space="preserve">Фонд развития</t>
        </is>
      </c>
      <c r="F51" t="inlineStr">
        <is>
          <t xml:space="preserve">range</t>
        </is>
      </c>
      <c r="G51" t="inlineStr">
        <is>
          <t xml:space="preserve">fund_pct</t>
        </is>
      </c>
      <c r="H51" t="inlineStr">
        <is>
          <t xml:space="preserve">Фонд развития</t>
        </is>
      </c>
      <c r="I51" t="inlineStr">
        <is>
          <t xml:space="preserve">10</t>
        </is>
      </c>
      <c r="N51" t="inlineStr">
        <is>
          <t xml:space="preserve">0</t>
        </is>
      </c>
      <c r="O51" t="inlineStr">
        <is>
          <t xml:space="preserve">20</t>
        </is>
      </c>
      <c r="P51" t="inlineStr">
        <is>
          <t xml:space="preserve">1</t>
        </is>
      </c>
      <c r="S51" t="inlineStr">
        <is>
          <t xml:space="preserve">HTML: value / checked / selected</t>
        </is>
      </c>
    </row>
    <row r="52">
      <c r="A52" t="inlineStr">
        <is>
          <t xml:space="preserve">51</t>
        </is>
      </c>
      <c r="B52" t="inlineStr">
        <is>
          <t xml:space="preserve">Веб/calc.html</t>
        </is>
      </c>
      <c r="C52" t="inlineStr">
        <is>
          <t xml:space="preserve">20</t>
        </is>
      </c>
      <c r="D52" t="inlineStr">
        <is>
          <t xml:space="preserve">c_Form017</t>
        </is>
      </c>
      <c r="E52" t="inlineStr">
        <is>
          <t xml:space="preserve">Запас на скидку</t>
        </is>
      </c>
      <c r="F52" t="inlineStr">
        <is>
          <t xml:space="preserve">checkbox</t>
        </is>
      </c>
      <c r="G52" t="inlineStr">
        <is>
          <t xml:space="preserve">disc_on</t>
        </is>
      </c>
      <c r="H52" t="inlineStr">
        <is>
          <t xml:space="preserve">Заложить запас на скидку</t>
        </is>
      </c>
      <c r="I52" t="inlineStr">
        <is>
          <t xml:space="preserve">нет</t>
        </is>
      </c>
      <c r="S52" t="inlineStr">
        <is>
          <t xml:space="preserve">HTML: value / checked / selected</t>
        </is>
      </c>
    </row>
    <row r="53">
      <c r="A53" t="inlineStr">
        <is>
          <t xml:space="preserve">52</t>
        </is>
      </c>
      <c r="B53" t="inlineStr">
        <is>
          <t xml:space="preserve">Веб/calc.html</t>
        </is>
      </c>
      <c r="C53" t="inlineStr">
        <is>
          <t xml:space="preserve">20</t>
        </is>
      </c>
      <c r="D53" t="inlineStr">
        <is>
          <t xml:space="preserve">c_Form017</t>
        </is>
      </c>
      <c r="E53" t="inlineStr">
        <is>
          <t xml:space="preserve">Запас на скидку</t>
        </is>
      </c>
      <c r="F53" t="inlineStr">
        <is>
          <t xml:space="preserve">radio</t>
        </is>
      </c>
      <c r="G53" t="inlineStr">
        <is>
          <t xml:space="preserve">disc_lvl:5</t>
        </is>
      </c>
      <c r="H53" t="inlineStr">
        <is>
          <t xml:space="preserve">5% скромно</t>
        </is>
      </c>
      <c r="I53" t="inlineStr">
        <is>
          <t xml:space="preserve">нет</t>
        </is>
      </c>
      <c r="M53" t="inlineStr">
        <is>
          <t xml:space="preserve">5</t>
        </is>
      </c>
      <c r="Q53" t="inlineStr">
        <is>
          <t xml:space="preserve">Резерв программы лояльности включён</t>
        </is>
      </c>
      <c r="S53" t="inlineStr">
        <is>
          <t xml:space="preserve">HTML: value / checked / selected</t>
        </is>
      </c>
    </row>
    <row r="54">
      <c r="A54" t="inlineStr">
        <is>
          <t xml:space="preserve">53</t>
        </is>
      </c>
      <c r="B54" t="inlineStr">
        <is>
          <t xml:space="preserve">Веб/calc.html</t>
        </is>
      </c>
      <c r="C54" t="inlineStr">
        <is>
          <t xml:space="preserve">20</t>
        </is>
      </c>
      <c r="D54" t="inlineStr">
        <is>
          <t xml:space="preserve">c_Form017</t>
        </is>
      </c>
      <c r="E54" t="inlineStr">
        <is>
          <t xml:space="preserve">Запас на скидку</t>
        </is>
      </c>
      <c r="F54" t="inlineStr">
        <is>
          <t xml:space="preserve">radio</t>
        </is>
      </c>
      <c r="G54" t="inlineStr">
        <is>
          <t xml:space="preserve">disc_lvl:10</t>
        </is>
      </c>
      <c r="H54" t="inlineStr">
        <is>
          <t xml:space="preserve">10% умеренно</t>
        </is>
      </c>
      <c r="I54" t="inlineStr">
        <is>
          <t xml:space="preserve">нет</t>
        </is>
      </c>
      <c r="M54" t="inlineStr">
        <is>
          <t xml:space="preserve">10</t>
        </is>
      </c>
      <c r="Q54" t="inlineStr">
        <is>
          <t xml:space="preserve">Резерв программы лояльности включён</t>
        </is>
      </c>
      <c r="S54" t="inlineStr">
        <is>
          <t xml:space="preserve">HTML: value / checked / selected</t>
        </is>
      </c>
    </row>
    <row r="55">
      <c r="A55" t="inlineStr">
        <is>
          <t xml:space="preserve">54</t>
        </is>
      </c>
      <c r="B55" t="inlineStr">
        <is>
          <t xml:space="preserve">Веб/calc.html</t>
        </is>
      </c>
      <c r="C55" t="inlineStr">
        <is>
          <t xml:space="preserve">20</t>
        </is>
      </c>
      <c r="D55" t="inlineStr">
        <is>
          <t xml:space="preserve">c_Form017</t>
        </is>
      </c>
      <c r="E55" t="inlineStr">
        <is>
          <t xml:space="preserve">Запас на скидку</t>
        </is>
      </c>
      <c r="F55" t="inlineStr">
        <is>
          <t xml:space="preserve">radio</t>
        </is>
      </c>
      <c r="G55" t="inlineStr">
        <is>
          <t xml:space="preserve">disc_lvl:15</t>
        </is>
      </c>
      <c r="H55" t="inlineStr">
        <is>
          <t xml:space="preserve">15% хорошо</t>
        </is>
      </c>
      <c r="I55" t="inlineStr">
        <is>
          <t xml:space="preserve">да</t>
        </is>
      </c>
      <c r="M55" t="inlineStr">
        <is>
          <t xml:space="preserve">15</t>
        </is>
      </c>
      <c r="Q55" t="inlineStr">
        <is>
          <t xml:space="preserve">Резерв программы лояльности включён</t>
        </is>
      </c>
      <c r="S55" t="inlineStr">
        <is>
          <t xml:space="preserve">HTML: value / checked / selected</t>
        </is>
      </c>
    </row>
    <row r="56">
      <c r="A56" t="inlineStr">
        <is>
          <t xml:space="preserve">55</t>
        </is>
      </c>
      <c r="B56" t="inlineStr">
        <is>
          <t xml:space="preserve">Веб/calc.html</t>
        </is>
      </c>
      <c r="C56" t="inlineStr">
        <is>
          <t xml:space="preserve">20</t>
        </is>
      </c>
      <c r="D56" t="inlineStr">
        <is>
          <t xml:space="preserve">c_Form017</t>
        </is>
      </c>
      <c r="E56" t="inlineStr">
        <is>
          <t xml:space="preserve">Запас на скидку</t>
        </is>
      </c>
      <c r="F56" t="inlineStr">
        <is>
          <t xml:space="preserve">hidden</t>
        </is>
      </c>
      <c r="G56" t="inlineStr">
        <is>
          <t xml:space="preserve">disc_pct</t>
        </is>
      </c>
      <c r="H56" t="inlineStr">
        <is>
          <t xml:space="preserve">Запас на скидку</t>
        </is>
      </c>
      <c r="I56" t="inlineStr">
        <is>
          <t xml:space="preserve">15</t>
        </is>
      </c>
      <c r="S56" t="inlineStr">
        <is>
          <t xml:space="preserve">HTML: value / checked / selected</t>
        </is>
      </c>
    </row>
    <row r="57">
      <c r="A57" t="inlineStr">
        <is>
          <t xml:space="preserve">56</t>
        </is>
      </c>
      <c r="B57" t="inlineStr">
        <is>
          <t xml:space="preserve">Веб/calc.html</t>
        </is>
      </c>
      <c r="C57" t="inlineStr">
        <is>
          <t xml:space="preserve">09</t>
        </is>
      </c>
      <c r="D57" t="inlineStr">
        <is>
          <t xml:space="preserve">c_Form001</t>
        </is>
      </c>
      <c r="E57" t="inlineStr">
        <is>
          <t xml:space="preserve">Съёмочное оборудование</t>
        </is>
      </c>
      <c r="F57" t="inlineStr">
        <is>
          <t xml:space="preserve">catalog_item</t>
        </is>
      </c>
      <c r="G57" t="inlineStr">
        <is>
          <t xml:space="preserve">Form001[1]</t>
        </is>
      </c>
      <c r="H57" t="inlineStr">
        <is>
          <t xml:space="preserve">Canon EOS R6 Mark II Body</t>
        </is>
      </c>
      <c r="I57" t="inlineStr">
        <is>
          <t xml:space="preserve">166999</t>
        </is>
      </c>
      <c r="J57" t="inlineStr">
        <is>
          <t xml:space="preserve">₽</t>
        </is>
      </c>
      <c r="K57" t="inlineStr">
        <is>
          <t xml:space="preserve">3 лет</t>
        </is>
      </c>
      <c r="L57" t="inlineStr">
        <is>
          <t xml:space="preserve">life</t>
        </is>
      </c>
      <c r="R57" t="inlineStr">
        <is>
          <t xml:space="preserve">Form001</t>
        </is>
      </c>
      <c r="S57" t="inlineStr">
        <is>
          <t xml:space="preserve">JavaScript CAT в calc.html</t>
        </is>
      </c>
    </row>
    <row r="58">
      <c r="A58" t="inlineStr">
        <is>
          <t xml:space="preserve">57</t>
        </is>
      </c>
      <c r="B58" t="inlineStr">
        <is>
          <t xml:space="preserve">Веб/calc.html</t>
        </is>
      </c>
      <c r="C58" t="inlineStr">
        <is>
          <t xml:space="preserve">09</t>
        </is>
      </c>
      <c r="D58" t="inlineStr">
        <is>
          <t xml:space="preserve">c_Form001</t>
        </is>
      </c>
      <c r="E58" t="inlineStr">
        <is>
          <t xml:space="preserve">Съёмочное оборудование</t>
        </is>
      </c>
      <c r="F58" t="inlineStr">
        <is>
          <t xml:space="preserve">catalog_item</t>
        </is>
      </c>
      <c r="G58" t="inlineStr">
        <is>
          <t xml:space="preserve">Form001[2]</t>
        </is>
      </c>
      <c r="H58" t="inlineStr">
        <is>
          <t xml:space="preserve">Canon RF 24–105mm f/4.0 L IS USM</t>
        </is>
      </c>
      <c r="I58" t="inlineStr">
        <is>
          <t xml:space="preserve">130999</t>
        </is>
      </c>
      <c r="J58" t="inlineStr">
        <is>
          <t xml:space="preserve">₽</t>
        </is>
      </c>
      <c r="K58" t="inlineStr">
        <is>
          <t xml:space="preserve">5 лет</t>
        </is>
      </c>
      <c r="L58" t="inlineStr">
        <is>
          <t xml:space="preserve">life</t>
        </is>
      </c>
      <c r="R58" t="inlineStr">
        <is>
          <t xml:space="preserve">Form001</t>
        </is>
      </c>
      <c r="S58" t="inlineStr">
        <is>
          <t xml:space="preserve">JavaScript CAT в calc.html</t>
        </is>
      </c>
    </row>
    <row r="59">
      <c r="A59" t="inlineStr">
        <is>
          <t xml:space="preserve">58</t>
        </is>
      </c>
      <c r="B59" t="inlineStr">
        <is>
          <t xml:space="preserve">Веб/calc.html</t>
        </is>
      </c>
      <c r="C59" t="inlineStr">
        <is>
          <t xml:space="preserve">09</t>
        </is>
      </c>
      <c r="D59" t="inlineStr">
        <is>
          <t xml:space="preserve">c_Form001</t>
        </is>
      </c>
      <c r="E59" t="inlineStr">
        <is>
          <t xml:space="preserve">Съёмочное оборудование</t>
        </is>
      </c>
      <c r="F59" t="inlineStr">
        <is>
          <t xml:space="preserve">catalog_item</t>
        </is>
      </c>
      <c r="G59" t="inlineStr">
        <is>
          <t xml:space="preserve">Form001[3]</t>
        </is>
      </c>
      <c r="H59" t="inlineStr">
        <is>
          <t xml:space="preserve">Godox V1Pro C</t>
        </is>
      </c>
      <c r="I59" t="inlineStr">
        <is>
          <t xml:space="preserve">36990</t>
        </is>
      </c>
      <c r="J59" t="inlineStr">
        <is>
          <t xml:space="preserve">₽</t>
        </is>
      </c>
      <c r="K59" t="inlineStr">
        <is>
          <t xml:space="preserve">5 лет</t>
        </is>
      </c>
      <c r="L59" t="inlineStr">
        <is>
          <t xml:space="preserve">life</t>
        </is>
      </c>
      <c r="R59" t="inlineStr">
        <is>
          <t xml:space="preserve">Form001</t>
        </is>
      </c>
      <c r="S59" t="inlineStr">
        <is>
          <t xml:space="preserve">JavaScript CAT в calc.html</t>
        </is>
      </c>
    </row>
    <row r="60">
      <c r="A60" t="inlineStr">
        <is>
          <t xml:space="preserve">59</t>
        </is>
      </c>
      <c r="B60" t="inlineStr">
        <is>
          <t xml:space="preserve">Веб/calc.html</t>
        </is>
      </c>
      <c r="C60" t="inlineStr">
        <is>
          <t xml:space="preserve">09</t>
        </is>
      </c>
      <c r="D60" t="inlineStr">
        <is>
          <t xml:space="preserve">c_Form001</t>
        </is>
      </c>
      <c r="E60" t="inlineStr">
        <is>
          <t xml:space="preserve">Съёмочное оборудование</t>
        </is>
      </c>
      <c r="F60" t="inlineStr">
        <is>
          <t xml:space="preserve">catalog_item</t>
        </is>
      </c>
      <c r="G60" t="inlineStr">
        <is>
          <t xml:space="preserve">Form001[4]</t>
        </is>
      </c>
      <c r="H60" t="inlineStr">
        <is>
          <t xml:space="preserve">Godox XPro II C</t>
        </is>
      </c>
      <c r="I60" t="inlineStr">
        <is>
          <t xml:space="preserve">9355</t>
        </is>
      </c>
      <c r="J60" t="inlineStr">
        <is>
          <t xml:space="preserve">₽</t>
        </is>
      </c>
      <c r="K60" t="inlineStr">
        <is>
          <t xml:space="preserve">5 лет</t>
        </is>
      </c>
      <c r="L60" t="inlineStr">
        <is>
          <t xml:space="preserve">life</t>
        </is>
      </c>
      <c r="R60" t="inlineStr">
        <is>
          <t xml:space="preserve">Form001</t>
        </is>
      </c>
      <c r="S60" t="inlineStr">
        <is>
          <t xml:space="preserve">JavaScript CAT в calc.html</t>
        </is>
      </c>
    </row>
    <row r="61">
      <c r="A61" t="inlineStr">
        <is>
          <t xml:space="preserve">60</t>
        </is>
      </c>
      <c r="B61" t="inlineStr">
        <is>
          <t xml:space="preserve">Веб/calc.html</t>
        </is>
      </c>
      <c r="C61" t="inlineStr">
        <is>
          <t xml:space="preserve">09</t>
        </is>
      </c>
      <c r="D61" t="inlineStr">
        <is>
          <t xml:space="preserve">c_Form001</t>
        </is>
      </c>
      <c r="E61" t="inlineStr">
        <is>
          <t xml:space="preserve">Съёмочное оборудование</t>
        </is>
      </c>
      <c r="F61" t="inlineStr">
        <is>
          <t xml:space="preserve">catalog_item</t>
        </is>
      </c>
      <c r="G61" t="inlineStr">
        <is>
          <t xml:space="preserve">Form001[5]</t>
        </is>
      </c>
      <c r="H61" t="inlineStr">
        <is>
          <t xml:space="preserve">Аккумулятор LP-E6NH</t>
        </is>
      </c>
      <c r="I61" t="inlineStr">
        <is>
          <t xml:space="preserve">12978</t>
        </is>
      </c>
      <c r="J61" t="inlineStr">
        <is>
          <t xml:space="preserve">₽</t>
        </is>
      </c>
      <c r="K61" t="inlineStr">
        <is>
          <t xml:space="preserve">3 лет</t>
        </is>
      </c>
      <c r="L61" t="inlineStr">
        <is>
          <t xml:space="preserve">life</t>
        </is>
      </c>
      <c r="R61" t="inlineStr">
        <is>
          <t xml:space="preserve">Form001</t>
        </is>
      </c>
      <c r="S61" t="inlineStr">
        <is>
          <t xml:space="preserve">JavaScript CAT в calc.html</t>
        </is>
      </c>
    </row>
    <row r="62">
      <c r="A62" t="inlineStr">
        <is>
          <t xml:space="preserve">61</t>
        </is>
      </c>
      <c r="B62" t="inlineStr">
        <is>
          <t xml:space="preserve">Веб/calc.html</t>
        </is>
      </c>
      <c r="C62" t="inlineStr">
        <is>
          <t xml:space="preserve">09</t>
        </is>
      </c>
      <c r="D62" t="inlineStr">
        <is>
          <t xml:space="preserve">c_Form001</t>
        </is>
      </c>
      <c r="E62" t="inlineStr">
        <is>
          <t xml:space="preserve">Съёмочное оборудование</t>
        </is>
      </c>
      <c r="F62" t="inlineStr">
        <is>
          <t xml:space="preserve">catalog_item</t>
        </is>
      </c>
      <c r="G62" t="inlineStr">
        <is>
          <t xml:space="preserve">Form001[6]</t>
        </is>
      </c>
      <c r="H62" t="inlineStr">
        <is>
          <t xml:space="preserve">SanDisk Extreme PRO 256 ГБ #1</t>
        </is>
      </c>
      <c r="I62" t="inlineStr">
        <is>
          <t xml:space="preserve">6990</t>
        </is>
      </c>
      <c r="J62" t="inlineStr">
        <is>
          <t xml:space="preserve">₽</t>
        </is>
      </c>
      <c r="K62" t="inlineStr">
        <is>
          <t xml:space="preserve">2 лет</t>
        </is>
      </c>
      <c r="L62" t="inlineStr">
        <is>
          <t xml:space="preserve">life</t>
        </is>
      </c>
      <c r="R62" t="inlineStr">
        <is>
          <t xml:space="preserve">Form001</t>
        </is>
      </c>
      <c r="S62" t="inlineStr">
        <is>
          <t xml:space="preserve">JavaScript CAT в calc.html</t>
        </is>
      </c>
    </row>
    <row r="63">
      <c r="A63" t="inlineStr">
        <is>
          <t xml:space="preserve">62</t>
        </is>
      </c>
      <c r="B63" t="inlineStr">
        <is>
          <t xml:space="preserve">Веб/calc.html</t>
        </is>
      </c>
      <c r="C63" t="inlineStr">
        <is>
          <t xml:space="preserve">09</t>
        </is>
      </c>
      <c r="D63" t="inlineStr">
        <is>
          <t xml:space="preserve">c_Form001</t>
        </is>
      </c>
      <c r="E63" t="inlineStr">
        <is>
          <t xml:space="preserve">Съёмочное оборудование</t>
        </is>
      </c>
      <c r="F63" t="inlineStr">
        <is>
          <t xml:space="preserve">catalog_item</t>
        </is>
      </c>
      <c r="G63" t="inlineStr">
        <is>
          <t xml:space="preserve">Form001[7]</t>
        </is>
      </c>
      <c r="H63" t="inlineStr">
        <is>
          <t xml:space="preserve">SanDisk Extreme PRO 256 ГБ #2</t>
        </is>
      </c>
      <c r="I63" t="inlineStr">
        <is>
          <t xml:space="preserve">6990</t>
        </is>
      </c>
      <c r="J63" t="inlineStr">
        <is>
          <t xml:space="preserve">₽</t>
        </is>
      </c>
      <c r="K63" t="inlineStr">
        <is>
          <t xml:space="preserve">2 лет</t>
        </is>
      </c>
      <c r="L63" t="inlineStr">
        <is>
          <t xml:space="preserve">life</t>
        </is>
      </c>
      <c r="R63" t="inlineStr">
        <is>
          <t xml:space="preserve">Form001</t>
        </is>
      </c>
      <c r="S63" t="inlineStr">
        <is>
          <t xml:space="preserve">JavaScript CAT в calc.html</t>
        </is>
      </c>
    </row>
    <row r="64">
      <c r="A64" t="inlineStr">
        <is>
          <t xml:space="preserve">63</t>
        </is>
      </c>
      <c r="B64" t="inlineStr">
        <is>
          <t xml:space="preserve">Веб/calc.html</t>
        </is>
      </c>
      <c r="C64" t="inlineStr">
        <is>
          <t xml:space="preserve">09</t>
        </is>
      </c>
      <c r="D64" t="inlineStr">
        <is>
          <t xml:space="preserve">c_Form001</t>
        </is>
      </c>
      <c r="E64" t="inlineStr">
        <is>
          <t xml:space="preserve">Съёмочное оборудование</t>
        </is>
      </c>
      <c r="F64" t="inlineStr">
        <is>
          <t xml:space="preserve">catalog_item</t>
        </is>
      </c>
      <c r="G64" t="inlineStr">
        <is>
          <t xml:space="preserve">Form001[8]</t>
        </is>
      </c>
      <c r="H64" t="inlineStr">
        <is>
          <t xml:space="preserve">Рюкзак Lowepro ProTactic</t>
        </is>
      </c>
      <c r="I64" t="inlineStr">
        <is>
          <t xml:space="preserve">27962</t>
        </is>
      </c>
      <c r="J64" t="inlineStr">
        <is>
          <t xml:space="preserve">₽</t>
        </is>
      </c>
      <c r="K64" t="inlineStr">
        <is>
          <t xml:space="preserve">7 лет</t>
        </is>
      </c>
      <c r="L64" t="inlineStr">
        <is>
          <t xml:space="preserve">life</t>
        </is>
      </c>
      <c r="R64" t="inlineStr">
        <is>
          <t xml:space="preserve">Form001</t>
        </is>
      </c>
      <c r="S64" t="inlineStr">
        <is>
          <t xml:space="preserve">JavaScript CAT в calc.html</t>
        </is>
      </c>
    </row>
    <row r="65">
      <c r="A65" t="inlineStr">
        <is>
          <t xml:space="preserve">64</t>
        </is>
      </c>
      <c r="B65" t="inlineStr">
        <is>
          <t xml:space="preserve">Веб/calc.html</t>
        </is>
      </c>
      <c r="C65" t="inlineStr">
        <is>
          <t xml:space="preserve">09</t>
        </is>
      </c>
      <c r="D65" t="inlineStr">
        <is>
          <t xml:space="preserve">c_Form001</t>
        </is>
      </c>
      <c r="E65" t="inlineStr">
        <is>
          <t xml:space="preserve">Съёмочное оборудование</t>
        </is>
      </c>
      <c r="F65" t="inlineStr">
        <is>
          <t xml:space="preserve">catalog_item</t>
        </is>
      </c>
      <c r="G65" t="inlineStr">
        <is>
          <t xml:space="preserve">Form001[9]</t>
        </is>
      </c>
      <c r="H65" t="inlineStr">
        <is>
          <t xml:space="preserve">Godox RFT-05 отражатель</t>
        </is>
      </c>
      <c r="I65" t="inlineStr">
        <is>
          <t xml:space="preserve">3000</t>
        </is>
      </c>
      <c r="J65" t="inlineStr">
        <is>
          <t xml:space="preserve">₽</t>
        </is>
      </c>
      <c r="K65" t="inlineStr">
        <is>
          <t xml:space="preserve">5 лет</t>
        </is>
      </c>
      <c r="L65" t="inlineStr">
        <is>
          <t xml:space="preserve">life</t>
        </is>
      </c>
      <c r="R65" t="inlineStr">
        <is>
          <t xml:space="preserve">Form001</t>
        </is>
      </c>
      <c r="S65" t="inlineStr">
        <is>
          <t xml:space="preserve">JavaScript CAT в calc.html</t>
        </is>
      </c>
    </row>
    <row r="66">
      <c r="A66" t="inlineStr">
        <is>
          <t xml:space="preserve">65</t>
        </is>
      </c>
      <c r="B66" t="inlineStr">
        <is>
          <t xml:space="preserve">Веб/calc.html</t>
        </is>
      </c>
      <c r="C66" t="inlineStr">
        <is>
          <t xml:space="preserve">09</t>
        </is>
      </c>
      <c r="D66" t="inlineStr">
        <is>
          <t xml:space="preserve">c_Form001</t>
        </is>
      </c>
      <c r="E66" t="inlineStr">
        <is>
          <t xml:space="preserve">Съёмочное оборудование</t>
        </is>
      </c>
      <c r="F66" t="inlineStr">
        <is>
          <t xml:space="preserve">catalog_item</t>
        </is>
      </c>
      <c r="G66" t="inlineStr">
        <is>
          <t xml:space="preserve">Form001[10]</t>
        </is>
      </c>
      <c r="H66" t="inlineStr">
        <is>
          <t xml:space="preserve">X-Rite ColorChecker</t>
        </is>
      </c>
      <c r="I66" t="inlineStr">
        <is>
          <t xml:space="preserve">5000</t>
        </is>
      </c>
      <c r="J66" t="inlineStr">
        <is>
          <t xml:space="preserve">₽</t>
        </is>
      </c>
      <c r="K66" t="inlineStr">
        <is>
          <t xml:space="preserve">7 лет</t>
        </is>
      </c>
      <c r="L66" t="inlineStr">
        <is>
          <t xml:space="preserve">life</t>
        </is>
      </c>
      <c r="R66" t="inlineStr">
        <is>
          <t xml:space="preserve">Form001</t>
        </is>
      </c>
      <c r="S66" t="inlineStr">
        <is>
          <t xml:space="preserve">JavaScript CAT в calc.html</t>
        </is>
      </c>
    </row>
    <row r="67">
      <c r="A67" t="inlineStr">
        <is>
          <t xml:space="preserve">66</t>
        </is>
      </c>
      <c r="B67" t="inlineStr">
        <is>
          <t xml:space="preserve">Веб/calc.html</t>
        </is>
      </c>
      <c r="C67" t="inlineStr">
        <is>
          <t xml:space="preserve">10</t>
        </is>
      </c>
      <c r="D67" t="inlineStr">
        <is>
          <t xml:space="preserve">c_Form002</t>
        </is>
      </c>
      <c r="E67" t="inlineStr">
        <is>
          <t xml:space="preserve">Офисное оборудование</t>
        </is>
      </c>
      <c r="F67" t="inlineStr">
        <is>
          <t xml:space="preserve">catalog_item</t>
        </is>
      </c>
      <c r="G67" t="inlineStr">
        <is>
          <t xml:space="preserve">Form002[1]</t>
        </is>
      </c>
      <c r="H67" t="inlineStr">
        <is>
          <t xml:space="preserve">Системный блок</t>
        </is>
      </c>
      <c r="I67" t="inlineStr">
        <is>
          <t xml:space="preserve">180000</t>
        </is>
      </c>
      <c r="J67" t="inlineStr">
        <is>
          <t xml:space="preserve">₽</t>
        </is>
      </c>
      <c r="K67" t="inlineStr">
        <is>
          <t xml:space="preserve">5 лет</t>
        </is>
      </c>
      <c r="L67" t="inlineStr">
        <is>
          <t xml:space="preserve">life</t>
        </is>
      </c>
      <c r="R67" t="inlineStr">
        <is>
          <t xml:space="preserve">Form002</t>
        </is>
      </c>
      <c r="S67" t="inlineStr">
        <is>
          <t xml:space="preserve">JavaScript CAT в calc.html</t>
        </is>
      </c>
    </row>
    <row r="68">
      <c r="A68" t="inlineStr">
        <is>
          <t xml:space="preserve">67</t>
        </is>
      </c>
      <c r="B68" t="inlineStr">
        <is>
          <t xml:space="preserve">Веб/calc.html</t>
        </is>
      </c>
      <c r="C68" t="inlineStr">
        <is>
          <t xml:space="preserve">10</t>
        </is>
      </c>
      <c r="D68" t="inlineStr">
        <is>
          <t xml:space="preserve">c_Form002</t>
        </is>
      </c>
      <c r="E68" t="inlineStr">
        <is>
          <t xml:space="preserve">Офисное оборудование</t>
        </is>
      </c>
      <c r="F68" t="inlineStr">
        <is>
          <t xml:space="preserve">catalog_item</t>
        </is>
      </c>
      <c r="G68" t="inlineStr">
        <is>
          <t xml:space="preserve">Form002[2]</t>
        </is>
      </c>
      <c r="H68" t="inlineStr">
        <is>
          <t xml:space="preserve">Монитор ASUS ProArt</t>
        </is>
      </c>
      <c r="I68" t="inlineStr">
        <is>
          <t xml:space="preserve">55000</t>
        </is>
      </c>
      <c r="J68" t="inlineStr">
        <is>
          <t xml:space="preserve">₽</t>
        </is>
      </c>
      <c r="K68" t="inlineStr">
        <is>
          <t xml:space="preserve">5 лет</t>
        </is>
      </c>
      <c r="L68" t="inlineStr">
        <is>
          <t xml:space="preserve">life</t>
        </is>
      </c>
      <c r="R68" t="inlineStr">
        <is>
          <t xml:space="preserve">Form002</t>
        </is>
      </c>
      <c r="S68" t="inlineStr">
        <is>
          <t xml:space="preserve">JavaScript CAT в calc.html</t>
        </is>
      </c>
    </row>
    <row r="69">
      <c r="A69" t="inlineStr">
        <is>
          <t xml:space="preserve">68</t>
        </is>
      </c>
      <c r="B69" t="inlineStr">
        <is>
          <t xml:space="preserve">Веб/calc.html</t>
        </is>
      </c>
      <c r="C69" t="inlineStr">
        <is>
          <t xml:space="preserve">10</t>
        </is>
      </c>
      <c r="D69" t="inlineStr">
        <is>
          <t xml:space="preserve">c_Form002</t>
        </is>
      </c>
      <c r="E69" t="inlineStr">
        <is>
          <t xml:space="preserve">Офисное оборудование</t>
        </is>
      </c>
      <c r="F69" t="inlineStr">
        <is>
          <t xml:space="preserve">catalog_item</t>
        </is>
      </c>
      <c r="G69" t="inlineStr">
        <is>
          <t xml:space="preserve">Form002[3]</t>
        </is>
      </c>
      <c r="H69" t="inlineStr">
        <is>
          <t xml:space="preserve">Calibrite ColorChecker</t>
        </is>
      </c>
      <c r="I69" t="inlineStr">
        <is>
          <t xml:space="preserve">30000</t>
        </is>
      </c>
      <c r="J69" t="inlineStr">
        <is>
          <t xml:space="preserve">₽</t>
        </is>
      </c>
      <c r="K69" t="inlineStr">
        <is>
          <t xml:space="preserve">5 лет</t>
        </is>
      </c>
      <c r="L69" t="inlineStr">
        <is>
          <t xml:space="preserve">life</t>
        </is>
      </c>
      <c r="R69" t="inlineStr">
        <is>
          <t xml:space="preserve">Form002</t>
        </is>
      </c>
      <c r="S69" t="inlineStr">
        <is>
          <t xml:space="preserve">JavaScript CAT в calc.html</t>
        </is>
      </c>
    </row>
    <row r="70">
      <c r="A70" t="inlineStr">
        <is>
          <t xml:space="preserve">69</t>
        </is>
      </c>
      <c r="B70" t="inlineStr">
        <is>
          <t xml:space="preserve">Веб/calc.html</t>
        </is>
      </c>
      <c r="C70" t="inlineStr">
        <is>
          <t xml:space="preserve">10</t>
        </is>
      </c>
      <c r="D70" t="inlineStr">
        <is>
          <t xml:space="preserve">c_Form002</t>
        </is>
      </c>
      <c r="E70" t="inlineStr">
        <is>
          <t xml:space="preserve">Офисное оборудование</t>
        </is>
      </c>
      <c r="F70" t="inlineStr">
        <is>
          <t xml:space="preserve">catalog_item</t>
        </is>
      </c>
      <c r="G70" t="inlineStr">
        <is>
          <t xml:space="preserve">Form002[4]</t>
        </is>
      </c>
      <c r="H70" t="inlineStr">
        <is>
          <t xml:space="preserve">Колонки Logitech Z207</t>
        </is>
      </c>
      <c r="I70" t="inlineStr">
        <is>
          <t xml:space="preserve">5000</t>
        </is>
      </c>
      <c r="J70" t="inlineStr">
        <is>
          <t xml:space="preserve">₽</t>
        </is>
      </c>
      <c r="K70" t="inlineStr">
        <is>
          <t xml:space="preserve">5 лет</t>
        </is>
      </c>
      <c r="L70" t="inlineStr">
        <is>
          <t xml:space="preserve">life</t>
        </is>
      </c>
      <c r="R70" t="inlineStr">
        <is>
          <t xml:space="preserve">Form002</t>
        </is>
      </c>
      <c r="S70" t="inlineStr">
        <is>
          <t xml:space="preserve">JavaScript CAT в calc.html</t>
        </is>
      </c>
    </row>
    <row r="71">
      <c r="A71" t="inlineStr">
        <is>
          <t xml:space="preserve">70</t>
        </is>
      </c>
      <c r="B71" t="inlineStr">
        <is>
          <t xml:space="preserve">Веб/calc.html</t>
        </is>
      </c>
      <c r="C71" t="inlineStr">
        <is>
          <t xml:space="preserve">10</t>
        </is>
      </c>
      <c r="D71" t="inlineStr">
        <is>
          <t xml:space="preserve">c_Form002</t>
        </is>
      </c>
      <c r="E71" t="inlineStr">
        <is>
          <t xml:space="preserve">Офисное оборудование</t>
        </is>
      </c>
      <c r="F71" t="inlineStr">
        <is>
          <t xml:space="preserve">catalog_item</t>
        </is>
      </c>
      <c r="G71" t="inlineStr">
        <is>
          <t xml:space="preserve">Form002[5]</t>
        </is>
      </c>
      <c r="H71" t="inlineStr">
        <is>
          <t xml:space="preserve">Клавиатура Logitech K380</t>
        </is>
      </c>
      <c r="I71" t="inlineStr">
        <is>
          <t xml:space="preserve">3500</t>
        </is>
      </c>
      <c r="J71" t="inlineStr">
        <is>
          <t xml:space="preserve">₽</t>
        </is>
      </c>
      <c r="K71" t="inlineStr">
        <is>
          <t xml:space="preserve">7 лет</t>
        </is>
      </c>
      <c r="L71" t="inlineStr">
        <is>
          <t xml:space="preserve">life</t>
        </is>
      </c>
      <c r="R71" t="inlineStr">
        <is>
          <t xml:space="preserve">Form002</t>
        </is>
      </c>
      <c r="S71" t="inlineStr">
        <is>
          <t xml:space="preserve">JavaScript CAT в calc.html</t>
        </is>
      </c>
    </row>
    <row r="72">
      <c r="A72" t="inlineStr">
        <is>
          <t xml:space="preserve">71</t>
        </is>
      </c>
      <c r="B72" t="inlineStr">
        <is>
          <t xml:space="preserve">Веб/calc.html</t>
        </is>
      </c>
      <c r="C72" t="inlineStr">
        <is>
          <t xml:space="preserve">10</t>
        </is>
      </c>
      <c r="D72" t="inlineStr">
        <is>
          <t xml:space="preserve">c_Form002</t>
        </is>
      </c>
      <c r="E72" t="inlineStr">
        <is>
          <t xml:space="preserve">Офисное оборудование</t>
        </is>
      </c>
      <c r="F72" t="inlineStr">
        <is>
          <t xml:space="preserve">catalog_item</t>
        </is>
      </c>
      <c r="G72" t="inlineStr">
        <is>
          <t xml:space="preserve">Form002[6]</t>
        </is>
      </c>
      <c r="H72" t="inlineStr">
        <is>
          <t xml:space="preserve">Мышь Logitech M650</t>
        </is>
      </c>
      <c r="I72" t="inlineStr">
        <is>
          <t xml:space="preserve">4000</t>
        </is>
      </c>
      <c r="J72" t="inlineStr">
        <is>
          <t xml:space="preserve">₽</t>
        </is>
      </c>
      <c r="K72" t="inlineStr">
        <is>
          <t xml:space="preserve">3 лет</t>
        </is>
      </c>
      <c r="L72" t="inlineStr">
        <is>
          <t xml:space="preserve">life</t>
        </is>
      </c>
      <c r="R72" t="inlineStr">
        <is>
          <t xml:space="preserve">Form002</t>
        </is>
      </c>
      <c r="S72" t="inlineStr">
        <is>
          <t xml:space="preserve">JavaScript CAT в calc.html</t>
        </is>
      </c>
    </row>
    <row r="73">
      <c r="A73" t="inlineStr">
        <is>
          <t xml:space="preserve">72</t>
        </is>
      </c>
      <c r="B73" t="inlineStr">
        <is>
          <t xml:space="preserve">Веб/calc.html</t>
        </is>
      </c>
      <c r="C73" t="inlineStr">
        <is>
          <t xml:space="preserve">10</t>
        </is>
      </c>
      <c r="D73" t="inlineStr">
        <is>
          <t xml:space="preserve">c_Form002</t>
        </is>
      </c>
      <c r="E73" t="inlineStr">
        <is>
          <t xml:space="preserve">Офисное оборудование</t>
        </is>
      </c>
      <c r="F73" t="inlineStr">
        <is>
          <t xml:space="preserve">catalog_item</t>
        </is>
      </c>
      <c r="G73" t="inlineStr">
        <is>
          <t xml:space="preserve">Form002[7]</t>
        </is>
      </c>
      <c r="H73" t="inlineStr">
        <is>
          <t xml:space="preserve">Веб-камера Logitech Brio</t>
        </is>
      </c>
      <c r="I73" t="inlineStr">
        <is>
          <t xml:space="preserve">15999</t>
        </is>
      </c>
      <c r="J73" t="inlineStr">
        <is>
          <t xml:space="preserve">₽</t>
        </is>
      </c>
      <c r="K73" t="inlineStr">
        <is>
          <t xml:space="preserve">5 лет</t>
        </is>
      </c>
      <c r="L73" t="inlineStr">
        <is>
          <t xml:space="preserve">life</t>
        </is>
      </c>
      <c r="R73" t="inlineStr">
        <is>
          <t xml:space="preserve">Form002</t>
        </is>
      </c>
      <c r="S73" t="inlineStr">
        <is>
          <t xml:space="preserve">JavaScript CAT в calc.html</t>
        </is>
      </c>
    </row>
    <row r="74">
      <c r="A74" t="inlineStr">
        <is>
          <t xml:space="preserve">73</t>
        </is>
      </c>
      <c r="B74" t="inlineStr">
        <is>
          <t xml:space="preserve">Веб/calc.html</t>
        </is>
      </c>
      <c r="C74" t="inlineStr">
        <is>
          <t xml:space="preserve">10</t>
        </is>
      </c>
      <c r="D74" t="inlineStr">
        <is>
          <t xml:space="preserve">c_Form002</t>
        </is>
      </c>
      <c r="E74" t="inlineStr">
        <is>
          <t xml:space="preserve">Офисное оборудование</t>
        </is>
      </c>
      <c r="F74" t="inlineStr">
        <is>
          <t xml:space="preserve">catalog_item</t>
        </is>
      </c>
      <c r="G74" t="inlineStr">
        <is>
          <t xml:space="preserve">Form002[8]</t>
        </is>
      </c>
      <c r="H74" t="inlineStr">
        <is>
          <t xml:space="preserve">Микрофон FIFINE K669B</t>
        </is>
      </c>
      <c r="I74" t="inlineStr">
        <is>
          <t xml:space="preserve">3500</t>
        </is>
      </c>
      <c r="J74" t="inlineStr">
        <is>
          <t xml:space="preserve">₽</t>
        </is>
      </c>
      <c r="K74" t="inlineStr">
        <is>
          <t xml:space="preserve">5 лет</t>
        </is>
      </c>
      <c r="L74" t="inlineStr">
        <is>
          <t xml:space="preserve">life</t>
        </is>
      </c>
      <c r="R74" t="inlineStr">
        <is>
          <t xml:space="preserve">Form002</t>
        </is>
      </c>
      <c r="S74" t="inlineStr">
        <is>
          <t xml:space="preserve">JavaScript CAT в calc.html</t>
        </is>
      </c>
    </row>
    <row r="75">
      <c r="A75" t="inlineStr">
        <is>
          <t xml:space="preserve">74</t>
        </is>
      </c>
      <c r="B75" t="inlineStr">
        <is>
          <t xml:space="preserve">Веб/calc.html</t>
        </is>
      </c>
      <c r="C75" t="inlineStr">
        <is>
          <t xml:space="preserve">10</t>
        </is>
      </c>
      <c r="D75" t="inlineStr">
        <is>
          <t xml:space="preserve">c_Form002</t>
        </is>
      </c>
      <c r="E75" t="inlineStr">
        <is>
          <t xml:space="preserve">Офисное оборудование</t>
        </is>
      </c>
      <c r="F75" t="inlineStr">
        <is>
          <t xml:space="preserve">catalog_item</t>
        </is>
      </c>
      <c r="G75" t="inlineStr">
        <is>
          <t xml:space="preserve">Form002[9]</t>
        </is>
      </c>
      <c r="H75" t="inlineStr">
        <is>
          <t xml:space="preserve">Принтер Canon PIXMA G640</t>
        </is>
      </c>
      <c r="I75" t="inlineStr">
        <is>
          <t xml:space="preserve">29999</t>
        </is>
      </c>
      <c r="J75" t="inlineStr">
        <is>
          <t xml:space="preserve">₽</t>
        </is>
      </c>
      <c r="K75" t="inlineStr">
        <is>
          <t xml:space="preserve">5 лет</t>
        </is>
      </c>
      <c r="L75" t="inlineStr">
        <is>
          <t xml:space="preserve">life</t>
        </is>
      </c>
      <c r="R75" t="inlineStr">
        <is>
          <t xml:space="preserve">Form002</t>
        </is>
      </c>
      <c r="S75" t="inlineStr">
        <is>
          <t xml:space="preserve">JavaScript CAT в calc.html</t>
        </is>
      </c>
    </row>
    <row r="76">
      <c r="A76" t="inlineStr">
        <is>
          <t xml:space="preserve">75</t>
        </is>
      </c>
      <c r="B76" t="inlineStr">
        <is>
          <t xml:space="preserve">Веб/calc.html</t>
        </is>
      </c>
      <c r="C76" t="inlineStr">
        <is>
          <t xml:space="preserve">11</t>
        </is>
      </c>
      <c r="D76" t="inlineStr">
        <is>
          <t xml:space="preserve">c_Form008b</t>
        </is>
      </c>
      <c r="E76" t="inlineStr">
        <is>
          <t xml:space="preserve">Программное обеспечение</t>
        </is>
      </c>
      <c r="F76" t="inlineStr">
        <is>
          <t xml:space="preserve">catalog_item</t>
        </is>
      </c>
      <c r="G76" t="inlineStr">
        <is>
          <t xml:space="preserve">Form003[1]</t>
        </is>
      </c>
      <c r="H76" t="inlineStr">
        <is>
          <t xml:space="preserve">Adobe CC Photography</t>
        </is>
      </c>
      <c r="I76" t="inlineStr">
        <is>
          <t xml:space="preserve">2000</t>
        </is>
      </c>
      <c r="J76" t="inlineStr">
        <is>
          <t xml:space="preserve">₽</t>
        </is>
      </c>
      <c r="K76" t="inlineStr">
        <is>
          <t xml:space="preserve">12 платежей/год</t>
        </is>
      </c>
      <c r="L76" t="inlineStr">
        <is>
          <t xml:space="preserve">per</t>
        </is>
      </c>
      <c r="R76" t="inlineStr">
        <is>
          <t xml:space="preserve">Form003</t>
        </is>
      </c>
      <c r="S76" t="inlineStr">
        <is>
          <t xml:space="preserve">JavaScript CAT в calc.html</t>
        </is>
      </c>
    </row>
    <row r="77">
      <c r="A77" t="inlineStr">
        <is>
          <t xml:space="preserve">76</t>
        </is>
      </c>
      <c r="B77" t="inlineStr">
        <is>
          <t xml:space="preserve">Веб/calc.html</t>
        </is>
      </c>
      <c r="C77" t="inlineStr">
        <is>
          <t xml:space="preserve">11</t>
        </is>
      </c>
      <c r="D77" t="inlineStr">
        <is>
          <t xml:space="preserve">c_Form008b</t>
        </is>
      </c>
      <c r="E77" t="inlineStr">
        <is>
          <t xml:space="preserve">Программное обеспечение</t>
        </is>
      </c>
      <c r="F77" t="inlineStr">
        <is>
          <t xml:space="preserve">catalog_item</t>
        </is>
      </c>
      <c r="G77" t="inlineStr">
        <is>
          <t xml:space="preserve">Form003[2]</t>
        </is>
      </c>
      <c r="H77" t="inlineStr">
        <is>
          <t xml:space="preserve">Яндекс Диск 1 ТБ</t>
        </is>
      </c>
      <c r="I77" t="inlineStr">
        <is>
          <t xml:space="preserve">250</t>
        </is>
      </c>
      <c r="J77" t="inlineStr">
        <is>
          <t xml:space="preserve">₽</t>
        </is>
      </c>
      <c r="K77" t="inlineStr">
        <is>
          <t xml:space="preserve">12 платежей/год</t>
        </is>
      </c>
      <c r="L77" t="inlineStr">
        <is>
          <t xml:space="preserve">per</t>
        </is>
      </c>
      <c r="R77" t="inlineStr">
        <is>
          <t xml:space="preserve">Form003</t>
        </is>
      </c>
      <c r="S77" t="inlineStr">
        <is>
          <t xml:space="preserve">JavaScript CAT в calc.html</t>
        </is>
      </c>
    </row>
    <row r="78">
      <c r="A78" t="inlineStr">
        <is>
          <t xml:space="preserve">77</t>
        </is>
      </c>
      <c r="B78" t="inlineStr">
        <is>
          <t xml:space="preserve">Веб/calc.html</t>
        </is>
      </c>
      <c r="C78" t="inlineStr">
        <is>
          <t xml:space="preserve">11</t>
        </is>
      </c>
      <c r="D78" t="inlineStr">
        <is>
          <t xml:space="preserve">c_Form008b</t>
        </is>
      </c>
      <c r="E78" t="inlineStr">
        <is>
          <t xml:space="preserve">Программное обеспечение</t>
        </is>
      </c>
      <c r="F78" t="inlineStr">
        <is>
          <t xml:space="preserve">catalog_item</t>
        </is>
      </c>
      <c r="G78" t="inlineStr">
        <is>
          <t xml:space="preserve">Form004[1]</t>
        </is>
      </c>
      <c r="H78" t="inlineStr">
        <is>
          <t xml:space="preserve">Retouch4me Heal</t>
        </is>
      </c>
      <c r="I78" t="inlineStr">
        <is>
          <t xml:space="preserve">6900</t>
        </is>
      </c>
      <c r="J78" t="inlineStr">
        <is>
          <t xml:space="preserve">₽</t>
        </is>
      </c>
      <c r="K78" t="inlineStr">
        <is>
          <t xml:space="preserve">3 лет</t>
        </is>
      </c>
      <c r="L78" t="inlineStr">
        <is>
          <t xml:space="preserve">life</t>
        </is>
      </c>
      <c r="R78" t="inlineStr">
        <is>
          <t xml:space="preserve">Form004</t>
        </is>
      </c>
      <c r="S78" t="inlineStr">
        <is>
          <t xml:space="preserve">JavaScript CAT в calc.html</t>
        </is>
      </c>
    </row>
    <row r="79">
      <c r="A79" t="inlineStr">
        <is>
          <t xml:space="preserve">78</t>
        </is>
      </c>
      <c r="B79" t="inlineStr">
        <is>
          <t xml:space="preserve">Веб/calc.html</t>
        </is>
      </c>
      <c r="C79" t="inlineStr">
        <is>
          <t xml:space="preserve">11</t>
        </is>
      </c>
      <c r="D79" t="inlineStr">
        <is>
          <t xml:space="preserve">c_Form008b</t>
        </is>
      </c>
      <c r="E79" t="inlineStr">
        <is>
          <t xml:space="preserve">Программное обеспечение</t>
        </is>
      </c>
      <c r="F79" t="inlineStr">
        <is>
          <t xml:space="preserve">catalog_item</t>
        </is>
      </c>
      <c r="G79" t="inlineStr">
        <is>
          <t xml:space="preserve">Form004[2]</t>
        </is>
      </c>
      <c r="H79" t="inlineStr">
        <is>
          <t xml:space="preserve">Retouch4me Dodge &amp; Burn</t>
        </is>
      </c>
      <c r="I79" t="inlineStr">
        <is>
          <t xml:space="preserve">6900</t>
        </is>
      </c>
      <c r="J79" t="inlineStr">
        <is>
          <t xml:space="preserve">₽</t>
        </is>
      </c>
      <c r="K79" t="inlineStr">
        <is>
          <t xml:space="preserve">3 лет</t>
        </is>
      </c>
      <c r="L79" t="inlineStr">
        <is>
          <t xml:space="preserve">life</t>
        </is>
      </c>
      <c r="R79" t="inlineStr">
        <is>
          <t xml:space="preserve">Form004</t>
        </is>
      </c>
      <c r="S79" t="inlineStr">
        <is>
          <t xml:space="preserve">JavaScript CAT в calc.html</t>
        </is>
      </c>
    </row>
    <row r="80">
      <c r="A80" t="inlineStr">
        <is>
          <t xml:space="preserve">79</t>
        </is>
      </c>
      <c r="B80" t="inlineStr">
        <is>
          <t xml:space="preserve">Веб/calc.html</t>
        </is>
      </c>
      <c r="C80" t="inlineStr">
        <is>
          <t xml:space="preserve">11</t>
        </is>
      </c>
      <c r="D80" t="inlineStr">
        <is>
          <t xml:space="preserve">c_Form008b</t>
        </is>
      </c>
      <c r="E80" t="inlineStr">
        <is>
          <t xml:space="preserve">Программное обеспечение</t>
        </is>
      </c>
      <c r="F80" t="inlineStr">
        <is>
          <t xml:space="preserve">catalog_item</t>
        </is>
      </c>
      <c r="G80" t="inlineStr">
        <is>
          <t xml:space="preserve">Form004[3]</t>
        </is>
      </c>
      <c r="H80" t="inlineStr">
        <is>
          <t xml:space="preserve">Retouch4me Fabric</t>
        </is>
      </c>
      <c r="I80" t="inlineStr">
        <is>
          <t xml:space="preserve">6900</t>
        </is>
      </c>
      <c r="J80" t="inlineStr">
        <is>
          <t xml:space="preserve">₽</t>
        </is>
      </c>
      <c r="K80" t="inlineStr">
        <is>
          <t xml:space="preserve">3 лет</t>
        </is>
      </c>
      <c r="L80" t="inlineStr">
        <is>
          <t xml:space="preserve">life</t>
        </is>
      </c>
      <c r="R80" t="inlineStr">
        <is>
          <t xml:space="preserve">Form004</t>
        </is>
      </c>
      <c r="S80" t="inlineStr">
        <is>
          <t xml:space="preserve">JavaScript CAT в calc.html</t>
        </is>
      </c>
    </row>
    <row r="81">
      <c r="A81" t="inlineStr">
        <is>
          <t xml:space="preserve">80</t>
        </is>
      </c>
      <c r="B81" t="inlineStr">
        <is>
          <t xml:space="preserve">Веб/calc.html</t>
        </is>
      </c>
      <c r="C81" t="inlineStr">
        <is>
          <t xml:space="preserve">11</t>
        </is>
      </c>
      <c r="D81" t="inlineStr">
        <is>
          <t xml:space="preserve">c_Form008b</t>
        </is>
      </c>
      <c r="E81" t="inlineStr">
        <is>
          <t xml:space="preserve">Программное обеспечение</t>
        </is>
      </c>
      <c r="F81" t="inlineStr">
        <is>
          <t xml:space="preserve">catalog_item</t>
        </is>
      </c>
      <c r="G81" t="inlineStr">
        <is>
          <t xml:space="preserve">Form004[4]</t>
        </is>
      </c>
      <c r="H81" t="inlineStr">
        <is>
          <t xml:space="preserve">Retouch4me Clean Backdrop</t>
        </is>
      </c>
      <c r="I81" t="inlineStr">
        <is>
          <t xml:space="preserve">6900</t>
        </is>
      </c>
      <c r="J81" t="inlineStr">
        <is>
          <t xml:space="preserve">₽</t>
        </is>
      </c>
      <c r="K81" t="inlineStr">
        <is>
          <t xml:space="preserve">3 лет</t>
        </is>
      </c>
      <c r="L81" t="inlineStr">
        <is>
          <t xml:space="preserve">life</t>
        </is>
      </c>
      <c r="R81" t="inlineStr">
        <is>
          <t xml:space="preserve">Form004</t>
        </is>
      </c>
      <c r="S81" t="inlineStr">
        <is>
          <t xml:space="preserve">JavaScript CAT в calc.html</t>
        </is>
      </c>
    </row>
    <row r="82">
      <c r="A82" t="inlineStr">
        <is>
          <t xml:space="preserve">81</t>
        </is>
      </c>
      <c r="B82" t="inlineStr">
        <is>
          <t xml:space="preserve">Веб/calc.html</t>
        </is>
      </c>
      <c r="C82" t="inlineStr">
        <is>
          <t xml:space="preserve">11</t>
        </is>
      </c>
      <c r="D82" t="inlineStr">
        <is>
          <t xml:space="preserve">c_Form008b</t>
        </is>
      </c>
      <c r="E82" t="inlineStr">
        <is>
          <t xml:space="preserve">Программное обеспечение</t>
        </is>
      </c>
      <c r="F82" t="inlineStr">
        <is>
          <t xml:space="preserve">catalog_item</t>
        </is>
      </c>
      <c r="G82" t="inlineStr">
        <is>
          <t xml:space="preserve">Form004[5]</t>
        </is>
      </c>
      <c r="H82" t="inlineStr">
        <is>
          <t xml:space="preserve">Retouch4me Dust</t>
        </is>
      </c>
      <c r="I82" t="inlineStr">
        <is>
          <t xml:space="preserve">6900</t>
        </is>
      </c>
      <c r="J82" t="inlineStr">
        <is>
          <t xml:space="preserve">₽</t>
        </is>
      </c>
      <c r="K82" t="inlineStr">
        <is>
          <t xml:space="preserve">3 лет</t>
        </is>
      </c>
      <c r="L82" t="inlineStr">
        <is>
          <t xml:space="preserve">life</t>
        </is>
      </c>
      <c r="R82" t="inlineStr">
        <is>
          <t xml:space="preserve">Form004</t>
        </is>
      </c>
      <c r="S82" t="inlineStr">
        <is>
          <t xml:space="preserve">JavaScript CAT в calc.html</t>
        </is>
      </c>
    </row>
    <row r="83">
      <c r="A83" t="inlineStr">
        <is>
          <t xml:space="preserve">82</t>
        </is>
      </c>
      <c r="B83" t="inlineStr">
        <is>
          <t xml:space="preserve">Веб/calc.html</t>
        </is>
      </c>
      <c r="C83" t="inlineStr">
        <is>
          <t xml:space="preserve">12</t>
        </is>
      </c>
      <c r="D83" t="inlineStr">
        <is>
          <t xml:space="preserve">c_Form009b</t>
        </is>
      </c>
      <c r="E83" t="inlineStr">
        <is>
          <t xml:space="preserve">Рабочее место</t>
        </is>
      </c>
      <c r="F83" t="inlineStr">
        <is>
          <t xml:space="preserve">catalog_item</t>
        </is>
      </c>
      <c r="G83" t="inlineStr">
        <is>
          <t xml:space="preserve">Form013[1]</t>
        </is>
      </c>
      <c r="H83" t="inlineStr">
        <is>
          <t xml:space="preserve">Мебель</t>
        </is>
      </c>
      <c r="I83" t="inlineStr">
        <is>
          <t xml:space="preserve">35000</t>
        </is>
      </c>
      <c r="J83" t="inlineStr">
        <is>
          <t xml:space="preserve">₽</t>
        </is>
      </c>
      <c r="K83" t="inlineStr">
        <is>
          <t xml:space="preserve">7 лет</t>
        </is>
      </c>
      <c r="L83" t="inlineStr">
        <is>
          <t xml:space="preserve">life</t>
        </is>
      </c>
      <c r="R83" t="inlineStr">
        <is>
          <t xml:space="preserve">Form013</t>
        </is>
      </c>
      <c r="S83" t="inlineStr">
        <is>
          <t xml:space="preserve">JavaScript CAT в calc.html</t>
        </is>
      </c>
    </row>
    <row r="84">
      <c r="A84" t="inlineStr">
        <is>
          <t xml:space="preserve">83</t>
        </is>
      </c>
      <c r="B84" t="inlineStr">
        <is>
          <t xml:space="preserve">Веб/calc.html</t>
        </is>
      </c>
      <c r="C84" t="inlineStr">
        <is>
          <t xml:space="preserve">12</t>
        </is>
      </c>
      <c r="D84" t="inlineStr">
        <is>
          <t xml:space="preserve">c_Form009b</t>
        </is>
      </c>
      <c r="E84" t="inlineStr">
        <is>
          <t xml:space="preserve">Рабочее место</t>
        </is>
      </c>
      <c r="F84" t="inlineStr">
        <is>
          <t xml:space="preserve">catalog_item</t>
        </is>
      </c>
      <c r="G84" t="inlineStr">
        <is>
          <t xml:space="preserve">Form013[2]</t>
        </is>
      </c>
      <c r="H84" t="inlineStr">
        <is>
          <t xml:space="preserve">Косметический ремонт</t>
        </is>
      </c>
      <c r="I84" t="inlineStr">
        <is>
          <t xml:space="preserve">30000</t>
        </is>
      </c>
      <c r="J84" t="inlineStr">
        <is>
          <t xml:space="preserve">₽</t>
        </is>
      </c>
      <c r="K84" t="inlineStr">
        <is>
          <t xml:space="preserve">7 лет</t>
        </is>
      </c>
      <c r="L84" t="inlineStr">
        <is>
          <t xml:space="preserve">life</t>
        </is>
      </c>
      <c r="R84" t="inlineStr">
        <is>
          <t xml:space="preserve">Form013</t>
        </is>
      </c>
      <c r="S84" t="inlineStr">
        <is>
          <t xml:space="preserve">JavaScript CAT в calc.html</t>
        </is>
      </c>
    </row>
    <row r="85">
      <c r="A85" t="inlineStr">
        <is>
          <t xml:space="preserve">84</t>
        </is>
      </c>
      <c r="B85" t="inlineStr">
        <is>
          <t xml:space="preserve">Веб/calc.html</t>
        </is>
      </c>
      <c r="C85" t="inlineStr">
        <is>
          <t xml:space="preserve">13</t>
        </is>
      </c>
      <c r="D85" t="inlineStr">
        <is>
          <t xml:space="preserve">c_Form006</t>
        </is>
      </c>
      <c r="E85" t="inlineStr">
        <is>
          <t xml:space="preserve">Обучение и курсы</t>
        </is>
      </c>
      <c r="F85" t="inlineStr">
        <is>
          <t xml:space="preserve">catalog_item</t>
        </is>
      </c>
      <c r="G85" t="inlineStr">
        <is>
          <t xml:space="preserve">Form006[1]</t>
        </is>
      </c>
      <c r="H85" t="inlineStr">
        <is>
          <t xml:space="preserve">Курс по фотографии</t>
        </is>
      </c>
      <c r="I85" t="inlineStr">
        <is>
          <t xml:space="preserve">80000</t>
        </is>
      </c>
      <c r="J85" t="inlineStr">
        <is>
          <t xml:space="preserve">₽</t>
        </is>
      </c>
      <c r="K85" t="inlineStr">
        <is>
          <t xml:space="preserve">4 мес</t>
        </is>
      </c>
      <c r="L85" t="inlineStr">
        <is>
          <t xml:space="preserve">months</t>
        </is>
      </c>
      <c r="R85" t="inlineStr">
        <is>
          <t xml:space="preserve">Form006</t>
        </is>
      </c>
      <c r="S85" t="inlineStr">
        <is>
          <t xml:space="preserve">JavaScript CAT в calc.html</t>
        </is>
      </c>
    </row>
    <row r="86">
      <c r="A86" t="inlineStr">
        <is>
          <t xml:space="preserve">85</t>
        </is>
      </c>
      <c r="B86" t="inlineStr">
        <is>
          <t xml:space="preserve">Веб/calc.html</t>
        </is>
      </c>
      <c r="C86" t="inlineStr">
        <is>
          <t xml:space="preserve">16</t>
        </is>
      </c>
      <c r="D86" t="inlineStr">
        <is>
          <t xml:space="preserve">c_Form015b</t>
        </is>
      </c>
      <c r="E86" t="inlineStr">
        <is>
          <t xml:space="preserve">Банковское обслуживание</t>
        </is>
      </c>
      <c r="F86" t="inlineStr">
        <is>
          <t xml:space="preserve">catalog_item</t>
        </is>
      </c>
      <c r="G86" t="inlineStr">
        <is>
          <t xml:space="preserve">Form007[1]</t>
        </is>
      </c>
      <c r="H86" t="inlineStr">
        <is>
          <t xml:space="preserve">Обслуживание счёта (РКО)</t>
        </is>
      </c>
      <c r="J86" t="inlineStr">
        <is>
          <t xml:space="preserve">₽</t>
        </is>
      </c>
      <c r="K86" t="inlineStr">
        <is>
          <t xml:space="preserve">12 платежей/год</t>
        </is>
      </c>
      <c r="L86" t="inlineStr">
        <is>
          <t xml:space="preserve">per</t>
        </is>
      </c>
      <c r="R86" t="inlineStr">
        <is>
          <t xml:space="preserve">Form007</t>
        </is>
      </c>
      <c r="S86" t="inlineStr">
        <is>
          <t xml:space="preserve">JavaScript CAT в calc.html</t>
        </is>
      </c>
    </row>
    <row r="87">
      <c r="A87" t="inlineStr">
        <is>
          <t xml:space="preserve">86</t>
        </is>
      </c>
      <c r="B87" t="inlineStr">
        <is>
          <t xml:space="preserve">Веб/calc.html</t>
        </is>
      </c>
      <c r="C87" t="inlineStr">
        <is>
          <t xml:space="preserve">16</t>
        </is>
      </c>
      <c r="D87" t="inlineStr">
        <is>
          <t xml:space="preserve">c_Form015b</t>
        </is>
      </c>
      <c r="E87" t="inlineStr">
        <is>
          <t xml:space="preserve">Банковское обслуживание</t>
        </is>
      </c>
      <c r="F87" t="inlineStr">
        <is>
          <t xml:space="preserve">catalog_item</t>
        </is>
      </c>
      <c r="G87" t="inlineStr">
        <is>
          <t xml:space="preserve">Form007[2]</t>
        </is>
      </c>
      <c r="H87" t="inlineStr">
        <is>
          <t xml:space="preserve">СМС-уведомления</t>
        </is>
      </c>
      <c r="I87" t="inlineStr">
        <is>
          <t xml:space="preserve">150</t>
        </is>
      </c>
      <c r="J87" t="inlineStr">
        <is>
          <t xml:space="preserve">₽</t>
        </is>
      </c>
      <c r="K87" t="inlineStr">
        <is>
          <t xml:space="preserve">12 платежей/год</t>
        </is>
      </c>
      <c r="L87" t="inlineStr">
        <is>
          <t xml:space="preserve">per</t>
        </is>
      </c>
      <c r="R87" t="inlineStr">
        <is>
          <t xml:space="preserve">Form007</t>
        </is>
      </c>
      <c r="S87" t="inlineStr">
        <is>
          <t xml:space="preserve">JavaScript CAT в calc.html</t>
        </is>
      </c>
    </row>
    <row r="88">
      <c r="A88" t="inlineStr">
        <is>
          <t xml:space="preserve">87</t>
        </is>
      </c>
      <c r="B88" t="inlineStr">
        <is>
          <t xml:space="preserve">Веб/calc.html</t>
        </is>
      </c>
      <c r="C88" t="inlineStr">
        <is>
          <t xml:space="preserve">15</t>
        </is>
      </c>
      <c r="D88" t="inlineStr">
        <is>
          <t xml:space="preserve">c_Form010</t>
        </is>
      </c>
      <c r="E88" t="inlineStr">
        <is>
          <t xml:space="preserve">Реклама и продвижение</t>
        </is>
      </c>
      <c r="F88" t="inlineStr">
        <is>
          <t xml:space="preserve">catalog_item</t>
        </is>
      </c>
      <c r="G88" t="inlineStr">
        <is>
          <t xml:space="preserve">Form010[1]</t>
        </is>
      </c>
      <c r="H88" t="inlineStr">
        <is>
          <t xml:space="preserve">Домен сайта</t>
        </is>
      </c>
      <c r="I88" t="inlineStr">
        <is>
          <t xml:space="preserve">1500</t>
        </is>
      </c>
      <c r="J88" t="inlineStr">
        <is>
          <t xml:space="preserve">₽</t>
        </is>
      </c>
      <c r="K88" t="inlineStr">
        <is>
          <t xml:space="preserve">1 платежей/год</t>
        </is>
      </c>
      <c r="L88" t="inlineStr">
        <is>
          <t xml:space="preserve">per</t>
        </is>
      </c>
      <c r="R88" t="inlineStr">
        <is>
          <t xml:space="preserve">Form010</t>
        </is>
      </c>
      <c r="S88" t="inlineStr">
        <is>
          <t xml:space="preserve">JavaScript CAT в calc.html</t>
        </is>
      </c>
    </row>
    <row r="89">
      <c r="A89" t="inlineStr">
        <is>
          <t xml:space="preserve">88</t>
        </is>
      </c>
      <c r="B89" t="inlineStr">
        <is>
          <t xml:space="preserve">Веб/calc.html</t>
        </is>
      </c>
      <c r="C89" t="inlineStr">
        <is>
          <t xml:space="preserve">15</t>
        </is>
      </c>
      <c r="D89" t="inlineStr">
        <is>
          <t xml:space="preserve">c_Form010</t>
        </is>
      </c>
      <c r="E89" t="inlineStr">
        <is>
          <t xml:space="preserve">Реклама и продвижение</t>
        </is>
      </c>
      <c r="F89" t="inlineStr">
        <is>
          <t xml:space="preserve">catalog_item</t>
        </is>
      </c>
      <c r="G89" t="inlineStr">
        <is>
          <t xml:space="preserve">Form010[2]</t>
        </is>
      </c>
      <c r="H89" t="inlineStr">
        <is>
          <t xml:space="preserve">Хостинг сайта</t>
        </is>
      </c>
      <c r="I89" t="inlineStr">
        <is>
          <t xml:space="preserve">6000</t>
        </is>
      </c>
      <c r="J89" t="inlineStr">
        <is>
          <t xml:space="preserve">₽</t>
        </is>
      </c>
      <c r="K89" t="inlineStr">
        <is>
          <t xml:space="preserve">1 платежей/год</t>
        </is>
      </c>
      <c r="L89" t="inlineStr">
        <is>
          <t xml:space="preserve">per</t>
        </is>
      </c>
      <c r="R89" t="inlineStr">
        <is>
          <t xml:space="preserve">Form010</t>
        </is>
      </c>
      <c r="S89" t="inlineStr">
        <is>
          <t xml:space="preserve">JavaScript CAT в calc.html</t>
        </is>
      </c>
    </row>
    <row r="90">
      <c r="A90" t="inlineStr">
        <is>
          <t xml:space="preserve">89</t>
        </is>
      </c>
      <c r="B90" t="inlineStr">
        <is>
          <t xml:space="preserve">Веб/calc.html</t>
        </is>
      </c>
      <c r="C90" t="inlineStr">
        <is>
          <t xml:space="preserve">15</t>
        </is>
      </c>
      <c r="D90" t="inlineStr">
        <is>
          <t xml:space="preserve">c_Form010</t>
        </is>
      </c>
      <c r="E90" t="inlineStr">
        <is>
          <t xml:space="preserve">Реклама и продвижение</t>
        </is>
      </c>
      <c r="F90" t="inlineStr">
        <is>
          <t xml:space="preserve">catalog_item</t>
        </is>
      </c>
      <c r="G90" t="inlineStr">
        <is>
          <t xml:space="preserve">Form010[3]</t>
        </is>
      </c>
      <c r="H90" t="inlineStr">
        <is>
          <t xml:space="preserve">Яндекс Директ</t>
        </is>
      </c>
      <c r="I90" t="inlineStr">
        <is>
          <t xml:space="preserve">15000</t>
        </is>
      </c>
      <c r="J90" t="inlineStr">
        <is>
          <t xml:space="preserve">₽</t>
        </is>
      </c>
      <c r="K90" t="inlineStr">
        <is>
          <t xml:space="preserve">12 платежей/год</t>
        </is>
      </c>
      <c r="L90" t="inlineStr">
        <is>
          <t xml:space="preserve">per</t>
        </is>
      </c>
      <c r="R90" t="inlineStr">
        <is>
          <t xml:space="preserve">Form010</t>
        </is>
      </c>
      <c r="S90" t="inlineStr">
        <is>
          <t xml:space="preserve">JavaScript CAT в calc.html</t>
        </is>
      </c>
    </row>
    <row r="91">
      <c r="A91" t="inlineStr">
        <is>
          <t xml:space="preserve">90</t>
        </is>
      </c>
      <c r="B91" t="inlineStr">
        <is>
          <t xml:space="preserve">Веб/calc.html</t>
        </is>
      </c>
      <c r="C91" t="inlineStr">
        <is>
          <t xml:space="preserve">15</t>
        </is>
      </c>
      <c r="D91" t="inlineStr">
        <is>
          <t xml:space="preserve">c_Form010</t>
        </is>
      </c>
      <c r="E91" t="inlineStr">
        <is>
          <t xml:space="preserve">Реклама и продвижение</t>
        </is>
      </c>
      <c r="F91" t="inlineStr">
        <is>
          <t xml:space="preserve">catalog_item</t>
        </is>
      </c>
      <c r="G91" t="inlineStr">
        <is>
          <t xml:space="preserve">Form010[4]</t>
        </is>
      </c>
      <c r="H91" t="inlineStr">
        <is>
          <t xml:space="preserve">Авито</t>
        </is>
      </c>
      <c r="J91" t="inlineStr">
        <is>
          <t xml:space="preserve">₽</t>
        </is>
      </c>
      <c r="K91" t="inlineStr">
        <is>
          <t xml:space="preserve">12 платежей/год</t>
        </is>
      </c>
      <c r="L91" t="inlineStr">
        <is>
          <t xml:space="preserve">per</t>
        </is>
      </c>
      <c r="R91" t="inlineStr">
        <is>
          <t xml:space="preserve">Form010</t>
        </is>
      </c>
      <c r="S91" t="inlineStr">
        <is>
          <t xml:space="preserve">JavaScript CAT в calc.html</t>
        </is>
      </c>
    </row>
    <row r="92">
      <c r="A92" t="inlineStr">
        <is>
          <t xml:space="preserve">91</t>
        </is>
      </c>
      <c r="B92" t="inlineStr">
        <is>
          <t xml:space="preserve">Веб/calc.html</t>
        </is>
      </c>
      <c r="C92" t="inlineStr">
        <is>
          <t xml:space="preserve">15</t>
        </is>
      </c>
      <c r="D92" t="inlineStr">
        <is>
          <t xml:space="preserve">c_Form010</t>
        </is>
      </c>
      <c r="E92" t="inlineStr">
        <is>
          <t xml:space="preserve">Реклама и продвижение</t>
        </is>
      </c>
      <c r="F92" t="inlineStr">
        <is>
          <t xml:space="preserve">catalog_item</t>
        </is>
      </c>
      <c r="G92" t="inlineStr">
        <is>
          <t xml:space="preserve">Form010[5]</t>
        </is>
      </c>
      <c r="H92" t="inlineStr">
        <is>
          <t xml:space="preserve">Таргетированная реклама</t>
        </is>
      </c>
      <c r="J92" t="inlineStr">
        <is>
          <t xml:space="preserve">₽</t>
        </is>
      </c>
      <c r="K92" t="inlineStr">
        <is>
          <t xml:space="preserve">12 платежей/год</t>
        </is>
      </c>
      <c r="L92" t="inlineStr">
        <is>
          <t xml:space="preserve">per</t>
        </is>
      </c>
      <c r="R92" t="inlineStr">
        <is>
          <t xml:space="preserve">Form010</t>
        </is>
      </c>
      <c r="S92" t="inlineStr">
        <is>
          <t xml:space="preserve">JavaScript CAT в calc.html</t>
        </is>
      </c>
    </row>
    <row r="93">
      <c r="A93" t="inlineStr">
        <is>
          <t xml:space="preserve">92</t>
        </is>
      </c>
      <c r="B93" t="inlineStr">
        <is>
          <t xml:space="preserve">Веб/calc.html</t>
        </is>
      </c>
      <c r="C93" t="inlineStr">
        <is>
          <t xml:space="preserve">15</t>
        </is>
      </c>
      <c r="D93" t="inlineStr">
        <is>
          <t xml:space="preserve">c_Form010</t>
        </is>
      </c>
      <c r="E93" t="inlineStr">
        <is>
          <t xml:space="preserve">Реклама и продвижение</t>
        </is>
      </c>
      <c r="F93" t="inlineStr">
        <is>
          <t xml:space="preserve">catalog_item</t>
        </is>
      </c>
      <c r="G93" t="inlineStr">
        <is>
          <t xml:space="preserve">Form010[6]</t>
        </is>
      </c>
      <c r="H93" t="inlineStr">
        <is>
          <t xml:space="preserve">Размещения у блогеров</t>
        </is>
      </c>
      <c r="J93" t="inlineStr">
        <is>
          <t xml:space="preserve">₽</t>
        </is>
      </c>
      <c r="K93" t="inlineStr">
        <is>
          <t xml:space="preserve">12 платежей/год</t>
        </is>
      </c>
      <c r="L93" t="inlineStr">
        <is>
          <t xml:space="preserve">per</t>
        </is>
      </c>
      <c r="R93" t="inlineStr">
        <is>
          <t xml:space="preserve">Form010</t>
        </is>
      </c>
      <c r="S93" t="inlineStr">
        <is>
          <t xml:space="preserve">JavaScript CAT в calc.html</t>
        </is>
      </c>
    </row>
    <row r="94">
      <c r="A94" t="inlineStr">
        <is>
          <t xml:space="preserve">93</t>
        </is>
      </c>
      <c r="B94" t="inlineStr">
        <is>
          <t xml:space="preserve">Веб/calc.html</t>
        </is>
      </c>
      <c r="C94" t="inlineStr">
        <is>
          <t xml:space="preserve">15</t>
        </is>
      </c>
      <c r="D94" t="inlineStr">
        <is>
          <t xml:space="preserve">c_Form010</t>
        </is>
      </c>
      <c r="E94" t="inlineStr">
        <is>
          <t xml:space="preserve">Реклама и продвижение</t>
        </is>
      </c>
      <c r="F94" t="inlineStr">
        <is>
          <t xml:space="preserve">catalog_item</t>
        </is>
      </c>
      <c r="G94" t="inlineStr">
        <is>
          <t xml:space="preserve">Form010[7]</t>
        </is>
      </c>
      <c r="H94" t="inlineStr">
        <is>
          <t xml:space="preserve">Отклики на Profi.ru</t>
        </is>
      </c>
      <c r="J94" t="inlineStr">
        <is>
          <t xml:space="preserve">₽</t>
        </is>
      </c>
      <c r="K94" t="inlineStr">
        <is>
          <t xml:space="preserve">12 платежей/год</t>
        </is>
      </c>
      <c r="L94" t="inlineStr">
        <is>
          <t xml:space="preserve">per</t>
        </is>
      </c>
      <c r="R94" t="inlineStr">
        <is>
          <t xml:space="preserve">Form010</t>
        </is>
      </c>
      <c r="S94" t="inlineStr">
        <is>
          <t xml:space="preserve">JavaScript CAT в calc.html</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2026-08-22T08:41:10Z</dcterms:modified>
</cp:coreProperties>
</file>