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28.xml" ContentType="application/vnd.openxmlformats-officedocument.spreadsheetml.worksheet+xml"/>
  <Override PartName="/xl/worksheets/sheet2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02_Параметры" sheetId="3" state="visible" r:id="rId3"/>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b_UI_Отчёт" sheetId="10" state="visible" r:id="rId10"/>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09i_Справочник" sheetId="20" state="visible" r:id="rId20"/>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30"/>
    <sheet xmlns:r="http://schemas.openxmlformats.org/officeDocument/2006/relationships" name="06b_Отчёт_полный" sheetId="29" state="visible" r:id="rId31"/>
  </sheets>
  <definedNames>
    <definedName name="days_year">'02_Параметры'!$C$6</definedName>
    <definedName name="work_days">'02_Параметры'!$C$7</definedName>
    <definedName name="days_week">'02_Параметры'!$C$8</definedName>
    <definedName name="months">'02_Параметры'!$C$9</definedName>
    <definedName name="quarters">'02_Параметры'!$C$10</definedName>
    <definedName name="weeks_year">'02_Параметры'!$C$11</definedName>
    <definedName name="nominal_hours">'02_Параметры'!$C$12</definedName>
    <definedName name="work_months">'02_Параметры'!$C$13</definedName>
    <definedName name="vacation_cal">'02_Параметры'!$C$14</definedName>
    <definedName name="vacation_work">'02_Параметры'!$C$15</definedName>
    <definedName name="sick_cal">'02_Параметры'!$C$16</definedName>
    <definedName name="sick_work">'02_Параметры'!$C$17</definedName>
    <definedName name="eff_hours">'02_Параметры'!$C$18</definedName>
    <definedName name="work_time">'02_Параметры'!$C$21</definedName>
    <definedName name="net_days">'02_Параметры'!$C$22</definedName>
    <definedName name="net_time">'02_Параметры'!$C$23</definedName>
    <definedName name="net_weeks">'02_Параметры'!$C$24</definedName>
    <definedName name="promo_per_day">'02_Параметры'!$C$25</definedName>
    <definedName name="promo_time">'02_Параметры'!$C$26</definedName>
    <definedName name="acc_mode">'02_Параметры'!$C$27</definedName>
    <definedName name="acc_per_quarter">'02_Параметры'!$C$28</definedName>
    <definedName name="accounting_time">'02_Параметры'!$C$29</definedName>
    <definedName name="side_time">'02_Параметры'!$C$30</definedName>
    <definedName name="pool_gross">'02_Параметры'!$C$31</definedName>
    <definedName name="fm_on">'02_Параметры'!$C$32</definedName>
    <definedName name="fm_pct">'02_Параметры'!$C$33</definedName>
    <definedName name="fm_time">'02_Параметры'!$C$34</definedName>
    <definedName name="fm_week">'02_Параметры'!$C$35</definedName>
    <definedName name="project_pool">'02_Параметры'!$C$36</definedName>
    <definedName name="post_ratio">'02_Параметры'!$C$39</definedName>
    <definedName name="profile_multiplier">'02_Параметры'!$C$40</definedName>
    <definedName name="client_time">'02_Параметры'!$C$41</definedName>
    <definedName name="shoot_duration">'02_Параметры'!$C$42</definedName>
    <definedName name="week_target">'02_Параметры'!$C$43</definedName>
    <definedName name="shoot_auto">'02_Параметры'!$C$44</definedName>
    <definedName name="project_time">'02_Параметры'!$C$45</definedName>
    <definedName name="hour_pool">'02_Параметры'!$C$46</definedName>
    <definedName name="projects_year">'02_Параметры'!$C$47</definedName>
    <definedName name="projects_month">'02_Параметры'!$C$48</definedName>
    <definedName name="projects_week">'02_Параметры'!$C$49</definedName>
    <definedName name="shooting_time">'02_Параметры'!$C$50</definedName>
    <definedName name="shooting_month">'02_Параметры'!$C$51</definedName>
    <definedName name="shooting_week">'02_Параметры'!$C$52</definedName>
    <definedName name="post_time">'02_Параметры'!$C$53</definedName>
    <definedName name="core_time">'02_Параметры'!$C$54</definedName>
    <definedName name="client_total">'02_Параметры'!$C$55</definedName>
    <definedName name="ops_per_shoot">'02_Параметры'!$C$56</definedName>
    <definedName name="income_month">'02_Параметры'!$C$59</definedName>
    <definedName name="target_income">'02_Параметры'!$C$60</definedName>
    <definedName name="current_rate">'02_Параметры'!$C$61</definedName>
    <definedName name="ws_mode">'02_Параметры'!$C$64</definedName>
    <definedName name="own_home">'02_Параметры'!$C$65</definedName>
    <definedName name="home_rent">'02_Параметры'!$C$66</definedName>
    <definedName name="home_util">'02_Параметры'!$C$67</definedName>
    <definedName name="home_area">'02_Параметры'!$C$68</definedName>
    <definedName name="cab_area">'02_Параметры'!$C$69</definedName>
    <definedName name="cab_share">'02_Параметры'!$C$70</definedName>
    <definedName name="office_rent">'02_Параметры'!$C$71</definedName>
    <definedName name="office_util">'02_Параметры'!$C$72</definedName>
    <definedName name="var_workspace">'02_Параметры'!$C$73</definedName>
    <definedName name="edu_cost">'02_Параметры'!$C$76</definedName>
    <definedName name="edu_months">'02_Параметры'!$C$77</definedName>
    <definedName name="edu_life">'02_Параметры'!$C$78</definedName>
    <definedName name="edu_opportunity">'02_Параметры'!$C$80</definedName>
    <definedName name="dep_education">'02_Параметры'!$C$81</definedName>
    <definedName name="site_mode">'02_Параметры'!$C$82</definedName>
    <definedName name="site_cost">'02_Параметры'!$C$83</definedName>
    <definedName name="site_hours">'02_Параметры'!$C$84</definedName>
    <definedName name="site_life">'02_Параметры'!$C$85</definedName>
    <definedName name="dep_website">'02_Параметры'!$C$86</definedName>
    <definedName name="site_divisor">'02_Параметры'!$C$87</definedName>
    <definedName name="dep_shoot">'02_Параметры'!$C$90</definedName>
    <definedName name="dep_office">'02_Параметры'!$C$91</definedName>
    <definedName name="dep_software">'02_Параметры'!$C$92</definedName>
    <definedName name="dep_workspace">'02_Параметры'!$C$93</definedName>
    <definedName name="investment">'02_Параметры'!$C$94</definedName>
    <definedName name="var_software">'02_Параметры'!$C$95</definedName>
    <definedName name="var_ads">'02_Параметры'!$C$96</definedName>
    <definedName name="var_bank">'02_Параметры'!$C$97</definedName>
    <definedName name="acc_cost_month">'02_Параметры'!$C$98</definedName>
    <definedName name="var_accounting">'02_Параметры'!$C$99</definedName>
    <definedName name="variable_costs">'02_Параметры'!$C$100</definedName>
    <definedName name="total_costs">'02_Параметры'!$C$101</definedName>
    <definedName name="revenue_base">'02_Параметры'!$C$102</definedName>
    <definedName name="regime">'02_Параметры'!$C$105</definedName>
    <definedName name="rate_npd_avg">'02_Параметры'!$C$106</definedName>
    <definedName name="rate_npd_fiz">'02_Параметры'!$C$107</definedName>
    <definedName name="rate_npd_ur">'02_Параметры'!$C$108</definedName>
    <definedName name="rate_usn_inc">'02_Параметры'!$C$109</definedName>
    <definedName name="rate_usn_prof">'02_Параметры'!$C$110</definedName>
    <definedName name="rate_ausn_inc">'02_Параметры'!$C$111</definedName>
    <definedName name="rate_ausn_prof">'02_Параметры'!$C$112</definedName>
    <definedName name="regime_no">'02_Параметры'!$C$113</definedName>
    <definedName name="rate_current">'02_Параметры'!$C$114</definedName>
    <definedName name="fixed_contrib">'02_Параметры'!$C$115</definedName>
    <definedName name="extra_contrib">'02_Параметры'!$C$116</definedName>
    <definedName name="contrib_threshold">'02_Параметры'!$C$117</definedName>
    <definedName name="contrib_cap">'02_Параметры'!$C$118</definedName>
    <definedName name="threshold_credit">'02_Параметры'!$C$119</definedName>
    <definedName name="min_tax_usn">'02_Параметры'!$C$120</definedName>
    <definedName name="min_tax_ausn">'02_Параметры'!$C$121</definedName>
    <definedName name="injury_contrib">'02_Параметры'!$C$122</definedName>
    <definedName name="acq_rate">'02_Параметры'!$C$123</definedName>
    <definedName name="acq_share">'02_Параметры'!$C$124</definedName>
    <definedName name="acquiring">'02_Параметры'!$C$125</definedName>
    <definedName name="vat_threshold">'02_Параметры'!$C$126</definedName>
    <definedName name="limit_npd">'02_Параметры'!$C$127</definedName>
    <definedName name="limit_ausn">'02_Параметры'!$C$128</definedName>
    <definedName name="naive_rate">'02_Параметры'!$C$131</definedName>
    <definedName name="base_rate">'02_Параметры'!$C$132</definedName>
    <definedName name="ops_rate">'02_Параметры'!$C$133</definedName>
    <definedName name="full_hour_rate">'02_Параметры'!$C$134</definedName>
    <definedName name="site_value">'02_Параметры'!$C$135</definedName>
    <definedName name="cat_form">'03_Каталоги'!$A$5:$A$41</definedName>
    <definedName name="cat_year">'03_Каталоги'!$G$5:$G$41</definedName>
    <definedName name="idle_time">'02_Параметры'!$C$138</definedName>
    <definedName name="idle_week">'02_Параметры'!$C$139</definedName>
    <definedName name="hour_all">'02_Параметры'!$C$140</definedName>
    <definedName name="frames_out">'02_Параметры'!$C$141</definedName>
    <definedName name="frames_total">'02_Параметры'!$C$142</definedName>
    <definedName name="equip_only">'02_Параметры'!$C$143</definedName>
    <definedName name="_xlnm._FilterDatabase" localSheetId="11" hidden="1">'09_Тексты'!$A$4:$C$514</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2">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s>
  <fills count="106">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314">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30" Type="http://schemas.openxmlformats.org/officeDocument/2006/relationships/worksheet" Target="worksheets/sheet28.xml"/><Relationship Type="http://schemas.openxmlformats.org/officeDocument/2006/relationships/worksheet" Target="/xl/worksheets/sheet29.xml" Id="rId3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5 августа 2026.</t>
        </is>
      </c>
    </row>
    <row r="3">
      <c r="A3" s="2" t="n"/>
    </row>
    <row r="4">
      <c r="A4" s="146" t="inlineStr">
        <is>
          <t>ИЗ ЧЕГО СОСТОИТ ПРОДУКТ — четыре файла</t>
        </is>
      </c>
      <c r="B4" s="147" t="n"/>
    </row>
    <row r="5">
      <c r="A5" s="148" t="inlineStr">
        <is>
          <t>Файл</t>
        </is>
      </c>
      <c r="B5" s="148" t="inlineStr">
        <is>
          <t>Что это и где живёт</t>
        </is>
      </c>
    </row>
    <row r="6" ht="32" customHeight="1">
      <c r="A6" s="149" t="inlineStr">
        <is>
          <t>Калькулятор_ставки_часа.xlsx</t>
        </is>
      </c>
      <c r="B6" s="152" t="inlineStr">
        <is>
          <t>ЭТА КНИГА. Вся логика, параметры, тексты и методика. Источник правды — правки начинаются здесь.</t>
        </is>
      </c>
    </row>
    <row r="7" ht="32" customHeight="1">
      <c r="A7" s="312" t="inlineStr">
        <is>
          <t>web/index.html</t>
        </is>
      </c>
      <c r="B7" s="313" t="inlineStr">
        <is>
          <t>СТРАНИЦА ВХОДА. Первое, что видит человек: один экран — заголовок, три пользы, кнопка. Принимает реферальную метку и передаёт её в форму. Кто уже начинал, попадает сразу в форму.</t>
        </is>
      </c>
    </row>
    <row r="8" ht="32" customHeight="1">
      <c r="A8" s="149" t="inlineStr">
        <is>
          <t>web/calc.html</t>
        </is>
      </c>
      <c r="B8" s="152" t="inlineStr">
        <is>
          <t>ФОРМА. Вопросы анкеты, кнопка расчёта и анимация расчёта. Больше ничего: краткий итог и блок оплаты вынесены. После расчёта открывается отчёт.</t>
        </is>
      </c>
    </row>
    <row r="9">
      <c r="A9" s="149" t="inlineStr">
        <is>
          <t>web/report.html</t>
        </is>
      </c>
      <c r="B9" s="152" t="inlineStr">
        <is>
          <t>ПОЛНЫЙ ОТЧЁТ. 10 блоков, открывается после оплаты. Данные принимает из формы. Тоже автономный файл.</t>
        </is>
      </c>
    </row>
    <row r="10">
      <c r="A10" s="2" t="n"/>
    </row>
    <row r="11">
      <c r="A11" s="146" t="inlineStr">
        <is>
          <t>КАК УСТРОЕНА КНИГА — 27 листов</t>
        </is>
      </c>
      <c r="B11" s="147" t="n"/>
    </row>
    <row r="12" ht="32" customHeight="1">
      <c r="A12" s="148" t="inlineStr">
        <is>
          <t>Лист</t>
        </is>
      </c>
      <c r="B12" s="148" t="inlineStr">
        <is>
          <t>Назначение</t>
        </is>
      </c>
    </row>
    <row r="13" ht="32" customHeight="1">
      <c r="A13" s="149" t="inlineStr">
        <is>
          <t>00_Читать</t>
        </is>
      </c>
      <c r="B13" s="152" t="inlineStr">
        <is>
          <t>Этот лист — карта проекта</t>
        </is>
      </c>
    </row>
    <row r="14" ht="32" customHeight="1">
      <c r="A14" s="149" t="inlineStr">
        <is>
          <t>01_Глоссарий</t>
        </is>
      </c>
      <c r="B14" s="152" t="inlineStr">
        <is>
          <t>Термины: что такое ставка, амортизация, юнит-экономика</t>
        </is>
      </c>
    </row>
    <row r="15" ht="32" customHeight="1">
      <c r="A15" s="149" t="inlineStr">
        <is>
          <t>02_Параметры</t>
        </is>
      </c>
      <c r="B15" s="152" t="inlineStr">
        <is>
          <t>143 строки. Все входные величины и формулы через ID. ГЛАВНЫЙ лист для правки цифр</t>
        </is>
      </c>
    </row>
    <row r="16" ht="32" customHeight="1">
      <c r="A16" s="149" t="inlineStr">
        <is>
          <t>03_Каталоги</t>
        </is>
      </c>
      <c r="B16" s="152" t="inlineStr">
        <is>
          <t>Оборудование, ПО, реклама — построчно, с ценами и сроками службы</t>
        </is>
      </c>
    </row>
    <row r="17" ht="32" customHeight="1">
      <c r="A17" s="149" t="inlineStr">
        <is>
          <t>04_Итог / 05_Расчёт</t>
        </is>
      </c>
      <c r="B17" s="152" t="inlineStr">
        <is>
          <t>Свод и расчёт по семи налоговым режимам</t>
        </is>
      </c>
    </row>
    <row r="18" ht="32" customHeight="1">
      <c r="A18" s="149" t="inlineStr">
        <is>
          <t>06_Отчёт</t>
        </is>
      </c>
      <c r="B18" s="152" t="inlineStr">
        <is>
          <t>Все цифры отчёта: доход по ролям, расходы, сценарии</t>
        </is>
      </c>
    </row>
    <row r="19" ht="32" customHeight="1">
      <c r="A19" s="149" t="inlineStr">
        <is>
          <t>07_Интерфейс / 08_UI / 08b / 08c</t>
        </is>
      </c>
      <c r="B19" s="152" t="inlineStr">
        <is>
          <t>Структура формы и отчёта: какой блок за каким идёт</t>
        </is>
      </c>
    </row>
    <row r="20" ht="32" customHeight="1">
      <c r="A20" s="149" t="inlineStr">
        <is>
          <t>09_Тексты</t>
        </is>
      </c>
      <c r="B20" s="152" t="inlineStr">
        <is>
          <t>514 надписей. Колонка «Где находится» — поверхность (форма, отчёт, подсказки). Есть автофильтр</t>
        </is>
      </c>
    </row>
    <row r="21" ht="32" customHeight="1">
      <c r="A21" s="149" t="inlineStr">
        <is>
          <t>09b_Методика_цифр</t>
        </is>
      </c>
      <c r="B21" s="152" t="inlineStr">
        <is>
          <t>Как посчитана каждая цифра блока 09, откуда берутся рабочие паузы, правило округления</t>
        </is>
      </c>
    </row>
    <row r="22" ht="32" customHeight="1">
      <c r="A22" s="149" t="inlineStr">
        <is>
          <t>09e_Как_считается</t>
        </is>
      </c>
      <c r="B22" s="152" t="inlineStr">
        <is>
          <t>Полная цепочка расчёта ставки часа: 10 шагов от календаря до цены, с формулами и проверкой сходимости</t>
        </is>
      </c>
    </row>
    <row r="23" ht="32" customHeight="1">
      <c r="A23" s="149" t="inlineStr">
        <is>
          <t>09c_Палитра</t>
        </is>
      </c>
      <c r="B23" s="152" t="inlineStr">
        <is>
          <t>68 цветов. Единая система для формы и отчёта</t>
        </is>
      </c>
    </row>
    <row r="24">
      <c r="A24" s="149" t="inlineStr">
        <is>
          <t>10_Монетизация / 11_Ссылки</t>
        </is>
      </c>
      <c r="B24" s="152" t="inlineStr">
        <is>
          <t>Цена продукта, источники данных</t>
        </is>
      </c>
    </row>
    <row r="25">
      <c r="A25" s="149" t="inlineStr">
        <is>
          <t>12_Диаграммы / 13_Сетка_скидок / 13b_Программа_лояльности / 14_Опрос</t>
        </is>
      </c>
      <c r="B25" s="152" t="inlineStr">
        <is>
          <t>Данные для графиков, скидки за объём, ФОНД И ВСЯ ПРОГРАММА ЛОЯЛЬНОСТИ, опрос в форме</t>
        </is>
      </c>
    </row>
    <row r="26">
      <c r="A26" s="2" t="n"/>
    </row>
    <row r="27" ht="32" customHeight="1">
      <c r="A27" s="146" t="inlineStr">
        <is>
          <t>ЧТО ГДЕ ПРАВИТЬ</t>
        </is>
      </c>
      <c r="B27" s="147" t="n"/>
    </row>
    <row r="28" ht="32" customHeight="1">
      <c r="A28" s="148" t="inlineStr">
        <is>
          <t>Задача</t>
        </is>
      </c>
      <c r="B28" s="148" t="inlineStr">
        <is>
          <t>Куда идти</t>
        </is>
      </c>
    </row>
    <row r="29" ht="32" customHeight="1">
      <c r="A29" s="149" t="inlineStr">
        <is>
          <t>Поменять текст надписи</t>
        </is>
      </c>
      <c r="B29" s="152" t="inlineStr">
        <is>
          <t>09_Тексты → найти по ключу → колонка «Текст». Ключ виден в HTML как data-t="..."</t>
        </is>
      </c>
    </row>
    <row r="30" ht="32" customHeight="1">
      <c r="A30" s="149" t="inlineStr">
        <is>
          <t>Поменять цифру или формулу</t>
        </is>
      </c>
      <c r="B30" s="152" t="inlineStr">
        <is>
          <t>02_Параметры → колонка «Значение»</t>
        </is>
      </c>
    </row>
    <row r="31" ht="32" customHeight="1">
      <c r="A31" s="149" t="inlineStr">
        <is>
          <t>Поменять цвет</t>
        </is>
      </c>
      <c r="B31" s="152" t="inlineStr">
        <is>
          <t>09c_Палитра → HEX. Затем тот же токен в :root обоих HTML</t>
        </is>
      </c>
    </row>
    <row r="32">
      <c r="A32" s="149" t="inlineStr">
        <is>
          <t>Добавить оборудование</t>
        </is>
      </c>
      <c r="B32" s="152" t="inlineStr">
        <is>
          <t>03_Каталоги → новая строка с кодом формы</t>
        </is>
      </c>
    </row>
    <row r="33">
      <c r="A33" s="149" t="inlineStr">
        <is>
          <t>Изменить скидки, фонд, сертификаты</t>
        </is>
      </c>
      <c r="B33" s="152" t="inlineStr">
        <is>
          <t>13b_Программа_лояльности → жёлтые ячейки. Остальное пересчитается формулами</t>
        </is>
      </c>
    </row>
    <row r="34">
      <c r="A34" s="2" t="inlineStr">
        <is>
          <t>Изменить порядок блоков</t>
        </is>
      </c>
      <c r="B34" t="inlineStr">
        <is>
          <t>08c_Структура_отчёта</t>
        </is>
      </c>
    </row>
    <row r="35" ht="32" customHeight="1">
      <c r="A35" s="146" t="inlineStr">
        <is>
          <t>ПЕРЕД ПУБЛИКАЦИЕЙ — обязательно</t>
        </is>
      </c>
      <c r="B35" s="147" t="n"/>
    </row>
    <row r="36" ht="32" customHeight="1">
      <c r="A36" s="148" t="inlineStr">
        <is>
          <t>Что</t>
        </is>
      </c>
      <c r="B36" s="148" t="inlineStr">
        <is>
          <t>Где в calc.html</t>
        </is>
      </c>
    </row>
    <row r="37" ht="32" customHeight="1">
      <c r="A37" s="149" t="inlineStr">
        <is>
          <t>DEV_NO_BLUR = false</t>
        </is>
      </c>
      <c r="B37" s="152" t="inlineStr">
        <is>
          <t>сейчас true — отчёт не размыт, виден бесплатно</t>
        </is>
      </c>
    </row>
    <row r="38" ht="32" customHeight="1">
      <c r="A38" s="149" t="inlineStr">
        <is>
          <t>YM_ID = номер счётчика</t>
        </is>
      </c>
      <c r="B38" s="152" t="inlineStr">
        <is>
          <t>сейчас 0 — Яндекс.Метрика не подключена</t>
        </is>
      </c>
    </row>
    <row r="39">
      <c r="A39" s="149" t="inlineStr">
        <is>
          <t>PAY_URL = ссылка оплаты</t>
        </is>
      </c>
      <c r="B39" s="152" t="inlineStr">
        <is>
          <t>сейчас '#order' — заглушка</t>
        </is>
      </c>
    </row>
    <row r="40">
      <c r="A40" s="149" t="inlineStr">
        <is>
          <t>Связка форма → отчёт</t>
        </is>
      </c>
      <c r="B40" s="152" t="inlineStr">
        <is>
          <t>форма пока не передаёт данные в отчёт, отчёт показывает демо-набор</t>
        </is>
      </c>
    </row>
    <row r="41">
      <c r="A41" s="2" t="n"/>
    </row>
    <row r="42">
      <c r="A42" s="145" t="inlineStr">
        <is>
          <t>Папка _архив — старые версии и черновики. Для работы не нужны, удалять не обязательно.</t>
        </is>
      </c>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4" customWidth="1"/>
    <col min="3" max="3" width="16" customWidth="1"/>
    <col min="4" max="4" width="40" customWidth="1"/>
    <col min="5" max="6" width="16" customWidth="1"/>
    <col min="7" max="7" width="60" customWidth="1"/>
    <col min="8" max="8" width="16" customWidth="1"/>
    <col min="9" max="9" width="60" customWidth="1"/>
    <col min="10" max="10" width="38" customWidth="1"/>
    <col min="11" max="12" width="26" customWidth="1"/>
  </cols>
  <sheetData>
    <row r="1">
      <c r="A1" t="inlineStr">
        <is>
          <t xml:space="preserve">01 · ГЛОССАРИЙ — единый реестр понятий, параметров и обозначений</t>
        </is>
      </c>
    </row>
    <row r="2">
      <c r="A2" t="inlineStr">
        <is>
          <t xml:space="preserve">Собирается вместе с модель/глоссарий.html одним скриптом модель/глоссарий.py. Источник — этот лист. Столбцы «Решение» и «Справочник» временные.</t>
        </is>
      </c>
    </row>
    <row r="3"/>
    <row r="4">
      <c r="A4" t="inlineStr">
        <is>
          <t xml:space="preserve">A · МАРКЕРЫ ТИПОВ</t>
        </is>
      </c>
    </row>
    <row r="5">
      <c r="A5" t="inlineStr">
        <is>
          <t xml:space="preserve">№</t>
        </is>
      </c>
      <c r="B5" t="inlineStr">
        <is>
          <t xml:space="preserve">Наименование</t>
        </is>
      </c>
      <c r="C5" t="inlineStr">
        <is>
          <t xml:space="preserve">Статус (временный)</t>
        </is>
      </c>
      <c r="D5" t="inlineStr">
        <is>
          <t xml:space="preserve">Справочник · для сверки (временный)</t>
        </is>
      </c>
      <c r="E5" t="inlineStr">
        <is>
          <t xml:space="preserve">ID</t>
        </is>
      </c>
      <c r="F5" t="inlineStr">
        <is>
          <t xml:space="preserve">Тип</t>
        </is>
      </c>
      <c r="G5" t="inlineStr">
        <is>
          <t xml:space="preserve">Определение</t>
        </is>
      </c>
      <c r="H5" t="inlineStr">
        <is>
          <t xml:space="preserve">Определение утверждено</t>
        </is>
      </c>
      <c r="I5" t="inlineStr">
        <is>
          <t xml:space="preserve">Описание алгоритма</t>
        </is>
      </c>
      <c r="J5" t="inlineStr">
        <is>
          <t xml:space="preserve">Формула (пример расчёта)</t>
        </is>
      </c>
      <c r="K5" t="inlineStr">
        <is>
          <t xml:space="preserve">Где используется</t>
        </is>
      </c>
      <c r="L5" t="inlineStr">
        <is>
          <t xml:space="preserve">Решение (временный)</t>
        </is>
      </c>
    </row>
    <row r="6">
      <c r="A6" t="inlineStr">
        <is>
          <t xml:space="preserve">1</t>
        </is>
      </c>
      <c r="B6" t="inlineStr">
        <is>
          <t xml:space="preserve">Константа</t>
        </is>
      </c>
      <c r="C6" t="inlineStr">
        <is>
          <t xml:space="preserve">не сверяется</t>
        </is>
      </c>
      <c r="E6" t="inlineStr">
        <is>
          <t xml:space="preserve">const</t>
        </is>
      </c>
      <c r="F6" t="inlineStr">
        <is>
          <t xml:space="preserve">meta</t>
        </is>
      </c>
      <c r="G6" t="inlineStr">
        <is>
          <t xml:space="preserve">Заранее установленное значение, которое используется в расчётах и не изменяется в зависимости от введённых пользователем данных.</t>
        </is>
      </c>
      <c r="H6" t="inlineStr">
        <is>
          <t xml:space="preserve">согласовано</t>
        </is>
      </c>
      <c r="J6" t="inlineStr">
        <is>
          <t xml:space="preserve">247 дня, 57 390 ₽</t>
        </is>
      </c>
      <c r="K6" t="inlineStr">
        <is>
          <t xml:space="preserve">внутренний</t>
        </is>
      </c>
    </row>
    <row r="7">
      <c r="A7" t="inlineStr">
        <is>
          <t xml:space="preserve">2</t>
        </is>
      </c>
      <c r="B7" t="inlineStr">
        <is>
          <t xml:space="preserve">Значение по умолчанию</t>
        </is>
      </c>
      <c r="C7" t="inlineStr">
        <is>
          <t xml:space="preserve">не сверяется</t>
        </is>
      </c>
      <c r="E7" t="inlineStr">
        <is>
          <t xml:space="preserve">default</t>
        </is>
      </c>
      <c r="F7" t="inlineStr">
        <is>
          <t xml:space="preserve">meta</t>
        </is>
      </c>
      <c r="G7" t="inlineStr">
        <is>
          <t xml:space="preserve">Заранее установленное значение параметра, которое используется автоматически, если пользователь не указал другое значение.</t>
        </is>
      </c>
      <c r="H7" t="inlineStr">
        <is>
          <t xml:space="preserve">согласовано</t>
        </is>
      </c>
      <c r="J7" t="inlineStr">
        <is>
          <t xml:space="preserve">доход 108 999 ₽</t>
        </is>
      </c>
      <c r="K7" t="inlineStr">
        <is>
          <t xml:space="preserve">внутренний</t>
        </is>
      </c>
    </row>
    <row r="8">
      <c r="A8" t="inlineStr">
        <is>
          <t xml:space="preserve">3</t>
        </is>
      </c>
      <c r="B8" t="inlineStr">
        <is>
          <t xml:space="preserve">Формула</t>
        </is>
      </c>
      <c r="C8" t="inlineStr">
        <is>
          <t xml:space="preserve">не сверяется</t>
        </is>
      </c>
      <c r="E8" t="inlineStr">
        <is>
          <t xml:space="preserve">calc</t>
        </is>
      </c>
      <c r="F8" t="inlineStr">
        <is>
          <t xml:space="preserve">meta</t>
        </is>
      </c>
      <c r="G8" t="inlineStr">
        <is>
          <t xml:space="preserve">Расчётное выражение, по которому калькулятор на основе введённых пользователем данных и установленных констант определяет значение параметра.</t>
        </is>
      </c>
      <c r="H8" t="inlineStr">
        <is>
          <t xml:space="preserve">согласовано</t>
        </is>
      </c>
      <c r="J8" t="inlineStr">
        <is>
          <t xml:space="preserve">net_time-side_time</t>
        </is>
      </c>
      <c r="K8" t="inlineStr">
        <is>
          <t xml:space="preserve">внутренний</t>
        </is>
      </c>
    </row>
    <row r="9">
      <c r="A9" t="inlineStr">
        <is>
          <t xml:space="preserve">4</t>
        </is>
      </c>
      <c r="B9" t="inlineStr">
        <is>
          <t xml:space="preserve">Переключатель</t>
        </is>
      </c>
      <c r="C9" t="inlineStr">
        <is>
          <t xml:space="preserve">не сверяется</t>
        </is>
      </c>
      <c r="E9" t="inlineStr">
        <is>
          <t xml:space="preserve">switch</t>
        </is>
      </c>
      <c r="F9" t="inlineStr">
        <is>
          <t xml:space="preserve">meta</t>
        </is>
      </c>
      <c r="G9" t="inlineStr">
        <is>
          <t xml:space="preserve">Параметр с выбором из нескольких вариантов, который меняет не только значение, но и сам ход расчёта.</t>
        </is>
      </c>
      <c r="H9" t="inlineStr">
        <is>
          <t xml:space="preserve">черновик</t>
        </is>
      </c>
      <c r="J9" t="inlineStr">
        <is>
          <t xml:space="preserve">«Работаю из дома» / «Арендую»</t>
        </is>
      </c>
      <c r="K9" t="inlineStr">
        <is>
          <t xml:space="preserve">внутренний</t>
        </is>
      </c>
    </row>
    <row r="10">
      <c r="A10" t="inlineStr">
        <is>
          <t xml:space="preserve">5</t>
        </is>
      </c>
      <c r="B10" t="inlineStr">
        <is>
          <t xml:space="preserve">Служебное понятие</t>
        </is>
      </c>
      <c r="C10" t="inlineStr">
        <is>
          <t xml:space="preserve">не сверяется</t>
        </is>
      </c>
      <c r="E10" t="inlineStr">
        <is>
          <t xml:space="preserve">meta</t>
        </is>
      </c>
      <c r="F10" t="inlineStr">
        <is>
          <t xml:space="preserve">meta</t>
        </is>
      </c>
      <c r="G10" t="inlineStr">
        <is>
          <t xml:space="preserve">Обозначение, описывающее устройство самой книги, а не деятельность специалиста.</t>
        </is>
      </c>
      <c r="H10" t="inlineStr">
        <is>
          <t xml:space="preserve">черновик</t>
        </is>
      </c>
      <c r="J10" t="inlineStr">
        <is>
          <t xml:space="preserve">block, form, section</t>
        </is>
      </c>
      <c r="K10" t="inlineStr">
        <is>
          <t xml:space="preserve">внутренний</t>
        </is>
      </c>
    </row>
    <row r="11">
      <c r="A11" t="inlineStr">
        <is>
          <t xml:space="preserve">6</t>
        </is>
      </c>
      <c r="B11" t="inlineStr">
        <is>
          <t xml:space="preserve">Тип поля интерфейса</t>
        </is>
      </c>
      <c r="C11" t="inlineStr">
        <is>
          <t xml:space="preserve">не сверяется</t>
        </is>
      </c>
      <c r="E11" t="inlineStr">
        <is>
          <t xml:space="preserve">ui</t>
        </is>
      </c>
      <c r="F11" t="inlineStr">
        <is>
          <t xml:space="preserve">meta</t>
        </is>
      </c>
      <c r="G11" t="inlineStr">
        <is>
          <t xml:space="preserve">Обозначение способа, которым пользователь вводит или получает значение параметра.</t>
        </is>
      </c>
      <c r="H11" t="inlineStr">
        <is>
          <t xml:space="preserve">черновик</t>
        </is>
      </c>
      <c r="J11" t="inlineStr">
        <is>
          <t xml:space="preserve">input_number, dropdown</t>
        </is>
      </c>
      <c r="K11" t="inlineStr">
        <is>
          <t xml:space="preserve">внутренний</t>
        </is>
      </c>
    </row>
    <row r="12"/>
    <row r="13">
      <c r="A13" t="inlineStr">
        <is>
          <t xml:space="preserve">A1 · Служебные понятия — Из чего собраны книга, анкета и отчёт.</t>
        </is>
      </c>
    </row>
    <row r="14">
      <c r="A14" t="inlineStr">
        <is>
          <t xml:space="preserve">№</t>
        </is>
      </c>
      <c r="B14" t="inlineStr">
        <is>
          <t xml:space="preserve">Наименование</t>
        </is>
      </c>
      <c r="C14" t="inlineStr">
        <is>
          <t xml:space="preserve">Статус (временный)</t>
        </is>
      </c>
      <c r="D14" t="inlineStr">
        <is>
          <t xml:space="preserve">Справочник · для сверки (временный)</t>
        </is>
      </c>
      <c r="E14" t="inlineStr">
        <is>
          <t xml:space="preserve">ID</t>
        </is>
      </c>
      <c r="F14" t="inlineStr">
        <is>
          <t xml:space="preserve">Тип</t>
        </is>
      </c>
      <c r="G14" t="inlineStr">
        <is>
          <t xml:space="preserve">Определение</t>
        </is>
      </c>
      <c r="H14" t="inlineStr">
        <is>
          <t xml:space="preserve">Определение утверждено</t>
        </is>
      </c>
      <c r="I14" t="inlineStr">
        <is>
          <t xml:space="preserve">Описание алгоритма</t>
        </is>
      </c>
      <c r="J14" t="inlineStr">
        <is>
          <t xml:space="preserve">Формула (пример расчёта)</t>
        </is>
      </c>
      <c r="K14" t="inlineStr">
        <is>
          <t xml:space="preserve">Где используется</t>
        </is>
      </c>
      <c r="L14" t="inlineStr">
        <is>
          <t xml:space="preserve">Решение (временный)</t>
        </is>
      </c>
    </row>
    <row r="15">
      <c r="A15" t="inlineStr">
        <is>
          <t xml:space="preserve">7</t>
        </is>
      </c>
      <c r="B15" t="inlineStr">
        <is>
          <t xml:space="preserve">Раздел</t>
        </is>
      </c>
      <c r="C15" t="inlineStr">
        <is>
          <t xml:space="preserve">не сверяется</t>
        </is>
      </c>
      <c r="E15" t="inlineStr">
        <is>
          <t xml:space="preserve">Section1 … Section6</t>
        </is>
      </c>
      <c r="F15" t="inlineStr">
        <is>
          <t xml:space="preserve">служебное</t>
        </is>
      </c>
      <c r="G15" t="inlineStr">
        <is>
          <t xml:space="preserve">Крупная часть анкеты, объединяющая несколько блоков.</t>
        </is>
      </c>
      <c r="H15" t="inlineStr">
        <is>
          <t xml:space="preserve">черновик</t>
        </is>
      </c>
      <c r="J15" t="inlineStr">
        <is>
          <t xml:space="preserve">07_Интерфейс, 08_UI</t>
        </is>
      </c>
      <c r="K15" t="inlineStr">
        <is>
          <t xml:space="preserve">внутренний</t>
        </is>
      </c>
    </row>
    <row r="16">
      <c r="A16" t="inlineStr">
        <is>
          <t xml:space="preserve">8</t>
        </is>
      </c>
      <c r="B16" t="inlineStr">
        <is>
          <t xml:space="preserve">Блок</t>
        </is>
      </c>
      <c r="C16" t="inlineStr">
        <is>
          <t xml:space="preserve">не сверяется</t>
        </is>
      </c>
      <c r="E16" t="inlineStr">
        <is>
          <t xml:space="preserve">Block1 … Block18</t>
        </is>
      </c>
      <c r="F16" t="inlineStr">
        <is>
          <t xml:space="preserve">служебное</t>
        </is>
      </c>
      <c r="G16" t="inlineStr">
        <is>
          <t xml:space="preserve">Смысловая часть анкеты: один вопрос или группа связанных вопросов с общим заголовком.</t>
        </is>
      </c>
      <c r="H16" t="inlineStr">
        <is>
          <t xml:space="preserve">черновик</t>
        </is>
      </c>
      <c r="J16" t="inlineStr">
        <is>
          <t xml:space="preserve">07_Интерфейс, 08_UI</t>
        </is>
      </c>
      <c r="K16" t="inlineStr">
        <is>
          <t xml:space="preserve">внутренний</t>
        </is>
      </c>
    </row>
    <row r="17">
      <c r="A17" t="inlineStr">
        <is>
          <t xml:space="preserve">9</t>
        </is>
      </c>
      <c r="B17" t="inlineStr">
        <is>
          <t xml:space="preserve">Форма</t>
        </is>
      </c>
      <c r="C17" t="inlineStr">
        <is>
          <t xml:space="preserve">не сверяется</t>
        </is>
      </c>
      <c r="E17" t="inlineStr">
        <is>
          <t xml:space="preserve">Form001 … Form016</t>
        </is>
      </c>
      <c r="F17" t="inlineStr">
        <is>
          <t xml:space="preserve">служебное</t>
        </is>
      </c>
      <c r="G17" t="inlineStr">
        <is>
          <t xml:space="preserve">Набор однотипных строк, которые пользователь заполняет списком.</t>
        </is>
      </c>
      <c r="H17" t="inlineStr">
        <is>
          <t xml:space="preserve">черновик</t>
        </is>
      </c>
      <c r="J17" t="inlineStr">
        <is>
          <t xml:space="preserve">03_Каталоги, 07_Интерфейс</t>
        </is>
      </c>
      <c r="K17" t="inlineStr">
        <is>
          <t xml:space="preserve">внутренний</t>
        </is>
      </c>
    </row>
    <row r="18">
      <c r="A18" t="inlineStr">
        <is>
          <t xml:space="preserve">10</t>
        </is>
      </c>
      <c r="B18" t="inlineStr">
        <is>
          <t xml:space="preserve">Параметр</t>
        </is>
      </c>
      <c r="C18" t="inlineStr">
        <is>
          <t xml:space="preserve">не сверяется</t>
        </is>
      </c>
      <c r="E18" t="inlineStr">
        <is>
          <t xml:space="preserve">income_month и другие ID</t>
        </is>
      </c>
      <c r="F18" t="inlineStr">
        <is>
          <t xml:space="preserve">служебное</t>
        </is>
      </c>
      <c r="G18" t="inlineStr">
        <is>
          <t xml:space="preserve">Отдельная величина книги со своим постоянным обозначением, по которому на неё ссылаются формулы.</t>
        </is>
      </c>
      <c r="H18" t="inlineStr">
        <is>
          <t xml:space="preserve">черновик</t>
        </is>
      </c>
      <c r="J18" t="inlineStr">
        <is>
          <t xml:space="preserve">02_Параметры</t>
        </is>
      </c>
      <c r="K18" t="inlineStr">
        <is>
          <t xml:space="preserve">внутренний</t>
        </is>
      </c>
    </row>
    <row r="19">
      <c r="A19" t="inlineStr">
        <is>
          <t xml:space="preserve">11</t>
        </is>
      </c>
      <c r="B19" t="inlineStr">
        <is>
          <t xml:space="preserve">Каталог</t>
        </is>
      </c>
      <c r="C19" t="inlineStr">
        <is>
          <t xml:space="preserve">не сверяется</t>
        </is>
      </c>
      <c r="E19" t="inlineStr">
        <is>
          <t xml:space="preserve">cat_form, cat_year</t>
        </is>
      </c>
      <c r="F19" t="inlineStr">
        <is>
          <t xml:space="preserve">служебное</t>
        </is>
      </c>
      <c r="G19" t="inlineStr">
        <is>
          <t xml:space="preserve">Список позиций формы вместе с ценой, сроком службы, периодом платежа и годовой суммой.</t>
        </is>
      </c>
      <c r="H19" t="inlineStr">
        <is>
          <t xml:space="preserve">черновик</t>
        </is>
      </c>
      <c r="J19" t="inlineStr">
        <is>
          <t xml:space="preserve">03_Каталоги</t>
        </is>
      </c>
      <c r="K19" t="inlineStr">
        <is>
          <t xml:space="preserve">внутренний</t>
        </is>
      </c>
    </row>
    <row r="20">
      <c r="A20" t="inlineStr">
        <is>
          <t xml:space="preserve">12</t>
        </is>
      </c>
      <c r="B20" t="inlineStr">
        <is>
          <t xml:space="preserve">Тип расхода</t>
        </is>
      </c>
      <c r="C20" t="inlineStr">
        <is>
          <t xml:space="preserve">не сверяется</t>
        </is>
      </c>
      <c r="E20" t="inlineStr">
        <is>
          <t xml:space="preserve">амортизация · регулярный платёж</t>
        </is>
      </c>
      <c r="F20" t="inlineStr">
        <is>
          <t xml:space="preserve">служебное</t>
        </is>
      </c>
      <c r="G20" t="inlineStr">
        <is>
          <t xml:space="preserve">Признак позиции каталога: разовая покупка, разложенная по сроку службы, или платёж, повторяющийся каждый период.</t>
        </is>
      </c>
      <c r="H20" t="inlineStr">
        <is>
          <t xml:space="preserve">черновик</t>
        </is>
      </c>
      <c r="J20" t="inlineStr">
        <is>
          <t xml:space="preserve">03_Каталоги</t>
        </is>
      </c>
      <c r="K20" t="inlineStr">
        <is>
          <t xml:space="preserve">внутренний</t>
        </is>
      </c>
    </row>
    <row r="21">
      <c r="A21" t="inlineStr">
        <is>
          <t xml:space="preserve">13</t>
        </is>
      </c>
      <c r="B21" t="inlineStr">
        <is>
          <t xml:space="preserve">Период платежа</t>
        </is>
      </c>
      <c r="C21" t="inlineStr">
        <is>
          <t xml:space="preserve">не сверяется</t>
        </is>
      </c>
      <c r="E21" t="inlineStr">
        <is>
          <t xml:space="preserve">Год · Квартал · Месяц</t>
        </is>
      </c>
      <c r="F21" t="inlineStr">
        <is>
          <t xml:space="preserve">служебное</t>
        </is>
      </c>
      <c r="G21" t="inlineStr">
        <is>
          <t xml:space="preserve">Как часто вносится регулярный платёж. Задаёт множитель платежей в год: 1, 4 или 12.</t>
        </is>
      </c>
      <c r="H21" t="inlineStr">
        <is>
          <t xml:space="preserve">черновик</t>
        </is>
      </c>
      <c r="J21" t="inlineStr">
        <is>
          <t xml:space="preserve">03_Каталоги</t>
        </is>
      </c>
      <c r="K21" t="inlineStr">
        <is>
          <t xml:space="preserve">внутренний</t>
        </is>
      </c>
    </row>
    <row r="22">
      <c r="A22" t="inlineStr">
        <is>
          <t xml:space="preserve">14</t>
        </is>
      </c>
      <c r="B22" t="inlineStr">
        <is>
          <t xml:space="preserve">Лист книги</t>
        </is>
      </c>
      <c r="C22" t="inlineStr">
        <is>
          <t xml:space="preserve">не сверяется</t>
        </is>
      </c>
      <c r="E22" t="inlineStr">
        <is>
          <t xml:space="preserve">00 … 28</t>
        </is>
      </c>
      <c r="F22" t="inlineStr">
        <is>
          <t xml:space="preserve">служебное</t>
        </is>
      </c>
      <c r="G22" t="inlineStr">
        <is>
          <t xml:space="preserve">Отдельная страница книги с номером и назначением в названии.</t>
        </is>
      </c>
      <c r="H22" t="inlineStr">
        <is>
          <t xml:space="preserve">черновик</t>
        </is>
      </c>
      <c r="J22" t="inlineStr">
        <is>
          <t xml:space="preserve">вся книга</t>
        </is>
      </c>
      <c r="K22" t="inlineStr">
        <is>
          <t xml:space="preserve">внутренний</t>
        </is>
      </c>
    </row>
    <row r="23">
      <c r="A23" t="inlineStr">
        <is>
          <t xml:space="preserve">15</t>
        </is>
      </c>
      <c r="B23" t="inlineStr">
        <is>
          <t xml:space="preserve">id в вёрстке</t>
        </is>
      </c>
      <c r="C23" t="inlineStr">
        <is>
          <t xml:space="preserve">не сверяется</t>
        </is>
      </c>
      <c r="E23" t="inlineStr">
        <is>
          <t xml:space="preserve">hRate, dn1, lg1</t>
        </is>
      </c>
      <c r="F23" t="inlineStr">
        <is>
          <t xml:space="preserve">служебное</t>
        </is>
      </c>
      <c r="G23" t="inlineStr">
        <is>
          <t xml:space="preserve">Обозначение элемента на странице, по которому скрипт подставляет в него рассчитанное значение.</t>
        </is>
      </c>
      <c r="H23" t="inlineStr">
        <is>
          <t xml:space="preserve">черновик</t>
        </is>
      </c>
      <c r="J23" t="inlineStr">
        <is>
          <t xml:space="preserve">08c_Структура_отчёта</t>
        </is>
      </c>
      <c r="K23" t="inlineStr">
        <is>
          <t xml:space="preserve">внутренний</t>
        </is>
      </c>
    </row>
    <row r="24"/>
    <row r="25">
      <c r="A25" t="inlineStr">
        <is>
          <t xml:space="preserve">A5 · Типы полей анкеты — Как пользователь вводит значение.</t>
        </is>
      </c>
    </row>
    <row r="26">
      <c r="A26" t="inlineStr">
        <is>
          <t xml:space="preserve">№</t>
        </is>
      </c>
      <c r="B26" t="inlineStr">
        <is>
          <t xml:space="preserve">Наименование</t>
        </is>
      </c>
      <c r="C26" t="inlineStr">
        <is>
          <t xml:space="preserve">Статус (временный)</t>
        </is>
      </c>
      <c r="D26" t="inlineStr">
        <is>
          <t xml:space="preserve">Справочник · для сверки (временный)</t>
        </is>
      </c>
      <c r="E26" t="inlineStr">
        <is>
          <t xml:space="preserve">ID</t>
        </is>
      </c>
      <c r="F26" t="inlineStr">
        <is>
          <t xml:space="preserve">Тип</t>
        </is>
      </c>
      <c r="G26" t="inlineStr">
        <is>
          <t xml:space="preserve">Определение</t>
        </is>
      </c>
      <c r="H26" t="inlineStr">
        <is>
          <t xml:space="preserve">Определение утверждено</t>
        </is>
      </c>
      <c r="I26" t="inlineStr">
        <is>
          <t xml:space="preserve">Описание алгоритма</t>
        </is>
      </c>
      <c r="J26" t="inlineStr">
        <is>
          <t xml:space="preserve">Формула (пример расчёта)</t>
        </is>
      </c>
      <c r="K26" t="inlineStr">
        <is>
          <t xml:space="preserve">Где используется</t>
        </is>
      </c>
      <c r="L26" t="inlineStr">
        <is>
          <t xml:space="preserve">Решение (временный)</t>
        </is>
      </c>
    </row>
    <row r="27">
      <c r="A27" t="inlineStr">
        <is>
          <t xml:space="preserve">16</t>
        </is>
      </c>
      <c r="B27" t="inlineStr">
        <is>
          <t xml:space="preserve">input_number</t>
        </is>
      </c>
      <c r="C27" t="inlineStr">
        <is>
          <t xml:space="preserve">не сверяется</t>
        </is>
      </c>
      <c r="E27" t="inlineStr">
        <is>
          <t xml:space="preserve">поле ввода</t>
        </is>
      </c>
      <c r="F27" t="inlineStr">
        <is>
          <t xml:space="preserve">служебное</t>
        </is>
      </c>
      <c r="G27" t="inlineStr">
        <is>
          <t xml:space="preserve">Поле для ввода числа.</t>
        </is>
      </c>
      <c r="H27" t="inlineStr">
        <is>
          <t xml:space="preserve">черновик</t>
        </is>
      </c>
      <c r="J27" t="inlineStr">
        <is>
          <t xml:space="preserve">доход, ставка, коэффициент</t>
        </is>
      </c>
      <c r="K27" t="inlineStr">
        <is>
          <t xml:space="preserve">внутренний</t>
        </is>
      </c>
    </row>
    <row r="28">
      <c r="A28" t="inlineStr">
        <is>
          <t xml:space="preserve">17</t>
        </is>
      </c>
      <c r="B28" t="inlineStr">
        <is>
          <t xml:space="preserve">input_extended</t>
        </is>
      </c>
      <c r="C28" t="inlineStr">
        <is>
          <t xml:space="preserve">не сверяется</t>
        </is>
      </c>
      <c r="E28" t="inlineStr">
        <is>
          <t xml:space="preserve">поле с настройкой</t>
        </is>
      </c>
      <c r="F28" t="inlineStr">
        <is>
          <t xml:space="preserve">служебное</t>
        </is>
      </c>
      <c r="G28" t="inlineStr">
        <is>
          <t xml:space="preserve">Поле для ввода числа с дополнительной настройкой рядом.</t>
        </is>
      </c>
      <c r="H28" t="inlineStr">
        <is>
          <t xml:space="preserve">черновик</t>
        </is>
      </c>
      <c r="J28" t="inlineStr">
        <is>
          <t xml:space="preserve">Block10</t>
        </is>
      </c>
      <c r="K28" t="inlineStr">
        <is>
          <t xml:space="preserve">внутренний</t>
        </is>
      </c>
    </row>
    <row r="29">
      <c r="A29" t="inlineStr">
        <is>
          <t xml:space="preserve">18</t>
        </is>
      </c>
      <c r="B29" t="inlineStr">
        <is>
          <t xml:space="preserve">dropdown</t>
        </is>
      </c>
      <c r="C29" t="inlineStr">
        <is>
          <t xml:space="preserve">не сверяется</t>
        </is>
      </c>
      <c r="E29" t="inlineStr">
        <is>
          <t xml:space="preserve">select</t>
        </is>
      </c>
      <c r="F29" t="inlineStr">
        <is>
          <t xml:space="preserve">служебное</t>
        </is>
      </c>
      <c r="G29" t="inlineStr">
        <is>
          <t xml:space="preserve">Выпадающий список с выбором одного варианта.</t>
        </is>
      </c>
      <c r="H29" t="inlineStr">
        <is>
          <t xml:space="preserve">черновик</t>
        </is>
      </c>
      <c r="J29" t="inlineStr">
        <is>
          <t xml:space="preserve">налоговый режим, учёт</t>
        </is>
      </c>
      <c r="K29" t="inlineStr">
        <is>
          <t xml:space="preserve">внутренний</t>
        </is>
      </c>
    </row>
    <row r="30">
      <c r="A30" t="inlineStr">
        <is>
          <t xml:space="preserve">19</t>
        </is>
      </c>
      <c r="B30" t="inlineStr">
        <is>
          <t xml:space="preserve">radio</t>
        </is>
      </c>
      <c r="C30" t="inlineStr">
        <is>
          <t xml:space="preserve">не сверяется</t>
        </is>
      </c>
      <c r="E30" t="inlineStr">
        <is>
          <t xml:space="preserve">переключатель</t>
        </is>
      </c>
      <c r="F30" t="inlineStr">
        <is>
          <t xml:space="preserve">служебное</t>
        </is>
      </c>
      <c r="G30" t="inlineStr">
        <is>
          <t xml:space="preserve">Выбор одного варианта из нескольких, все видны сразу.</t>
        </is>
      </c>
      <c r="H30" t="inlineStr">
        <is>
          <t xml:space="preserve">черновик</t>
        </is>
      </c>
      <c r="J30" t="inlineStr">
        <is>
          <t xml:space="preserve">создание сайта</t>
        </is>
      </c>
      <c r="K30" t="inlineStr">
        <is>
          <t xml:space="preserve">внутренний</t>
        </is>
      </c>
    </row>
    <row r="31">
      <c r="A31" t="inlineStr">
        <is>
          <t xml:space="preserve">20</t>
        </is>
      </c>
      <c r="B31" t="inlineStr">
        <is>
          <t xml:space="preserve">checkbox</t>
        </is>
      </c>
      <c r="C31" t="inlineStr">
        <is>
          <t xml:space="preserve">не сверяется</t>
        </is>
      </c>
      <c r="E31" t="inlineStr">
        <is>
          <t xml:space="preserve">галочка</t>
        </is>
      </c>
      <c r="F31" t="inlineStr">
        <is>
          <t xml:space="preserve">служебное</t>
        </is>
      </c>
      <c r="G31" t="inlineStr">
        <is>
          <t xml:space="preserve">Включает или выключает блок либо строку расчёта.</t>
        </is>
      </c>
      <c r="H31" t="inlineStr">
        <is>
          <t xml:space="preserve">черновик</t>
        </is>
      </c>
      <c r="J31" t="inlineStr">
        <is>
          <t xml:space="preserve">«Не учитывать этот блок»</t>
        </is>
      </c>
      <c r="K31" t="inlineStr">
        <is>
          <t xml:space="preserve">внутренний</t>
        </is>
      </c>
    </row>
    <row r="32">
      <c r="A32" t="inlineStr">
        <is>
          <t xml:space="preserve">21</t>
        </is>
      </c>
      <c r="B32" t="inlineStr">
        <is>
          <t xml:space="preserve">dynamic_table</t>
        </is>
      </c>
      <c r="C32" t="inlineStr">
        <is>
          <t xml:space="preserve">не сверяется</t>
        </is>
      </c>
      <c r="E32" t="inlineStr">
        <is>
          <t xml:space="preserve">таблица</t>
        </is>
      </c>
      <c r="F32" t="inlineStr">
        <is>
          <t xml:space="preserve">служебное</t>
        </is>
      </c>
      <c r="G32" t="inlineStr">
        <is>
          <t xml:space="preserve">Таблица, в которую пользователь сам добавляет и удаляет строки.</t>
        </is>
      </c>
      <c r="H32" t="inlineStr">
        <is>
          <t xml:space="preserve">черновик</t>
        </is>
      </c>
      <c r="J32" t="inlineStr">
        <is>
          <t xml:space="preserve">оборудование, ПО</t>
        </is>
      </c>
      <c r="K32" t="inlineStr">
        <is>
          <t xml:space="preserve">внутренний</t>
        </is>
      </c>
    </row>
    <row r="33">
      <c r="A33" t="inlineStr">
        <is>
          <t xml:space="preserve">22</t>
        </is>
      </c>
      <c r="B33" t="inlineStr">
        <is>
          <t xml:space="preserve">dynamic_tables</t>
        </is>
      </c>
      <c r="C33" t="inlineStr">
        <is>
          <t xml:space="preserve">не сверяется</t>
        </is>
      </c>
      <c r="E33" t="inlineStr">
        <is>
          <t xml:space="preserve">две таблицы</t>
        </is>
      </c>
      <c r="F33" t="inlineStr">
        <is>
          <t xml:space="preserve">служебное</t>
        </is>
      </c>
      <c r="G33" t="inlineStr">
        <is>
          <t xml:space="preserve">Две такие таблицы в одном блоке.</t>
        </is>
      </c>
      <c r="H33" t="inlineStr">
        <is>
          <t xml:space="preserve">черновик</t>
        </is>
      </c>
      <c r="J33" t="inlineStr">
        <is>
          <t xml:space="preserve">Block8</t>
        </is>
      </c>
      <c r="K33" t="inlineStr">
        <is>
          <t xml:space="preserve">внутренний</t>
        </is>
      </c>
    </row>
    <row r="34">
      <c r="A34" t="inlineStr">
        <is>
          <t xml:space="preserve">23</t>
        </is>
      </c>
      <c r="B34" t="inlineStr">
        <is>
          <t xml:space="preserve">table_head</t>
        </is>
      </c>
      <c r="C34" t="inlineStr">
        <is>
          <t xml:space="preserve">не сверяется</t>
        </is>
      </c>
      <c r="E34" t="inlineStr">
        <is>
          <t xml:space="preserve">шапка таблицы</t>
        </is>
      </c>
      <c r="F34" t="inlineStr">
        <is>
          <t xml:space="preserve">служебное</t>
        </is>
      </c>
      <c r="G34" t="inlineStr">
        <is>
          <t xml:space="preserve">Названия столбцов таблицы.</t>
        </is>
      </c>
      <c r="H34" t="inlineStr">
        <is>
          <t xml:space="preserve">черновик</t>
        </is>
      </c>
      <c r="J34" t="inlineStr">
        <is>
          <t xml:space="preserve">—</t>
        </is>
      </c>
      <c r="K34" t="inlineStr">
        <is>
          <t xml:space="preserve">внутренний</t>
        </is>
      </c>
    </row>
    <row r="35">
      <c r="A35" t="inlineStr">
        <is>
          <t xml:space="preserve">24</t>
        </is>
      </c>
      <c r="B35" t="inlineStr">
        <is>
          <t xml:space="preserve">table_row</t>
        </is>
      </c>
      <c r="C35" t="inlineStr">
        <is>
          <t xml:space="preserve">не сверяется</t>
        </is>
      </c>
      <c r="E35" t="inlineStr">
        <is>
          <t xml:space="preserve">строка таблицы</t>
        </is>
      </c>
      <c r="F35" t="inlineStr">
        <is>
          <t xml:space="preserve">служебное</t>
        </is>
      </c>
      <c r="G35" t="inlineStr">
        <is>
          <t xml:space="preserve">Одна строка, заполняемая пользователем.</t>
        </is>
      </c>
      <c r="H35" t="inlineStr">
        <is>
          <t xml:space="preserve">черновик</t>
        </is>
      </c>
      <c r="J35" t="inlineStr">
        <is>
          <t xml:space="preserve">39 строк в 08_UI</t>
        </is>
      </c>
      <c r="K35" t="inlineStr">
        <is>
          <t xml:space="preserve">внутренний</t>
        </is>
      </c>
    </row>
    <row r="36">
      <c r="A36" t="inlineStr">
        <is>
          <t xml:space="preserve">25</t>
        </is>
      </c>
      <c r="B36" t="inlineStr">
        <is>
          <t xml:space="preserve">button_add</t>
        </is>
      </c>
      <c r="C36" t="inlineStr">
        <is>
          <t xml:space="preserve">не сверяется</t>
        </is>
      </c>
      <c r="E36" t="inlineStr">
        <is>
          <t xml:space="preserve">кнопка</t>
        </is>
      </c>
      <c r="F36" t="inlineStr">
        <is>
          <t xml:space="preserve">служебное</t>
        </is>
      </c>
      <c r="G36" t="inlineStr">
        <is>
          <t xml:space="preserve">Кнопка «Добавить позицию» под таблицей.</t>
        </is>
      </c>
      <c r="H36" t="inlineStr">
        <is>
          <t xml:space="preserve">черновик</t>
        </is>
      </c>
      <c r="J36" t="inlineStr">
        <is>
          <t xml:space="preserve">—</t>
        </is>
      </c>
      <c r="K36" t="inlineStr">
        <is>
          <t xml:space="preserve">внутренний</t>
        </is>
      </c>
    </row>
    <row r="37">
      <c r="A37" t="inlineStr">
        <is>
          <t xml:space="preserve">26</t>
        </is>
      </c>
      <c r="B37" t="inlineStr">
        <is>
          <t xml:space="preserve">calc_row</t>
        </is>
      </c>
      <c r="C37" t="inlineStr">
        <is>
          <t xml:space="preserve">не сверяется</t>
        </is>
      </c>
      <c r="E37" t="inlineStr">
        <is>
          <t xml:space="preserve">строка итога</t>
        </is>
      </c>
      <c r="F37" t="inlineStr">
        <is>
          <t xml:space="preserve">служебное</t>
        </is>
      </c>
      <c r="G37" t="inlineStr">
        <is>
          <t xml:space="preserve">Строка с рассчитанным значением, пользователь её не заполняет.</t>
        </is>
      </c>
      <c r="H37" t="inlineStr">
        <is>
          <t xml:space="preserve">черновик</t>
        </is>
      </c>
      <c r="J37" t="inlineStr">
        <is>
          <t xml:space="preserve">«Итого амортизация»</t>
        </is>
      </c>
      <c r="K37" t="inlineStr">
        <is>
          <t xml:space="preserve">внутренний</t>
        </is>
      </c>
    </row>
    <row r="38">
      <c r="A38" t="inlineStr">
        <is>
          <t xml:space="preserve">27</t>
        </is>
      </c>
      <c r="B38" t="inlineStr">
        <is>
          <t xml:space="preserve">calc_field</t>
        </is>
      </c>
      <c r="C38" t="inlineStr">
        <is>
          <t xml:space="preserve">не сверяется</t>
        </is>
      </c>
      <c r="E38" t="inlineStr">
        <is>
          <t xml:space="preserve">поле вывода</t>
        </is>
      </c>
      <c r="F38" t="inlineStr">
        <is>
          <t xml:space="preserve">служебное</t>
        </is>
      </c>
      <c r="G38" t="inlineStr">
        <is>
          <t xml:space="preserve">Отдельное поле с рассчитанным значением внутри блока.</t>
        </is>
      </c>
      <c r="H38" t="inlineStr">
        <is>
          <t xml:space="preserve">черновик</t>
        </is>
      </c>
      <c r="J38" t="inlineStr">
        <is>
          <t xml:space="preserve">—</t>
        </is>
      </c>
      <c r="K38" t="inlineStr">
        <is>
          <t xml:space="preserve">внутренний</t>
        </is>
      </c>
    </row>
    <row r="39">
      <c r="A39" t="inlineStr">
        <is>
          <t xml:space="preserve">28</t>
        </is>
      </c>
      <c r="B39" t="inlineStr">
        <is>
          <t xml:space="preserve">subhead</t>
        </is>
      </c>
      <c r="C39" t="inlineStr">
        <is>
          <t xml:space="preserve">не сверяется</t>
        </is>
      </c>
      <c r="E39" t="inlineStr">
        <is>
          <t xml:space="preserve">подзаголовок</t>
        </is>
      </c>
      <c r="F39" t="inlineStr">
        <is>
          <t xml:space="preserve">служебное</t>
        </is>
      </c>
      <c r="G39" t="inlineStr">
        <is>
          <t xml:space="preserve">Подзаголовок внутри блока.</t>
        </is>
      </c>
      <c r="H39" t="inlineStr">
        <is>
          <t xml:space="preserve">черновик</t>
        </is>
      </c>
      <c r="J39" t="inlineStr">
        <is>
          <t xml:space="preserve">—</t>
        </is>
      </c>
      <c r="K39" t="inlineStr">
        <is>
          <t xml:space="preserve">внутренний</t>
        </is>
      </c>
    </row>
    <row r="40">
      <c r="A40" t="inlineStr">
        <is>
          <t xml:space="preserve">29</t>
        </is>
      </c>
      <c r="B40" t="inlineStr">
        <is>
          <t xml:space="preserve">info_block</t>
        </is>
      </c>
      <c r="C40" t="inlineStr">
        <is>
          <t xml:space="preserve">не сверяется</t>
        </is>
      </c>
      <c r="E40" t="inlineStr">
        <is>
          <t xml:space="preserve">текстовый блок</t>
        </is>
      </c>
      <c r="F40" t="inlineStr">
        <is>
          <t xml:space="preserve">служебное</t>
        </is>
      </c>
      <c r="G40" t="inlineStr">
        <is>
          <t xml:space="preserve">Пояснительный текст без полей ввода.</t>
        </is>
      </c>
      <c r="H40" t="inlineStr">
        <is>
          <t xml:space="preserve">черновик</t>
        </is>
      </c>
      <c r="J40" t="inlineStr">
        <is>
          <t xml:space="preserve">«Как мы считаем»</t>
        </is>
      </c>
      <c r="K40" t="inlineStr">
        <is>
          <t xml:space="preserve">внутренний</t>
        </is>
      </c>
    </row>
    <row r="41">
      <c r="A41" t="inlineStr">
        <is>
          <t xml:space="preserve">30</t>
        </is>
      </c>
      <c r="B41" t="inlineStr">
        <is>
          <t xml:space="preserve">2 parts</t>
        </is>
      </c>
      <c r="C41" t="inlineStr">
        <is>
          <t xml:space="preserve">не сверяется</t>
        </is>
      </c>
      <c r="E41" t="inlineStr">
        <is>
          <t xml:space="preserve">две части</t>
        </is>
      </c>
      <c r="F41" t="inlineStr">
        <is>
          <t xml:space="preserve">служебное</t>
        </is>
      </c>
      <c r="G41" t="inlineStr">
        <is>
          <t xml:space="preserve">Блок из двух частей: время и деньги.</t>
        </is>
      </c>
      <c r="H41" t="inlineStr">
        <is>
          <t xml:space="preserve">черновик</t>
        </is>
      </c>
      <c r="J41" t="inlineStr">
        <is>
          <t xml:space="preserve">Block11, Block15</t>
        </is>
      </c>
      <c r="K41" t="inlineStr">
        <is>
          <t xml:space="preserve">внутренний</t>
        </is>
      </c>
    </row>
    <row r="42">
      <c r="A42" t="inlineStr">
        <is>
          <t xml:space="preserve">31</t>
        </is>
      </c>
      <c r="B42" t="inlineStr">
        <is>
          <t xml:space="preserve">report</t>
        </is>
      </c>
      <c r="C42" t="inlineStr">
        <is>
          <t xml:space="preserve">не сверяется</t>
        </is>
      </c>
      <c r="E42" t="inlineStr">
        <is>
          <t xml:space="preserve">вывод</t>
        </is>
      </c>
      <c r="F42" t="inlineStr">
        <is>
          <t xml:space="preserve">служебное</t>
        </is>
      </c>
      <c r="G42" t="inlineStr">
        <is>
          <t xml:space="preserve">Блок вывода результата в конце анкеты.</t>
        </is>
      </c>
      <c r="H42" t="inlineStr">
        <is>
          <t xml:space="preserve">черновик</t>
        </is>
      </c>
      <c r="J42" t="inlineStr">
        <is>
          <t xml:space="preserve">Block16 … Block18</t>
        </is>
      </c>
      <c r="K42" t="inlineStr">
        <is>
          <t xml:space="preserve">внутренний</t>
        </is>
      </c>
    </row>
    <row r="43"/>
    <row r="44">
      <c r="A44" t="inlineStr">
        <is>
          <t xml:space="preserve">A6 · Типы блоков отчёта — Из чего собран отчёт.</t>
        </is>
      </c>
    </row>
    <row r="45">
      <c r="A45" t="inlineStr">
        <is>
          <t xml:space="preserve">№</t>
        </is>
      </c>
      <c r="B45" t="inlineStr">
        <is>
          <t xml:space="preserve">Наименование</t>
        </is>
      </c>
      <c r="C45" t="inlineStr">
        <is>
          <t xml:space="preserve">Статус (временный)</t>
        </is>
      </c>
      <c r="D45" t="inlineStr">
        <is>
          <t xml:space="preserve">Справочник · для сверки (временный)</t>
        </is>
      </c>
      <c r="E45" t="inlineStr">
        <is>
          <t xml:space="preserve">ID</t>
        </is>
      </c>
      <c r="F45" t="inlineStr">
        <is>
          <t xml:space="preserve">Тип</t>
        </is>
      </c>
      <c r="G45" t="inlineStr">
        <is>
          <t xml:space="preserve">Определение</t>
        </is>
      </c>
      <c r="H45" t="inlineStr">
        <is>
          <t xml:space="preserve">Определение утверждено</t>
        </is>
      </c>
      <c r="I45" t="inlineStr">
        <is>
          <t xml:space="preserve">Описание алгоритма</t>
        </is>
      </c>
      <c r="J45" t="inlineStr">
        <is>
          <t xml:space="preserve">Формула (пример расчёта)</t>
        </is>
      </c>
      <c r="K45" t="inlineStr">
        <is>
          <t xml:space="preserve">Где используется</t>
        </is>
      </c>
      <c r="L45" t="inlineStr">
        <is>
          <t xml:space="preserve">Решение (временный)</t>
        </is>
      </c>
    </row>
    <row r="46">
      <c r="A46" t="inlineStr">
        <is>
          <t xml:space="preserve">32</t>
        </is>
      </c>
      <c r="B46" t="inlineStr">
        <is>
          <t xml:space="preserve">header</t>
        </is>
      </c>
      <c r="C46" t="inlineStr">
        <is>
          <t xml:space="preserve">не сверяется</t>
        </is>
      </c>
      <c r="E46" t="inlineStr">
        <is>
          <t xml:space="preserve">шапка</t>
        </is>
      </c>
      <c r="F46" t="inlineStr">
        <is>
          <t xml:space="preserve">служебное</t>
        </is>
      </c>
      <c r="G46" t="inlineStr">
        <is>
          <t xml:space="preserve">Заголовок, подзаголовок, дата расчёта.</t>
        </is>
      </c>
      <c r="H46" t="inlineStr">
        <is>
          <t xml:space="preserve">черновик</t>
        </is>
      </c>
      <c r="J46" t="inlineStr">
        <is>
          <t xml:space="preserve">rMeta</t>
        </is>
      </c>
      <c r="K46" t="inlineStr">
        <is>
          <t xml:space="preserve">внутренний</t>
        </is>
      </c>
    </row>
    <row r="47">
      <c r="A47" t="inlineStr">
        <is>
          <t xml:space="preserve">33</t>
        </is>
      </c>
      <c r="B47" t="inlineStr">
        <is>
          <t xml:space="preserve">hero</t>
        </is>
      </c>
      <c r="C47" t="inlineStr">
        <is>
          <t xml:space="preserve">не сверяется</t>
        </is>
      </c>
      <c r="E47" t="inlineStr">
        <is>
          <t xml:space="preserve">главная плашка</t>
        </is>
      </c>
      <c r="F47" t="inlineStr">
        <is>
          <t xml:space="preserve">служебное</t>
        </is>
      </c>
      <c r="G47" t="inlineStr">
        <is>
          <t xml:space="preserve">Крупная цифра ставки часа на зелёном фоне.</t>
        </is>
      </c>
      <c r="H47" t="inlineStr">
        <is>
          <t xml:space="preserve">черновик</t>
        </is>
      </c>
      <c r="J47" t="inlineStr">
        <is>
          <t xml:space="preserve">hRate</t>
        </is>
      </c>
      <c r="K47" t="inlineStr">
        <is>
          <t xml:space="preserve">внутренний</t>
        </is>
      </c>
    </row>
    <row r="48">
      <c r="A48" t="inlineStr">
        <is>
          <t xml:space="preserve">34</t>
        </is>
      </c>
      <c r="B48" t="inlineStr">
        <is>
          <t xml:space="preserve">report_row</t>
        </is>
      </c>
      <c r="C48" t="inlineStr">
        <is>
          <t xml:space="preserve">не сверяется</t>
        </is>
      </c>
      <c r="E48" t="inlineStr">
        <is>
          <t xml:space="preserve">строка показателей</t>
        </is>
      </c>
      <c r="F48" t="inlineStr">
        <is>
          <t xml:space="preserve">служебное</t>
        </is>
      </c>
      <c r="G48" t="inlineStr">
        <is>
          <t xml:space="preserve">Три показателя в строку под главной плашкой.</t>
        </is>
      </c>
      <c r="H48" t="inlineStr">
        <is>
          <t xml:space="preserve">черновик</t>
        </is>
      </c>
      <c r="J48" t="inlineStr">
        <is>
          <t xml:space="preserve">—</t>
        </is>
      </c>
      <c r="K48" t="inlineStr">
        <is>
          <t xml:space="preserve">внутренний</t>
        </is>
      </c>
    </row>
    <row r="49">
      <c r="A49" t="inlineStr">
        <is>
          <t xml:space="preserve">35</t>
        </is>
      </c>
      <c r="B49" t="inlineStr">
        <is>
          <t xml:space="preserve">chart_donut</t>
        </is>
      </c>
      <c r="C49" t="inlineStr">
        <is>
          <t xml:space="preserve">не сверяется</t>
        </is>
      </c>
      <c r="E49" t="inlineStr">
        <is>
          <t xml:space="preserve">кольцевая диаграмма</t>
        </is>
      </c>
      <c r="F49" t="inlineStr">
        <is>
          <t xml:space="preserve">служебное</t>
        </is>
      </c>
      <c r="G49" t="inlineStr">
        <is>
          <t xml:space="preserve">Кольцо с сегментами и легендой.</t>
        </is>
      </c>
      <c r="H49" t="inlineStr">
        <is>
          <t xml:space="preserve">черновик</t>
        </is>
      </c>
      <c r="J49" t="inlineStr">
        <is>
          <t xml:space="preserve">dn1, lg1</t>
        </is>
      </c>
      <c r="K49" t="inlineStr">
        <is>
          <t xml:space="preserve">внутренний</t>
        </is>
      </c>
    </row>
    <row r="50">
      <c r="A50" t="inlineStr">
        <is>
          <t xml:space="preserve">36</t>
        </is>
      </c>
      <c r="B50" t="inlineStr">
        <is>
          <t xml:space="preserve">compare_box</t>
        </is>
      </c>
      <c r="C50" t="inlineStr">
        <is>
          <t xml:space="preserve">не сверяется</t>
        </is>
      </c>
      <c r="E50" t="inlineStr">
        <is>
          <t xml:space="preserve">сравнение</t>
        </is>
      </c>
      <c r="F50" t="inlineStr">
        <is>
          <t xml:space="preserve">служебное</t>
        </is>
      </c>
      <c r="G50" t="inlineStr">
        <is>
          <t xml:space="preserve">Две величины рядом для сравнения.</t>
        </is>
      </c>
      <c r="H50" t="inlineStr">
        <is>
          <t xml:space="preserve">черновик</t>
        </is>
      </c>
      <c r="J50" t="inlineStr">
        <is>
          <t xml:space="preserve">—</t>
        </is>
      </c>
      <c r="K50" t="inlineStr">
        <is>
          <t xml:space="preserve">внутренний</t>
        </is>
      </c>
    </row>
    <row r="51">
      <c r="A51" t="inlineStr">
        <is>
          <t xml:space="preserve">37</t>
        </is>
      </c>
      <c r="B51" t="inlineStr">
        <is>
          <t xml:space="preserve">cond</t>
        </is>
      </c>
      <c r="C51" t="inlineStr">
        <is>
          <t xml:space="preserve">не сверяется</t>
        </is>
      </c>
      <c r="E51" t="inlineStr">
        <is>
          <t xml:space="preserve">условия труда</t>
        </is>
      </c>
      <c r="F51" t="inlineStr">
        <is>
          <t xml:space="preserve">служебное</t>
        </is>
      </c>
      <c r="G51" t="inlineStr">
        <is>
          <t xml:space="preserve">Пять условий по Трудовому кодексу.</t>
        </is>
      </c>
      <c r="H51" t="inlineStr">
        <is>
          <t xml:space="preserve">черновик</t>
        </is>
      </c>
      <c r="J51" t="inlineStr">
        <is>
          <t xml:space="preserve">condGrid</t>
        </is>
      </c>
      <c r="K51" t="inlineStr">
        <is>
          <t xml:space="preserve">внутренний</t>
        </is>
      </c>
    </row>
    <row r="52">
      <c r="A52" t="inlineStr">
        <is>
          <t xml:space="preserve">38</t>
        </is>
      </c>
      <c r="B52" t="inlineStr">
        <is>
          <t xml:space="preserve">trust</t>
        </is>
      </c>
      <c r="C52" t="inlineStr">
        <is>
          <t xml:space="preserve">не сверяется</t>
        </is>
      </c>
      <c r="E52" t="inlineStr">
        <is>
          <t xml:space="preserve">доверие</t>
        </is>
      </c>
      <c r="F52" t="inlineStr">
        <is>
          <t xml:space="preserve">служебное</t>
        </is>
      </c>
      <c r="G52" t="inlineStr">
        <is>
          <t xml:space="preserve">Доводы, почему расчёту можно верить.</t>
        </is>
      </c>
      <c r="H52" t="inlineStr">
        <is>
          <t xml:space="preserve">черновик</t>
        </is>
      </c>
      <c r="J52" t="inlineStr">
        <is>
          <t xml:space="preserve">—</t>
        </is>
      </c>
      <c r="K52" t="inlineStr">
        <is>
          <t xml:space="preserve">внутренний</t>
        </is>
      </c>
    </row>
    <row r="53">
      <c r="A53" t="inlineStr">
        <is>
          <t xml:space="preserve">39</t>
        </is>
      </c>
      <c r="B53" t="inlineStr">
        <is>
          <t xml:space="preserve">paywall</t>
        </is>
      </c>
      <c r="C53" t="inlineStr">
        <is>
          <t xml:space="preserve">не сверяется</t>
        </is>
      </c>
      <c r="E53" t="inlineStr">
        <is>
          <t xml:space="preserve">блок оплаты</t>
        </is>
      </c>
      <c r="F53" t="inlineStr">
        <is>
          <t xml:space="preserve">служебное</t>
        </is>
      </c>
      <c r="G53" t="inlineStr">
        <is>
          <t xml:space="preserve">Иконка, заголовок, цена, кнопки.</t>
        </is>
      </c>
      <c r="H53" t="inlineStr">
        <is>
          <t xml:space="preserve">черновик</t>
        </is>
      </c>
      <c r="J53" t="inlineStr">
        <is>
          <t xml:space="preserve">—</t>
        </is>
      </c>
      <c r="K53" t="inlineStr">
        <is>
          <t xml:space="preserve">внутренний</t>
        </is>
      </c>
    </row>
    <row r="54">
      <c r="A54" t="inlineStr">
        <is>
          <t xml:space="preserve">40</t>
        </is>
      </c>
      <c r="B54" t="inlineStr">
        <is>
          <t xml:space="preserve">button</t>
        </is>
      </c>
      <c r="C54" t="inlineStr">
        <is>
          <t xml:space="preserve">не сверяется</t>
        </is>
      </c>
      <c r="E54" t="inlineStr">
        <is>
          <t xml:space="preserve">кнопка</t>
        </is>
      </c>
      <c r="F54" t="inlineStr">
        <is>
          <t xml:space="preserve">служебное</t>
        </is>
      </c>
      <c r="G54" t="inlineStr">
        <is>
          <t xml:space="preserve">Печать, скачивание, «поделиться».</t>
        </is>
      </c>
      <c r="H54" t="inlineStr">
        <is>
          <t xml:space="preserve">черновик</t>
        </is>
      </c>
      <c r="J54" t="inlineStr">
        <is>
          <t xml:space="preserve">dlpdf</t>
        </is>
      </c>
      <c r="K54" t="inlineStr">
        <is>
          <t xml:space="preserve">внутренний</t>
        </is>
      </c>
    </row>
    <row r="55">
      <c r="A55" t="inlineStr">
        <is>
          <t xml:space="preserve">41</t>
        </is>
      </c>
      <c r="B55" t="inlineStr">
        <is>
          <t xml:space="preserve">table</t>
        </is>
      </c>
      <c r="C55" t="inlineStr">
        <is>
          <t xml:space="preserve">не сверяется</t>
        </is>
      </c>
      <c r="E55" t="inlineStr">
        <is>
          <t xml:space="preserve">таблица детализации</t>
        </is>
      </c>
      <c r="F55" t="inlineStr">
        <is>
          <t xml:space="preserve">служебное</t>
        </is>
      </c>
      <c r="G55" t="inlineStr">
        <is>
          <t xml:space="preserve">Восемь таблиц с полной выкладкой расчёта.</t>
        </is>
      </c>
      <c r="H55" t="inlineStr">
        <is>
          <t xml:space="preserve">черновик</t>
        </is>
      </c>
      <c r="J55" t="inlineStr">
        <is>
          <t xml:space="preserve">спрдет</t>
        </is>
      </c>
      <c r="K55" t="inlineStr">
        <is>
          <t xml:space="preserve">внутренний</t>
        </is>
      </c>
    </row>
    <row r="56"/>
    <row r="57">
      <c r="A57" t="inlineStr">
        <is>
          <t xml:space="preserve">B · ВРЕМЯ — иерархия по вашему определению (ГЛАВНОЕ)</t>
        </is>
      </c>
    </row>
    <row r="58">
      <c r="A58" t="inlineStr">
        <is>
          <t xml:space="preserve">№</t>
        </is>
      </c>
      <c r="B58" t="inlineStr">
        <is>
          <t xml:space="preserve">Наименование</t>
        </is>
      </c>
      <c r="C58" t="inlineStr">
        <is>
          <t xml:space="preserve">Статус (временный)</t>
        </is>
      </c>
      <c r="D58" t="inlineStr">
        <is>
          <t xml:space="preserve">Справочник · для сверки (временный)</t>
        </is>
      </c>
      <c r="E58" t="inlineStr">
        <is>
          <t xml:space="preserve">ID</t>
        </is>
      </c>
      <c r="F58" t="inlineStr">
        <is>
          <t xml:space="preserve">Тип</t>
        </is>
      </c>
      <c r="G58" t="inlineStr">
        <is>
          <t xml:space="preserve">Определение</t>
        </is>
      </c>
      <c r="H58" t="inlineStr">
        <is>
          <t xml:space="preserve">Определение утверждено</t>
        </is>
      </c>
      <c r="I58" t="inlineStr">
        <is>
          <t xml:space="preserve">Описание алгоритма</t>
        </is>
      </c>
      <c r="J58" t="inlineStr">
        <is>
          <t xml:space="preserve">Формула (пример расчёта)</t>
        </is>
      </c>
      <c r="K58" t="inlineStr">
        <is>
          <t xml:space="preserve">Где используется</t>
        </is>
      </c>
      <c r="L58" t="inlineStr">
        <is>
          <t xml:space="preserve">Решение (временный)</t>
        </is>
      </c>
    </row>
    <row r="59">
      <c r="A59" t="inlineStr">
        <is>
          <t xml:space="preserve">42</t>
        </is>
      </c>
      <c r="B59" t="inlineStr">
        <is>
          <t xml:space="preserve">Рабочее время</t>
        </is>
      </c>
      <c r="C59" t="inlineStr">
        <is>
          <t xml:space="preserve">тождественно</t>
        </is>
      </c>
      <c r="D59" t="inlineStr">
        <is>
          <t xml:space="preserve">Рабочее время — 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t>
        </is>
      </c>
      <c r="E59" t="inlineStr">
        <is>
          <t xml:space="preserve">work_time</t>
        </is>
      </c>
      <c r="F59" t="inlineStr">
        <is>
          <t xml:space="preserve">calc</t>
        </is>
      </c>
      <c r="G59" t="inlineStr">
        <is>
          <t xml:space="preserve">Производственный календарь без выходных и праздников. Справочно, в расчёте не участвует</t>
        </is>
      </c>
      <c r="H59" t="inlineStr">
        <is>
          <t xml:space="preserve">черновик</t>
        </is>
      </c>
      <c r="J59" t="inlineStr">
        <is>
          <t xml:space="preserve">247 × 8 = 1 976 ч/год</t>
        </is>
      </c>
      <c r="K59" t="inlineStr">
        <is>
          <t xml:space="preserve">общий</t>
        </is>
      </c>
    </row>
    <row r="60">
      <c r="A60" t="inlineStr">
        <is>
          <t xml:space="preserve">43</t>
        </is>
      </c>
      <c r="B60" t="inlineStr">
        <is>
          <t xml:space="preserve">ЧИСТОЕ время</t>
        </is>
      </c>
      <c r="C60" t="inlineStr">
        <is>
          <t xml:space="preserve">переименовать</t>
        </is>
      </c>
      <c r="D60"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E60" t="inlineStr">
        <is>
          <t xml:space="preserve">net_time</t>
        </is>
      </c>
      <c r="F60" t="inlineStr">
        <is>
          <t xml:space="preserve">calc</t>
        </is>
      </c>
      <c r="G60" t="inlineStr">
        <is>
          <t xml:space="preserve">Рабочее минус отпуск, больничный и час в день на перерывы. ВЕРХНИЙ УРОВЕНЬ — всё доступное время</t>
        </is>
      </c>
      <c r="H60" t="inlineStr">
        <is>
          <t xml:space="preserve">черновик</t>
        </is>
      </c>
      <c r="J60" t="inlineStr">
        <is>
          <t xml:space="preserve">(247−20−8) × 7 = 1 533 ч/год</t>
        </is>
      </c>
      <c r="K60" t="inlineStr">
        <is>
          <t xml:space="preserve">общий</t>
        </is>
      </c>
      <c r="L60" t="inlineStr">
        <is>
          <t xml:space="preserve">Удалить. Остаётся «Эффективное рабочее время».</t>
        </is>
      </c>
    </row>
    <row r="61">
      <c r="A61" t="inlineStr">
        <is>
          <t xml:space="preserve">44</t>
        </is>
      </c>
      <c r="B61" t="inlineStr">
        <is>
          <t xml:space="preserve">ОПЕРАЦИОННОЕ время</t>
        </is>
      </c>
      <c r="C61" t="inlineStr">
        <is>
          <t xml:space="preserve">тождественно</t>
        </is>
      </c>
      <c r="D61" t="inlineStr">
        <is>
          <t xml:space="preserve">Операционное время — 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c r="E61" t="inlineStr">
        <is>
          <t xml:space="preserve">side_time</t>
        </is>
      </c>
      <c r="F61" t="inlineStr">
        <is>
          <t xml:space="preserve">calc</t>
        </is>
      </c>
      <c r="G61" t="inlineStr">
        <is>
          <t xml:space="preserve">Второстепенные операции: продвижение и учёт. Клиенту напрямую не продаётся</t>
        </is>
      </c>
      <c r="H61" t="inlineStr">
        <is>
          <t xml:space="preserve">черновик</t>
        </is>
      </c>
      <c r="I61" t="inlineStr">
        <is>
          <t xml:space="preserve">Складываем часы на все задачи, которые не создают результат для клиента напрямую: продвижение и поиск заказов, работа с клиентом, бухгалтерия и учёт, планирование и организационные дела.</t>
        </is>
      </c>
      <c r="J61" t="inlineStr">
        <is>
          <t xml:space="preserve">438 + 12 = 450 ч/год</t>
        </is>
      </c>
      <c r="K61" t="inlineStr">
        <is>
          <t xml:space="preserve">общий</t>
        </is>
      </c>
      <c r="L61" t="inlineStr">
        <is>
          <t xml:space="preserve">Определение утверждено, внесено в справочник.</t>
        </is>
      </c>
    </row>
    <row r="62">
      <c r="A62" t="inlineStr">
        <is>
          <t xml:space="preserve">45</t>
        </is>
      </c>
      <c r="B62" t="inlineStr">
        <is>
          <t xml:space="preserve">Время на заказы до резерва</t>
        </is>
      </c>
      <c r="C62" t="inlineStr">
        <is>
          <t xml:space="preserve">не сверяется</t>
        </is>
      </c>
      <c r="E62" t="inlineStr">
        <is>
          <t xml:space="preserve">pool_gross</t>
        </is>
      </c>
      <c r="F62" t="inlineStr">
        <is>
          <t xml:space="preserve">calc</t>
        </is>
      </c>
      <c r="G62" t="inlineStr">
        <is>
          <t xml:space="preserve">Чистое минус операционное. Промежуточная величина перед вычетом резерва</t>
        </is>
      </c>
      <c r="H62" t="inlineStr">
        <is>
          <t xml:space="preserve">черновик</t>
        </is>
      </c>
      <c r="J62" t="inlineStr">
        <is>
          <t xml:space="preserve">1 533 − 450 = 1 083 ч/год</t>
        </is>
      </c>
      <c r="K62" t="inlineStr">
        <is>
          <t xml:space="preserve">внутренний</t>
        </is>
      </c>
      <c r="L62" t="inlineStr">
        <is>
          <t xml:space="preserve">На утверждении: формулировка описывает время ПОСЛЕ вычета резерва, а параметр считается ДО. Уточнить.</t>
        </is>
      </c>
    </row>
    <row r="63">
      <c r="A63" t="inlineStr">
        <is>
          <t xml:space="preserve">46</t>
        </is>
      </c>
      <c r="B63" t="inlineStr">
        <is>
          <t xml:space="preserve">Резерв на форс-мажоры</t>
        </is>
      </c>
      <c r="C63" t="inlineStr">
        <is>
          <t xml:space="preserve">переименовать</t>
        </is>
      </c>
      <c r="D63"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63" t="inlineStr">
        <is>
          <t xml:space="preserve">fm_time</t>
        </is>
      </c>
      <c r="F63" t="inlineStr">
        <is>
          <t xml:space="preserve">calc</t>
        </is>
      </c>
      <c r="G63" t="inlineStr">
        <is>
          <t xml:space="preserve">Перенос и отмена съёмок, срывы по вине клиента, повторные выезды. Процент от времени на заказы</t>
        </is>
      </c>
      <c r="H63" t="inlineStr">
        <is>
          <t xml:space="preserve">черновик</t>
        </is>
      </c>
      <c r="J63" t="inlineStr">
        <is>
          <t xml:space="preserve">5% × 1 083 = 54,15 ч/год</t>
        </is>
      </c>
      <c r="K63" t="inlineStr">
        <is>
          <t xml:space="preserve">общий</t>
        </is>
      </c>
    </row>
    <row r="64">
      <c r="A64" t="inlineStr">
        <is>
          <t xml:space="preserve">47</t>
        </is>
      </c>
      <c r="B64" t="inlineStr">
        <is>
          <t xml:space="preserve">ПРОЕКТНОЕ время за год</t>
        </is>
      </c>
      <c r="C64" t="inlineStr">
        <is>
          <t xml:space="preserve">тождественно</t>
        </is>
      </c>
      <c r="D64"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c r="E64" t="inlineStr">
        <is>
          <t xml:space="preserve">project_pool</t>
        </is>
      </c>
      <c r="F64" t="inlineStr">
        <is>
          <t xml:space="preserve">calc</t>
        </is>
      </c>
      <c r="G64" t="inlineStr">
        <is>
          <t xml:space="preserve">Всё, что реально остаётся на выполнение проектов. После вычета резерва</t>
        </is>
      </c>
      <c r="H64" t="inlineStr">
        <is>
          <t xml:space="preserve">черновик</t>
        </is>
      </c>
      <c r="J64" t="inlineStr">
        <is>
          <t xml:space="preserve">1 083 − 54,15 = 1 028,85 ч/год</t>
        </is>
      </c>
      <c r="K64" t="inlineStr">
        <is>
          <t xml:space="preserve">общий</t>
        </is>
      </c>
      <c r="L64" t="inlineStr">
        <is>
          <t xml:space="preserve">Объединить: одно понятие «Проектное время», без периодов.</t>
        </is>
      </c>
    </row>
    <row r="65">
      <c r="A65" t="inlineStr">
        <is>
          <t xml:space="preserve">48</t>
        </is>
      </c>
      <c r="B65" t="inlineStr">
        <is>
          <t xml:space="preserve">Проектное время на 1 проект</t>
        </is>
      </c>
      <c r="C65" t="inlineStr">
        <is>
          <t xml:space="preserve">тождественно</t>
        </is>
      </c>
      <c r="D65"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c r="E65" t="inlineStr">
        <is>
          <t xml:space="preserve">project_time</t>
        </is>
      </c>
      <c r="F65" t="inlineStr">
        <is>
          <t xml:space="preserve">calc</t>
        </is>
      </c>
      <c r="G65" t="inlineStr">
        <is>
          <t xml:space="preserve">Реализация одного заказа: S × (1+коэф.) + 1 час клиента</t>
        </is>
      </c>
      <c r="H65" t="inlineStr">
        <is>
          <t xml:space="preserve">черновик</t>
        </is>
      </c>
      <c r="J65" t="inlineStr">
        <is>
          <t xml:space="preserve">6×4 + 1 = 25 ч/проект</t>
        </is>
      </c>
      <c r="K65" t="inlineStr">
        <is>
          <t xml:space="preserve">общий</t>
        </is>
      </c>
      <c r="L65" t="inlineStr">
        <is>
          <t xml:space="preserve">Объединить: одно понятие «Проектное время», без периодов.</t>
        </is>
      </c>
    </row>
    <row r="66">
      <c r="A66" t="inlineStr">
        <is>
          <t xml:space="preserve">49</t>
        </is>
      </c>
      <c r="B66" t="inlineStr">
        <is>
          <t xml:space="preserve">ПРОФИЛЬНОЕ время</t>
        </is>
      </c>
      <c r="C66" t="inlineStr">
        <is>
          <t xml:space="preserve">не сверяется</t>
        </is>
      </c>
      <c r="E66" t="inlineStr">
        <is>
          <t xml:space="preserve">core_time</t>
        </is>
      </c>
      <c r="F66" t="inlineStr">
        <is>
          <t xml:space="preserve">calc</t>
        </is>
      </c>
      <c r="G66" t="inlineStr">
        <is>
          <t xml:space="preserve">Работа по профилю: съёмка и обработка ВМЕСТЕ. Равно S × (1+коэф.). БЕЗ клиента</t>
        </is>
      </c>
      <c r="H66" t="inlineStr">
        <is>
          <t xml:space="preserve">черновик</t>
        </is>
      </c>
      <c r="J66" t="inlineStr">
        <is>
          <t xml:space="preserve">262,80 + 788,40 = 1 051,20 ч/год</t>
        </is>
      </c>
      <c r="K66" t="inlineStr">
        <is>
          <t xml:space="preserve">внутренний</t>
        </is>
      </c>
    </row>
    <row r="67">
      <c r="A67" t="inlineStr">
        <is>
          <t xml:space="preserve">50</t>
        </is>
      </c>
      <c r="B67" t="inlineStr">
        <is>
          <t xml:space="preserve">СЪЁМОЧНОЕ время (S)</t>
        </is>
      </c>
      <c r="C67" t="inlineStr">
        <is>
          <t xml:space="preserve">переименовать</t>
        </is>
      </c>
      <c r="D67"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c r="E67" t="inlineStr">
        <is>
          <t xml:space="preserve">shooting_time</t>
        </is>
      </c>
      <c r="F67" t="inlineStr">
        <is>
          <t xml:space="preserve">calc</t>
        </is>
      </c>
      <c r="G67" t="inlineStr">
        <is>
          <t xml:space="preserve">Работа на площадке. Обозначается S. ЦЕЛЬ РАСЧЁТА и знаменатель ставки</t>
        </is>
      </c>
      <c r="H67" t="inlineStr">
        <is>
          <t xml:space="preserve">черновик</t>
        </is>
      </c>
      <c r="J67" t="inlineStr">
        <is>
          <t xml:space="preserve">43,80 × 6 = 262,80 ч/год</t>
        </is>
      </c>
      <c r="K67" t="inlineStr">
        <is>
          <t xml:space="preserve">общий</t>
        </is>
      </c>
    </row>
    <row r="68">
      <c r="A68" t="inlineStr">
        <is>
          <t xml:space="preserve">51</t>
        </is>
      </c>
      <c r="B68" t="inlineStr">
        <is>
          <t xml:space="preserve">Постпродакшн</t>
        </is>
      </c>
      <c r="C68" t="inlineStr">
        <is>
          <t xml:space="preserve">тождественно</t>
        </is>
      </c>
      <c r="D68" t="inlineStr">
        <is>
          <t xml:space="preserve">Постпродакшн — Комплекс работ с отснятым материалом после завершения съёмки, направленных на его обработку, доработку и подготовку к передаче или публикации.</t>
        </is>
      </c>
      <c r="E68" t="inlineStr">
        <is>
          <t xml:space="preserve">post_time</t>
        </is>
      </c>
      <c r="F68" t="inlineStr">
        <is>
          <t xml:space="preserve">calc</t>
        </is>
      </c>
      <c r="G68" t="inlineStr">
        <is>
          <t xml:space="preserve">Обработка материала. S × коэффициент на каждый проект</t>
        </is>
      </c>
      <c r="H68" t="inlineStr">
        <is>
          <t xml:space="preserve">черновик</t>
        </is>
      </c>
      <c r="J68" t="inlineStr">
        <is>
          <t xml:space="preserve">262,80 × 3 = 788,40 ч/год</t>
        </is>
      </c>
      <c r="K68" t="inlineStr">
        <is>
          <t xml:space="preserve">общий</t>
        </is>
      </c>
    </row>
    <row r="69">
      <c r="A69" t="inlineStr">
        <is>
          <t xml:space="preserve">52</t>
        </is>
      </c>
      <c r="B69" t="inlineStr">
        <is>
          <t xml:space="preserve">Работа с клиентом</t>
        </is>
      </c>
      <c r="C69" t="inlineStr">
        <is>
          <t xml:space="preserve">переименовать</t>
        </is>
      </c>
      <c r="D69" t="inlineStr">
        <is>
          <t xml:space="preserve">Проектная работа с клиентами — 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c r="E69" t="inlineStr">
        <is>
          <t xml:space="preserve">client_total</t>
        </is>
      </c>
      <c r="F69" t="inlineStr">
        <is>
          <t xml:space="preserve">calc</t>
        </is>
      </c>
      <c r="G69" t="inlineStr">
        <is>
          <t xml:space="preserve">Продажа, согласования, организация. 1 час НА КАЖДЫЙ проект: чем короче съёмки, тем больше проектов и тем больше суммарных клиентских часов</t>
        </is>
      </c>
      <c r="H69" t="inlineStr">
        <is>
          <t xml:space="preserve">черновик</t>
        </is>
      </c>
      <c r="J69" t="inlineStr">
        <is>
          <t xml:space="preserve">проектов × 1 ч</t>
        </is>
      </c>
      <c r="K69" t="inlineStr">
        <is>
          <t xml:space="preserve">общий</t>
        </is>
      </c>
      <c r="L69" t="inlineStr">
        <is>
          <t xml:space="preserve">Разделено на два понятия: операционная и проектная работа с клиентами. Здесь остаётся проектная.</t>
        </is>
      </c>
    </row>
    <row r="70">
      <c r="A70" t="inlineStr">
        <is>
          <t xml:space="preserve">53</t>
        </is>
      </c>
      <c r="B70" t="inlineStr">
        <is>
          <t xml:space="preserve">Продвижение</t>
        </is>
      </c>
      <c r="C70" t="inlineStr">
        <is>
          <t xml:space="preserve">тождественно</t>
        </is>
      </c>
      <c r="D70"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c r="E70" t="inlineStr">
        <is>
          <t xml:space="preserve">promo_time</t>
        </is>
      </c>
      <c r="F70" t="inlineStr">
        <is>
          <t xml:space="preserve">calc</t>
        </is>
      </c>
      <c r="G70" t="inlineStr">
        <is>
          <t xml:space="preserve">Часы на поиск заказов: соцсети, отклики</t>
        </is>
      </c>
      <c r="H70" t="inlineStr">
        <is>
          <t xml:space="preserve">черновик</t>
        </is>
      </c>
      <c r="J70" t="inlineStr">
        <is>
          <t xml:space="preserve">2 × 219 = 438 ч/год</t>
        </is>
      </c>
      <c r="K70" t="inlineStr">
        <is>
          <t xml:space="preserve">общий</t>
        </is>
      </c>
    </row>
    <row r="71">
      <c r="A71" t="inlineStr">
        <is>
          <t xml:space="preserve">54</t>
        </is>
      </c>
      <c r="B71" t="inlineStr">
        <is>
          <t xml:space="preserve">Учёт и планирование</t>
        </is>
      </c>
      <c r="C71" t="inlineStr">
        <is>
          <t xml:space="preserve">тождественно</t>
        </is>
      </c>
      <c r="D71"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c r="E71" t="inlineStr">
        <is>
          <t xml:space="preserve">accounting_time</t>
        </is>
      </c>
      <c r="F71" t="inlineStr">
        <is>
          <t xml:space="preserve">calc</t>
        </is>
      </c>
      <c r="G71" t="inlineStr">
        <is>
          <t xml:space="preserve">Часы на бухгалтерию, если ведёте сами. При найме бухгалтера = 0</t>
        </is>
      </c>
      <c r="H71" t="inlineStr">
        <is>
          <t xml:space="preserve">черновик</t>
        </is>
      </c>
      <c r="J71" t="inlineStr">
        <is>
          <t xml:space="preserve">3 × 4 = 12 ч/год</t>
        </is>
      </c>
      <c r="K71" t="inlineStr">
        <is>
          <t xml:space="preserve">общий</t>
        </is>
      </c>
    </row>
    <row r="72">
      <c r="A72" t="inlineStr">
        <is>
          <t xml:space="preserve">55</t>
        </is>
      </c>
      <c r="B72" t="inlineStr">
        <is>
          <t xml:space="preserve">Коэффициент обработки</t>
        </is>
      </c>
      <c r="C72" t="inlineStr">
        <is>
          <t xml:space="preserve">переименовать</t>
        </is>
      </c>
      <c r="D72" t="inlineStr">
        <is>
          <t xml:space="preserve">Первичная обработка — 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c r="E72" t="inlineStr">
        <is>
          <t xml:space="preserve">post_ratio</t>
        </is>
      </c>
      <c r="F72" t="inlineStr">
        <is>
          <t xml:space="preserve">default</t>
        </is>
      </c>
      <c r="G72" t="inlineStr">
        <is>
          <t xml:space="preserve">Часов обработки на 1 час съёмки. По умолчанию 3, пользователь меняет под свой жанр</t>
        </is>
      </c>
      <c r="H72" t="inlineStr">
        <is>
          <t xml:space="preserve">черновик</t>
        </is>
      </c>
      <c r="J72" t="inlineStr">
        <is>
          <t xml:space="preserve">3 (свадьба больше, репортаж меньше)</t>
        </is>
      </c>
      <c r="K72" t="inlineStr">
        <is>
          <t xml:space="preserve">общий</t>
        </is>
      </c>
    </row>
    <row r="73">
      <c r="A73" t="inlineStr">
        <is>
          <t xml:space="preserve">56</t>
        </is>
      </c>
      <c r="B73" t="inlineStr">
        <is>
          <t xml:space="preserve">Резерв на форс-мажоры</t>
        </is>
      </c>
      <c r="C73" t="inlineStr">
        <is>
          <t xml:space="preserve">переименовать</t>
        </is>
      </c>
      <c r="D73"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73" t="inlineStr">
        <is>
          <t xml:space="preserve">fm_on</t>
        </is>
      </c>
      <c r="F73" t="inlineStr">
        <is>
          <t xml:space="preserve">switch</t>
        </is>
      </c>
      <c r="G73" t="inlineStr">
        <is>
          <t xml:space="preserve">Включён по умолчанию, 5%. Поле процента редактируется пользователем</t>
        </is>
      </c>
      <c r="H73" t="inlineStr">
        <is>
          <t xml:space="preserve">черновик</t>
        </is>
      </c>
      <c r="J73" t="inlineStr">
        <is>
          <t xml:space="preserve">Заложить / Не закладывать</t>
        </is>
      </c>
      <c r="K73" t="inlineStr">
        <is>
          <t xml:space="preserve">общий</t>
        </is>
      </c>
    </row>
    <row r="74">
      <c r="A74" t="inlineStr">
        <is>
          <t xml:space="preserve">57</t>
        </is>
      </c>
      <c r="B74" t="inlineStr">
        <is>
          <t xml:space="preserve">Множитель профильного</t>
        </is>
      </c>
      <c r="C74" t="inlineStr">
        <is>
          <t xml:space="preserve">не сверяется</t>
        </is>
      </c>
      <c r="E74" t="inlineStr">
        <is>
          <t xml:space="preserve">profile_multiplier</t>
        </is>
      </c>
      <c r="F74" t="inlineStr">
        <is>
          <t xml:space="preserve">calc</t>
        </is>
      </c>
      <c r="G74" t="inlineStr">
        <is>
          <t xml:space="preserve">1 + коэффициент обработки. Во столько раз профильное время больше съёмочного</t>
        </is>
      </c>
      <c r="H74" t="inlineStr">
        <is>
          <t xml:space="preserve">черновик</t>
        </is>
      </c>
      <c r="J74" t="inlineStr">
        <is>
          <t xml:space="preserve">1 + 3 = 4</t>
        </is>
      </c>
      <c r="K74" t="inlineStr">
        <is>
          <t xml:space="preserve">внутренний</t>
        </is>
      </c>
    </row>
    <row r="75">
      <c r="A75" t="inlineStr">
        <is>
          <t xml:space="preserve">58</t>
        </is>
      </c>
      <c r="B75" t="inlineStr">
        <is>
          <t xml:space="preserve">Проектов в год</t>
        </is>
      </c>
      <c r="C75" t="inlineStr">
        <is>
          <t xml:space="preserve">не сверяется</t>
        </is>
      </c>
      <c r="E75" t="inlineStr">
        <is>
          <t xml:space="preserve">projects_year</t>
        </is>
      </c>
      <c r="F75" t="inlineStr">
        <is>
          <t xml:space="preserve">calc</t>
        </is>
      </c>
      <c r="G75" t="inlineStr">
        <is>
          <t xml:space="preserve">Сколько проектов помещается в проектное время</t>
        </is>
      </c>
      <c r="H75" t="inlineStr">
        <is>
          <t xml:space="preserve">черновик</t>
        </is>
      </c>
      <c r="J75" t="inlineStr">
        <is>
          <t xml:space="preserve">1 095 / 25 = 43,80 = число недель</t>
        </is>
      </c>
      <c r="K75" t="inlineStr">
        <is>
          <t xml:space="preserve">внутренний</t>
        </is>
      </c>
      <c r="L75" t="inlineStr">
        <is>
          <t xml:space="preserve">Деление по периодам не заводим — один параметр.</t>
        </is>
      </c>
    </row>
    <row r="76"/>
    <row r="77">
      <c r="A77" t="inlineStr">
        <is>
          <t xml:space="preserve">C · ПРОВЕРКА ИЕРАРХИИ — три равенства, которые всегда верны</t>
        </is>
      </c>
    </row>
    <row r="78">
      <c r="A78" t="inlineStr">
        <is>
          <t xml:space="preserve">№</t>
        </is>
      </c>
      <c r="B78" t="inlineStr">
        <is>
          <t xml:space="preserve">Наименование</t>
        </is>
      </c>
      <c r="C78" t="inlineStr">
        <is>
          <t xml:space="preserve">Статус (временный)</t>
        </is>
      </c>
      <c r="D78" t="inlineStr">
        <is>
          <t xml:space="preserve">Справочник · для сверки (временный)</t>
        </is>
      </c>
      <c r="E78" t="inlineStr">
        <is>
          <t xml:space="preserve">ID</t>
        </is>
      </c>
      <c r="F78" t="inlineStr">
        <is>
          <t xml:space="preserve">Тип</t>
        </is>
      </c>
      <c r="G78" t="inlineStr">
        <is>
          <t xml:space="preserve">Определение</t>
        </is>
      </c>
      <c r="H78" t="inlineStr">
        <is>
          <t xml:space="preserve">Определение утверждено</t>
        </is>
      </c>
      <c r="I78" t="inlineStr">
        <is>
          <t xml:space="preserve">Описание алгоритма</t>
        </is>
      </c>
      <c r="J78" t="inlineStr">
        <is>
          <t xml:space="preserve">Формула (пример расчёта)</t>
        </is>
      </c>
      <c r="K78" t="inlineStr">
        <is>
          <t xml:space="preserve">Где используется</t>
        </is>
      </c>
      <c r="L78" t="inlineStr">
        <is>
          <t xml:space="preserve">Решение (временный)</t>
        </is>
      </c>
    </row>
    <row r="79">
      <c r="A79" t="inlineStr">
        <is>
          <t xml:space="preserve">59</t>
        </is>
      </c>
      <c r="B79" t="inlineStr">
        <is>
          <t xml:space="preserve">Первый уровень</t>
        </is>
      </c>
      <c r="C79" t="inlineStr">
        <is>
          <t xml:space="preserve">не сверяется</t>
        </is>
      </c>
      <c r="E79" t="inlineStr">
        <is>
          <t xml:space="preserve">—</t>
        </is>
      </c>
      <c r="F79" t="inlineStr">
        <is>
          <t xml:space="preserve">meta</t>
        </is>
      </c>
      <c r="G79" t="inlineStr">
        <is>
          <t xml:space="preserve">ОПЕРАЦИОННОЕ + РЕЗЕРВ + ПРОЕКТНОЕ = ЧИСТОЕ</t>
        </is>
      </c>
      <c r="H79" t="inlineStr">
        <is>
          <t xml:space="preserve">черновик</t>
        </is>
      </c>
      <c r="J79" t="inlineStr">
        <is>
          <t xml:space="preserve">450 + 54,15 + 1 028,85 = 1 533 ✓</t>
        </is>
      </c>
      <c r="K79" t="inlineStr">
        <is>
          <t xml:space="preserve">внутренний</t>
        </is>
      </c>
    </row>
    <row r="80">
      <c r="A80" t="inlineStr">
        <is>
          <t xml:space="preserve">60</t>
        </is>
      </c>
      <c r="B80" t="inlineStr">
        <is>
          <t xml:space="preserve">Второй уровень</t>
        </is>
      </c>
      <c r="C80" t="inlineStr">
        <is>
          <t xml:space="preserve">не сверяется</t>
        </is>
      </c>
      <c r="E80" t="inlineStr">
        <is>
          <t xml:space="preserve">—</t>
        </is>
      </c>
      <c r="F80" t="inlineStr">
        <is>
          <t xml:space="preserve">meta</t>
        </is>
      </c>
      <c r="G80" t="inlineStr">
        <is>
          <t xml:space="preserve">ПРОФИЛЬНОЕ + работа с клиентом = ПРОЕКТНОЕ</t>
        </is>
      </c>
      <c r="H80" t="inlineStr">
        <is>
          <t xml:space="preserve">черновик</t>
        </is>
      </c>
      <c r="J80" t="inlineStr">
        <is>
          <t xml:space="preserve">985,05 + 43,80 = 1 028,85 ✓</t>
        </is>
      </c>
      <c r="K80" t="inlineStr">
        <is>
          <t xml:space="preserve">внутренний</t>
        </is>
      </c>
    </row>
    <row r="81">
      <c r="A81" t="inlineStr">
        <is>
          <t xml:space="preserve">61</t>
        </is>
      </c>
      <c r="B81" t="inlineStr">
        <is>
          <t xml:space="preserve">Третий уровень</t>
        </is>
      </c>
      <c r="C81" t="inlineStr">
        <is>
          <t xml:space="preserve">не сверяется</t>
        </is>
      </c>
      <c r="E81" t="inlineStr">
        <is>
          <t xml:space="preserve">—</t>
        </is>
      </c>
      <c r="F81" t="inlineStr">
        <is>
          <t xml:space="preserve">meta</t>
        </is>
      </c>
      <c r="G81" t="inlineStr">
        <is>
          <t xml:space="preserve">СЪЁМОЧНОЕ + постпродакшн = ПРОФИЛЬНОЕ</t>
        </is>
      </c>
      <c r="H81" t="inlineStr">
        <is>
          <t xml:space="preserve">черновик</t>
        </is>
      </c>
      <c r="J81" t="inlineStr">
        <is>
          <t xml:space="preserve">246,26 + 738,79 = 985,05 ✓</t>
        </is>
      </c>
      <c r="K81" t="inlineStr">
        <is>
          <t xml:space="preserve">внутренний</t>
        </is>
      </c>
    </row>
    <row r="82"/>
    <row r="83">
      <c r="A83" t="inlineStr">
        <is>
          <t xml:space="preserve">D · ПЕРЕКЛЮЧАТЕЛИ — шесть точек выбора пользователя</t>
        </is>
      </c>
    </row>
    <row r="84">
      <c r="A84" t="inlineStr">
        <is>
          <t xml:space="preserve">№</t>
        </is>
      </c>
      <c r="B84" t="inlineStr">
        <is>
          <t xml:space="preserve">Наименование</t>
        </is>
      </c>
      <c r="C84" t="inlineStr">
        <is>
          <t xml:space="preserve">Статус (временный)</t>
        </is>
      </c>
      <c r="D84" t="inlineStr">
        <is>
          <t xml:space="preserve">Справочник · для сверки (временный)</t>
        </is>
      </c>
      <c r="E84" t="inlineStr">
        <is>
          <t xml:space="preserve">ID</t>
        </is>
      </c>
      <c r="F84" t="inlineStr">
        <is>
          <t xml:space="preserve">Тип</t>
        </is>
      </c>
      <c r="G84" t="inlineStr">
        <is>
          <t xml:space="preserve">Определение</t>
        </is>
      </c>
      <c r="H84" t="inlineStr">
        <is>
          <t xml:space="preserve">Определение утверждено</t>
        </is>
      </c>
      <c r="I84" t="inlineStr">
        <is>
          <t xml:space="preserve">Описание алгоритма</t>
        </is>
      </c>
      <c r="J84" t="inlineStr">
        <is>
          <t xml:space="preserve">Формула (пример расчёта)</t>
        </is>
      </c>
      <c r="K84" t="inlineStr">
        <is>
          <t xml:space="preserve">Где используется</t>
        </is>
      </c>
      <c r="L84" t="inlineStr">
        <is>
          <t xml:space="preserve">Решение (временный)</t>
        </is>
      </c>
    </row>
    <row r="85">
      <c r="A85" t="inlineStr">
        <is>
          <t xml:space="preserve">62</t>
        </is>
      </c>
      <c r="B85" t="inlineStr">
        <is>
          <t xml:space="preserve">Режим налогообложения</t>
        </is>
      </c>
      <c r="C85" t="inlineStr">
        <is>
          <t xml:space="preserve">переименовать</t>
        </is>
      </c>
      <c r="D85"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85" t="inlineStr">
        <is>
          <t xml:space="preserve">regime</t>
        </is>
      </c>
      <c r="F85" t="inlineStr">
        <is>
          <t xml:space="preserve">switch</t>
        </is>
      </c>
      <c r="G85" t="inlineStr">
        <is>
          <t xml:space="preserve">Семь вариантов. По умолчанию НПД средняя 5%</t>
        </is>
      </c>
      <c r="H85" t="inlineStr">
        <is>
          <t xml:space="preserve">черновик</t>
        </is>
      </c>
      <c r="J85" t="inlineStr">
        <is>
          <t xml:space="preserve">Form015 · Block4</t>
        </is>
      </c>
      <c r="K85" t="inlineStr">
        <is>
          <t xml:space="preserve">общий</t>
        </is>
      </c>
    </row>
    <row r="86">
      <c r="A86" t="inlineStr">
        <is>
          <t xml:space="preserve">63</t>
        </is>
      </c>
      <c r="B86" t="inlineStr">
        <is>
          <t xml:space="preserve">Час проектного времени</t>
        </is>
      </c>
      <c r="C86" t="inlineStr">
        <is>
          <t xml:space="preserve">переименовать</t>
        </is>
      </c>
      <c r="D86" t="inlineStr">
        <is>
          <t xml:space="preserve">Стоимость клиентского часа — 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c r="E86" t="inlineStr">
        <is>
          <t xml:space="preserve">hour_pool</t>
        </is>
      </c>
      <c r="F86" t="inlineStr">
        <is>
          <t xml:space="preserve">calc</t>
        </is>
      </c>
      <c r="G86" t="inlineStr">
        <is>
          <t xml:space="preserve">Выручка / проектное время. ПОСТОЯННАЯ величина: база для сетки объёмных скидок</t>
        </is>
      </c>
      <c r="H86" t="inlineStr">
        <is>
          <t xml:space="preserve">черновик</t>
        </is>
      </c>
      <c r="J86" t="inlineStr">
        <is>
          <t xml:space="preserve">2 138 693 / 1 028,85 = 2 079 ₽</t>
        </is>
      </c>
      <c r="K86" t="inlineStr">
        <is>
          <t xml:space="preserve">общий</t>
        </is>
      </c>
    </row>
    <row r="87">
      <c r="A87" t="inlineStr">
        <is>
          <t xml:space="preserve">64</t>
        </is>
      </c>
      <c r="B87" t="inlineStr">
        <is>
          <t xml:space="preserve">Рабочее место</t>
        </is>
      </c>
      <c r="C87" t="inlineStr">
        <is>
          <t xml:space="preserve">тождественно</t>
        </is>
      </c>
      <c r="D87" t="inlineStr">
        <is>
          <t xml:space="preserve">Рабочее место — 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c r="E87" t="inlineStr">
        <is>
          <t xml:space="preserve">ws_mode</t>
        </is>
      </c>
      <c r="F87" t="inlineStr">
        <is>
          <t xml:space="preserve">switch</t>
        </is>
      </c>
      <c r="G87" t="inlineStr">
        <is>
          <t xml:space="preserve">Дома — аренда по доле метров плюс коммуналка целиком. Аренда — помещение целиком</t>
        </is>
      </c>
      <c r="H87" t="inlineStr">
        <is>
          <t xml:space="preserve">черновик</t>
        </is>
      </c>
      <c r="J87" t="inlineStr">
        <is>
          <t xml:space="preserve">Form005 · Block9</t>
        </is>
      </c>
      <c r="K87" t="inlineStr">
        <is>
          <t xml:space="preserve">общий</t>
        </is>
      </c>
    </row>
    <row r="88">
      <c r="A88" t="inlineStr">
        <is>
          <t xml:space="preserve">65</t>
        </is>
      </c>
      <c r="B88" t="inlineStr">
        <is>
          <t xml:space="preserve">Живу в своём</t>
        </is>
      </c>
      <c r="C88" t="inlineStr">
        <is>
          <t xml:space="preserve">нет понятия</t>
        </is>
      </c>
      <c r="E88" t="inlineStr">
        <is>
          <t xml:space="preserve">own_home</t>
        </is>
      </c>
      <c r="F88" t="inlineStr">
        <is>
          <t xml:space="preserve">switch</t>
        </is>
      </c>
      <c r="G88" t="inlineStr">
        <is>
          <t xml:space="preserve">Если жильё своё и ипотеки нет — плата за жильё обнуляется, коммуналка остаётся</t>
        </is>
      </c>
      <c r="H88" t="inlineStr">
        <is>
          <t xml:space="preserve">черновик</t>
        </is>
      </c>
      <c r="J88" t="inlineStr">
        <is>
          <t xml:space="preserve">Form005 · Block9</t>
        </is>
      </c>
      <c r="K88" t="inlineStr">
        <is>
          <t xml:space="preserve">общий</t>
        </is>
      </c>
    </row>
    <row r="89">
      <c r="A89" t="inlineStr">
        <is>
          <t xml:space="preserve">66</t>
        </is>
      </c>
      <c r="B89" t="inlineStr">
        <is>
          <t xml:space="preserve">Учёт и планирование</t>
        </is>
      </c>
      <c r="C89" t="inlineStr">
        <is>
          <t xml:space="preserve">тождественно</t>
        </is>
      </c>
      <c r="D89"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c r="E89" t="inlineStr">
        <is>
          <t xml:space="preserve">acc_mode</t>
        </is>
      </c>
      <c r="F89" t="inlineStr">
        <is>
          <t xml:space="preserve">switch</t>
        </is>
      </c>
      <c r="G89" t="inlineStr">
        <is>
          <t xml:space="preserve">Нанимаю специалиста — расход 120 000 ₽, время 0. Веду самостоятельно — расход 0, время 12 ч</t>
        </is>
      </c>
      <c r="H89" t="inlineStr">
        <is>
          <t xml:space="preserve">черновик</t>
        </is>
      </c>
      <c r="J89" t="inlineStr">
        <is>
          <t xml:space="preserve">Form011 · Block14</t>
        </is>
      </c>
      <c r="K89" t="inlineStr">
        <is>
          <t xml:space="preserve">общий</t>
        </is>
      </c>
    </row>
    <row r="90">
      <c r="A90" t="inlineStr">
        <is>
          <t xml:space="preserve">67</t>
        </is>
      </c>
      <c r="B90" t="inlineStr">
        <is>
          <t xml:space="preserve">Создание сайта</t>
        </is>
      </c>
      <c r="C90" t="inlineStr">
        <is>
          <t xml:space="preserve">переименовать</t>
        </is>
      </c>
      <c r="D90"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90" t="inlineStr">
        <is>
          <t xml:space="preserve">site_mode</t>
        </is>
      </c>
      <c r="F90" t="inlineStr">
        <is>
          <t xml:space="preserve">switch</t>
        </is>
      </c>
      <c r="G90" t="inlineStr">
        <is>
          <t xml:space="preserve">Нанимал — цена подрядчика. Делал сам — часы × полная ставка рабочего часа</t>
        </is>
      </c>
      <c r="H90" t="inlineStr">
        <is>
          <t xml:space="preserve">черновик</t>
        </is>
      </c>
      <c r="J90" t="inlineStr">
        <is>
          <t xml:space="preserve">Form014 · Block12</t>
        </is>
      </c>
      <c r="K90" t="inlineStr">
        <is>
          <t xml:space="preserve">общий</t>
        </is>
      </c>
    </row>
    <row r="91">
      <c r="A91" t="inlineStr">
        <is>
          <t xml:space="preserve">68</t>
        </is>
      </c>
      <c r="B91" t="inlineStr">
        <is>
          <t xml:space="preserve">Период платежа</t>
        </is>
      </c>
      <c r="C91" t="inlineStr">
        <is>
          <t xml:space="preserve">не сверяется</t>
        </is>
      </c>
      <c r="E91" t="inlineStr">
        <is>
          <t xml:space="preserve">—</t>
        </is>
      </c>
      <c r="F91" t="inlineStr">
        <is>
          <t xml:space="preserve">switch</t>
        </is>
      </c>
      <c r="G91" t="inlineStr">
        <is>
          <t xml:space="preserve">Год / Квартал / Месяц. Множитель платежей в год: 1 / 4 / 12</t>
        </is>
      </c>
      <c r="H91" t="inlineStr">
        <is>
          <t xml:space="preserve">черновик</t>
        </is>
      </c>
      <c r="J91" t="inlineStr">
        <is>
          <t xml:space="preserve">03_Каталоги, столбец «Период»</t>
        </is>
      </c>
      <c r="K91" t="inlineStr">
        <is>
          <t xml:space="preserve">внутренний</t>
        </is>
      </c>
    </row>
    <row r="92"/>
    <row r="93">
      <c r="A93" t="inlineStr">
        <is>
          <t xml:space="preserve">E · ДЕНЬГИ</t>
        </is>
      </c>
    </row>
    <row r="94">
      <c r="A94" t="inlineStr">
        <is>
          <t xml:space="preserve">№</t>
        </is>
      </c>
      <c r="B94" t="inlineStr">
        <is>
          <t xml:space="preserve">Наименование</t>
        </is>
      </c>
      <c r="C94" t="inlineStr">
        <is>
          <t xml:space="preserve">Статус (временный)</t>
        </is>
      </c>
      <c r="D94" t="inlineStr">
        <is>
          <t xml:space="preserve">Справочник · для сверки (временный)</t>
        </is>
      </c>
      <c r="E94" t="inlineStr">
        <is>
          <t xml:space="preserve">ID</t>
        </is>
      </c>
      <c r="F94" t="inlineStr">
        <is>
          <t xml:space="preserve">Тип</t>
        </is>
      </c>
      <c r="G94" t="inlineStr">
        <is>
          <t xml:space="preserve">Определение</t>
        </is>
      </c>
      <c r="H94" t="inlineStr">
        <is>
          <t xml:space="preserve">Определение утверждено</t>
        </is>
      </c>
      <c r="I94" t="inlineStr">
        <is>
          <t xml:space="preserve">Описание алгоритма</t>
        </is>
      </c>
      <c r="J94" t="inlineStr">
        <is>
          <t xml:space="preserve">Формула (пример расчёта)</t>
        </is>
      </c>
      <c r="K94" t="inlineStr">
        <is>
          <t xml:space="preserve">Где используется</t>
        </is>
      </c>
      <c r="L94" t="inlineStr">
        <is>
          <t xml:space="preserve">Решение (временный)</t>
        </is>
      </c>
    </row>
    <row r="95">
      <c r="A95" t="inlineStr">
        <is>
          <t xml:space="preserve">69</t>
        </is>
      </c>
      <c r="B95" t="inlineStr">
        <is>
          <t xml:space="preserve">Желаемый доход</t>
        </is>
      </c>
      <c r="C95" t="inlineStr">
        <is>
          <t xml:space="preserve">тождественно</t>
        </is>
      </c>
      <c r="D95"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c r="E95" t="inlineStr">
        <is>
          <t xml:space="preserve">target_income</t>
        </is>
      </c>
      <c r="F95" t="inlineStr">
        <is>
          <t xml:space="preserve">calc</t>
        </is>
      </c>
      <c r="G95" t="inlineStr">
        <is>
          <t xml:space="preserve">Сумма на руки за год. Точка отсчёта всего расчёта</t>
        </is>
      </c>
      <c r="H95" t="inlineStr">
        <is>
          <t xml:space="preserve">черновик</t>
        </is>
      </c>
      <c r="J95" t="inlineStr">
        <is>
          <t xml:space="preserve">108 999 × 12 = 1 307 988 ₽</t>
        </is>
      </c>
      <c r="K95" t="inlineStr">
        <is>
          <t xml:space="preserve">общий</t>
        </is>
      </c>
    </row>
    <row r="96">
      <c r="A96" t="inlineStr">
        <is>
          <t xml:space="preserve">70</t>
        </is>
      </c>
      <c r="B96" t="inlineStr">
        <is>
          <t xml:space="preserve">Выручка</t>
        </is>
      </c>
      <c r="C96" t="inlineStr">
        <is>
          <t xml:space="preserve">тождественно</t>
        </is>
      </c>
      <c r="D96" t="inlineStr">
        <is>
          <t xml:space="preserve">Выручка — Общая сумма денежных средств, которую специалист получил или должен получить от продажи работ или услуг за определённый период, до вычета расходов, налогов и других затрат.</t>
        </is>
      </c>
      <c r="E96" t="inlineStr">
        <is>
          <t xml:space="preserve">revenue</t>
        </is>
      </c>
      <c r="F96" t="inlineStr">
        <is>
          <t xml:space="preserve">calc</t>
        </is>
      </c>
      <c r="G96" t="inlineStr">
        <is>
          <t xml:space="preserve">Сколько выставить клиентам за год. Главный результат</t>
        </is>
      </c>
      <c r="H96" t="inlineStr">
        <is>
          <t xml:space="preserve">черновик</t>
        </is>
      </c>
      <c r="J96" t="inlineStr">
        <is>
          <t xml:space="preserve">04_Расчёт, строка 4</t>
        </is>
      </c>
      <c r="K96" t="inlineStr">
        <is>
          <t xml:space="preserve">общий</t>
        </is>
      </c>
    </row>
    <row r="97">
      <c r="A97" t="inlineStr">
        <is>
          <t xml:space="preserve">71</t>
        </is>
      </c>
      <c r="B97" t="inlineStr">
        <is>
          <t xml:space="preserve">Всего расходов</t>
        </is>
      </c>
      <c r="C97" t="inlineStr">
        <is>
          <t xml:space="preserve">нет понятия</t>
        </is>
      </c>
      <c r="E97" t="inlineStr">
        <is>
          <t xml:space="preserve">total_costs</t>
        </is>
      </c>
      <c r="F97" t="inlineStr">
        <is>
          <t xml:space="preserve">calc</t>
        </is>
      </c>
      <c r="G97" t="inlineStr">
        <is>
          <t xml:space="preserve">Амортизация плюс переменные. Без эквайринга</t>
        </is>
      </c>
      <c r="H97" t="inlineStr">
        <is>
          <t xml:space="preserve">черновик</t>
        </is>
      </c>
      <c r="J97" t="inlineStr">
        <is>
          <t xml:space="preserve">C = 786 026 ₽/год</t>
        </is>
      </c>
      <c r="K97" t="inlineStr">
        <is>
          <t xml:space="preserve">общий</t>
        </is>
      </c>
    </row>
    <row r="98">
      <c r="A98" t="inlineStr">
        <is>
          <t xml:space="preserve">72</t>
        </is>
      </c>
      <c r="B98" t="inlineStr">
        <is>
          <t xml:space="preserve">Амортизация</t>
        </is>
      </c>
      <c r="C98" t="inlineStr">
        <is>
          <t xml:space="preserve">тождественно</t>
        </is>
      </c>
      <c r="D98" t="inlineStr">
        <is>
          <t xml:space="preserve">Амортизация — Постепенное включение стоимости имущества в расходы бизнеса по мере его использования и износа.</t>
        </is>
      </c>
      <c r="E98" t="inlineStr">
        <is>
          <t xml:space="preserve">investment</t>
        </is>
      </c>
      <c r="F98" t="inlineStr">
        <is>
          <t xml:space="preserve">calc</t>
        </is>
      </c>
      <c r="G98" t="inlineStr">
        <is>
          <t xml:space="preserve">Разовые покупки, распределённые по сроку службы</t>
        </is>
      </c>
      <c r="H98" t="inlineStr">
        <is>
          <t xml:space="preserve">черновик</t>
        </is>
      </c>
      <c r="J98" t="inlineStr">
        <is>
          <t xml:space="preserve">308 126 ₽/год</t>
        </is>
      </c>
      <c r="K98" t="inlineStr">
        <is>
          <t xml:space="preserve">общий</t>
        </is>
      </c>
    </row>
    <row r="99">
      <c r="A99" t="inlineStr">
        <is>
          <t xml:space="preserve">73</t>
        </is>
      </c>
      <c r="B99" t="inlineStr">
        <is>
          <t xml:space="preserve">Переменные расходы</t>
        </is>
      </c>
      <c r="C99" t="inlineStr">
        <is>
          <t xml:space="preserve">переименовать</t>
        </is>
      </c>
      <c r="D99" t="inlineStr">
        <is>
          <t xml:space="preserve">Текущие расходы — Регулярные расходы специалиста, необходимые для поддержания профессиональной деятельности и выполнения работы в течение определённого периода.</t>
        </is>
      </c>
      <c r="E99" t="inlineStr">
        <is>
          <t xml:space="preserve">variable_costs</t>
        </is>
      </c>
      <c r="F99" t="inlineStr">
        <is>
          <t xml:space="preserve">calc</t>
        </is>
      </c>
      <c r="G99" t="inlineStr">
        <is>
          <t xml:space="preserve">Регулярные платежи за год</t>
        </is>
      </c>
      <c r="H99" t="inlineStr">
        <is>
          <t xml:space="preserve">черновик</t>
        </is>
      </c>
      <c r="J99" t="inlineStr">
        <is>
          <t xml:space="preserve">477 900 ₽/год</t>
        </is>
      </c>
      <c r="K99" t="inlineStr">
        <is>
          <t xml:space="preserve">общий</t>
        </is>
      </c>
    </row>
    <row r="100">
      <c r="A100" t="inlineStr">
        <is>
          <t xml:space="preserve">74</t>
        </is>
      </c>
      <c r="B100" t="inlineStr">
        <is>
          <t xml:space="preserve">Эквайринг</t>
        </is>
      </c>
      <c r="C100" t="inlineStr">
        <is>
          <t xml:space="preserve">тождественно</t>
        </is>
      </c>
      <c r="D100"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c r="E100" t="inlineStr">
        <is>
          <t xml:space="preserve">acquiring</t>
        </is>
      </c>
      <c r="F100" t="inlineStr">
        <is>
          <t xml:space="preserve">calc</t>
        </is>
      </c>
      <c r="G100" t="inlineStr">
        <is>
          <t xml:space="preserve">Процент С ОБОРОТА. Не расход — идёт в знаменатель формулы выручки</t>
        </is>
      </c>
      <c r="H100" t="inlineStr">
        <is>
          <t xml:space="preserve">черновик</t>
        </is>
      </c>
      <c r="J100" t="inlineStr">
        <is>
          <t xml:space="preserve">2,7%</t>
        </is>
      </c>
      <c r="K100" t="inlineStr">
        <is>
          <t xml:space="preserve">общий</t>
        </is>
      </c>
    </row>
    <row r="101">
      <c r="A101" t="inlineStr">
        <is>
          <t xml:space="preserve">75</t>
        </is>
      </c>
      <c r="B101" t="inlineStr">
        <is>
          <t xml:space="preserve">База для выручки</t>
        </is>
      </c>
      <c r="C101" t="inlineStr">
        <is>
          <t xml:space="preserve">не сверяется</t>
        </is>
      </c>
      <c r="E101" t="inlineStr">
        <is>
          <t xml:space="preserve">revenue_base</t>
        </is>
      </c>
      <c r="F101" t="inlineStr">
        <is>
          <t xml:space="preserve">calc</t>
        </is>
      </c>
      <c r="G101" t="inlineStr">
        <is>
          <t xml:space="preserve">Расходы плюс желаемый доход. Получить ПОСЛЕ всех платежей</t>
        </is>
      </c>
      <c r="H101" t="inlineStr">
        <is>
          <t xml:space="preserve">черновик</t>
        </is>
      </c>
      <c r="J101" t="inlineStr">
        <is>
          <t xml:space="preserve">N + C = 2 094 014 ₽</t>
        </is>
      </c>
      <c r="K101" t="inlineStr">
        <is>
          <t xml:space="preserve">внутренний</t>
        </is>
      </c>
    </row>
    <row r="102"/>
    <row r="103">
      <c r="A103" t="inlineStr">
        <is>
          <t xml:space="preserve">F · НАЛОГИ 2026</t>
        </is>
      </c>
    </row>
    <row r="104">
      <c r="A104" t="inlineStr">
        <is>
          <t xml:space="preserve">№</t>
        </is>
      </c>
      <c r="B104" t="inlineStr">
        <is>
          <t xml:space="preserve">Наименование</t>
        </is>
      </c>
      <c r="C104" t="inlineStr">
        <is>
          <t xml:space="preserve">Статус (временный)</t>
        </is>
      </c>
      <c r="D104" t="inlineStr">
        <is>
          <t xml:space="preserve">Справочник · для сверки (временный)</t>
        </is>
      </c>
      <c r="E104" t="inlineStr">
        <is>
          <t xml:space="preserve">ID</t>
        </is>
      </c>
      <c r="F104" t="inlineStr">
        <is>
          <t xml:space="preserve">Тип</t>
        </is>
      </c>
      <c r="G104" t="inlineStr">
        <is>
          <t xml:space="preserve">Определение</t>
        </is>
      </c>
      <c r="H104" t="inlineStr">
        <is>
          <t xml:space="preserve">Определение утверждено</t>
        </is>
      </c>
      <c r="I104" t="inlineStr">
        <is>
          <t xml:space="preserve">Описание алгоритма</t>
        </is>
      </c>
      <c r="J104" t="inlineStr">
        <is>
          <t xml:space="preserve">Формула (пример расчёта)</t>
        </is>
      </c>
      <c r="K104" t="inlineStr">
        <is>
          <t xml:space="preserve">Где используется</t>
        </is>
      </c>
      <c r="L104" t="inlineStr">
        <is>
          <t xml:space="preserve">Решение (временный)</t>
        </is>
      </c>
    </row>
    <row r="105">
      <c r="A105" t="inlineStr">
        <is>
          <t xml:space="preserve">76</t>
        </is>
      </c>
      <c r="B105" t="inlineStr">
        <is>
          <t xml:space="preserve">НПД</t>
        </is>
      </c>
      <c r="C105" t="inlineStr">
        <is>
          <t xml:space="preserve">переименовать</t>
        </is>
      </c>
      <c r="D105"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105" t="inlineStr">
        <is>
          <t xml:space="preserve">rate_npd_avg</t>
        </is>
      </c>
      <c r="F105" t="inlineStr">
        <is>
          <t xml:space="preserve">default</t>
        </is>
      </c>
      <c r="G105" t="inlineStr">
        <is>
          <t xml:space="preserve">Средняя ставка 5% — базовый вариант, работа и с физлицами, и с юрлицами. Взносов нет, лимит 2,4 млн</t>
        </is>
      </c>
      <c r="H105" t="inlineStr">
        <is>
          <t xml:space="preserve">черновик</t>
        </is>
      </c>
      <c r="J105" t="inlineStr">
        <is>
          <t xml:space="preserve">4% физлица · 6% юрлица</t>
        </is>
      </c>
      <c r="K105" t="inlineStr">
        <is>
          <t xml:space="preserve">общий</t>
        </is>
      </c>
    </row>
    <row r="106">
      <c r="A106" t="inlineStr">
        <is>
          <t xml:space="preserve">77</t>
        </is>
      </c>
      <c r="B106" t="inlineStr">
        <is>
          <t xml:space="preserve">УСН «Доходы»</t>
        </is>
      </c>
      <c r="C106" t="inlineStr">
        <is>
          <t xml:space="preserve">переименовать</t>
        </is>
      </c>
      <c r="D106"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106" t="inlineStr">
        <is>
          <t xml:space="preserve">rate_usn_inc</t>
        </is>
      </c>
      <c r="F106" t="inlineStr">
        <is>
          <t xml:space="preserve">default</t>
        </is>
      </c>
      <c r="G106" t="inlineStr">
        <is>
          <t xml:space="preserve">Налог с выручки. Взносы ВЫЧИТАЮТСЯ из налога до нуля</t>
        </is>
      </c>
      <c r="H106" t="inlineStr">
        <is>
          <t xml:space="preserve">черновик</t>
        </is>
      </c>
      <c r="J106" t="inlineStr">
        <is>
          <t xml:space="preserve">6%</t>
        </is>
      </c>
      <c r="K106" t="inlineStr">
        <is>
          <t xml:space="preserve">общий</t>
        </is>
      </c>
    </row>
    <row r="107">
      <c r="A107" t="inlineStr">
        <is>
          <t xml:space="preserve">78</t>
        </is>
      </c>
      <c r="B107" t="inlineStr">
        <is>
          <t xml:space="preserve">УСН «Д−Р»</t>
        </is>
      </c>
      <c r="C107" t="inlineStr">
        <is>
          <t xml:space="preserve">переименовать</t>
        </is>
      </c>
      <c r="D10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107" t="inlineStr">
        <is>
          <t xml:space="preserve">rate_usn_prof</t>
        </is>
      </c>
      <c r="F107" t="inlineStr">
        <is>
          <t xml:space="preserve">default</t>
        </is>
      </c>
      <c r="G107" t="inlineStr">
        <is>
          <t xml:space="preserve">Налог с прибыли. Взносы уменьшают базу. Минимальный налог 1%</t>
        </is>
      </c>
      <c r="H107" t="inlineStr">
        <is>
          <t xml:space="preserve">черновик</t>
        </is>
      </c>
      <c r="J107" t="inlineStr">
        <is>
          <t xml:space="preserve">15%</t>
        </is>
      </c>
      <c r="K107" t="inlineStr">
        <is>
          <t xml:space="preserve">общий</t>
        </is>
      </c>
    </row>
    <row r="108">
      <c r="A108" t="inlineStr">
        <is>
          <t xml:space="preserve">79</t>
        </is>
      </c>
      <c r="B108" t="inlineStr">
        <is>
          <t xml:space="preserve">АУСН</t>
        </is>
      </c>
      <c r="C108" t="inlineStr">
        <is>
          <t xml:space="preserve">переименовать</t>
        </is>
      </c>
      <c r="D10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108" t="inlineStr">
        <is>
          <t xml:space="preserve">rate_ausn_inc</t>
        </is>
      </c>
      <c r="F108" t="inlineStr">
        <is>
          <t xml:space="preserve">const</t>
        </is>
      </c>
      <c r="G108" t="inlineStr">
        <is>
          <t xml:space="preserve">Взносы ИП за себя НЕ платятся. Лимит 60 млн</t>
        </is>
      </c>
      <c r="H108" t="inlineStr">
        <is>
          <t xml:space="preserve">черновик</t>
        </is>
      </c>
      <c r="J108" t="inlineStr">
        <is>
          <t xml:space="preserve">8% · 20%, мин. налог 3%</t>
        </is>
      </c>
      <c r="K108" t="inlineStr">
        <is>
          <t xml:space="preserve">общий</t>
        </is>
      </c>
    </row>
    <row r="109">
      <c r="A109" t="inlineStr">
        <is>
          <t xml:space="preserve">80</t>
        </is>
      </c>
      <c r="B109" t="inlineStr">
        <is>
          <t xml:space="preserve">Фиксированные взносы</t>
        </is>
      </c>
      <c r="C109" t="inlineStr">
        <is>
          <t xml:space="preserve">переименовать</t>
        </is>
      </c>
      <c r="D109"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109" t="inlineStr">
        <is>
          <t xml:space="preserve">fixed_contrib</t>
        </is>
      </c>
      <c r="F109" t="inlineStr">
        <is>
          <t xml:space="preserve">const</t>
        </is>
      </c>
      <c r="G109" t="inlineStr">
        <is>
          <t xml:space="preserve">Платит каждый ИП. Срок — 28 декабря</t>
        </is>
      </c>
      <c r="H109" t="inlineStr">
        <is>
          <t xml:space="preserve">черновик</t>
        </is>
      </c>
      <c r="J109" t="inlineStr">
        <is>
          <t xml:space="preserve">57 390 ₽/год</t>
        </is>
      </c>
      <c r="K109" t="inlineStr">
        <is>
          <t xml:space="preserve">общий</t>
        </is>
      </c>
    </row>
    <row r="110">
      <c r="A110" t="inlineStr">
        <is>
          <t xml:space="preserve">81</t>
        </is>
      </c>
      <c r="B110" t="inlineStr">
        <is>
          <t xml:space="preserve">Дополнительный взнос</t>
        </is>
      </c>
      <c r="C110" t="inlineStr">
        <is>
          <t xml:space="preserve">переименовать</t>
        </is>
      </c>
      <c r="D110"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110" t="inlineStr">
        <is>
          <t xml:space="preserve">extra_contrib</t>
        </is>
      </c>
      <c r="F110" t="inlineStr">
        <is>
          <t xml:space="preserve">const</t>
        </is>
      </c>
      <c r="G110" t="inlineStr">
        <is>
          <t xml:space="preserve">1% с дохода свыше порога. Срок — 1 июля следующего года</t>
        </is>
      </c>
      <c r="H110" t="inlineStr">
        <is>
          <t xml:space="preserve">черновик</t>
        </is>
      </c>
      <c r="J110" t="inlineStr">
        <is>
          <t xml:space="preserve">1% × (база − 300 000)</t>
        </is>
      </c>
      <c r="K110" t="inlineStr">
        <is>
          <t xml:space="preserve">общий</t>
        </is>
      </c>
    </row>
    <row r="111">
      <c r="A111" t="inlineStr">
        <is>
          <t xml:space="preserve">82</t>
        </is>
      </c>
      <c r="B111" t="inlineStr">
        <is>
          <t xml:space="preserve">Предельная величина</t>
        </is>
      </c>
      <c r="C111" t="inlineStr">
        <is>
          <t xml:space="preserve">переименовать</t>
        </is>
      </c>
      <c r="D111"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111" t="inlineStr">
        <is>
          <t xml:space="preserve">contrib_threshold</t>
        </is>
      </c>
      <c r="F111" t="inlineStr">
        <is>
          <t xml:space="preserve">const</t>
        </is>
      </c>
      <c r="G111" t="inlineStr">
        <is>
          <t xml:space="preserve">Порог для допвзноса. ЗА ГОД, не за месяц</t>
        </is>
      </c>
      <c r="H111" t="inlineStr">
        <is>
          <t xml:space="preserve">черновик</t>
        </is>
      </c>
      <c r="J111" t="inlineStr">
        <is>
          <t xml:space="preserve">300 000 ₽</t>
        </is>
      </c>
      <c r="K111" t="inlineStr">
        <is>
          <t xml:space="preserve">общий</t>
        </is>
      </c>
    </row>
    <row r="112">
      <c r="A112" t="inlineStr">
        <is>
          <t xml:space="preserve">83</t>
        </is>
      </c>
      <c r="B112" t="inlineStr">
        <is>
          <t xml:space="preserve">Вычет взносов из налога</t>
        </is>
      </c>
      <c r="C112" t="inlineStr">
        <is>
          <t xml:space="preserve">не сверяется</t>
        </is>
      </c>
      <c r="E112" t="inlineStr">
        <is>
          <t xml:space="preserve">—</t>
        </is>
      </c>
      <c r="F112" t="inlineStr">
        <is>
          <t xml:space="preserve">meta</t>
        </is>
      </c>
      <c r="G112" t="inlineStr">
        <is>
          <t xml:space="preserve">На УСН «Доходы» взносы уменьшают налог до нуля. Платёж = MAX(налог; взносы), а НЕ сумма</t>
        </is>
      </c>
      <c r="H112" t="inlineStr">
        <is>
          <t xml:space="preserve">черновик</t>
        </is>
      </c>
      <c r="J112" t="inlineStr">
        <is>
          <t xml:space="preserve">ключевая механика</t>
        </is>
      </c>
      <c r="K112" t="inlineStr">
        <is>
          <t xml:space="preserve">внутренний</t>
        </is>
      </c>
    </row>
    <row r="113"/>
    <row r="114">
      <c r="A114" t="inlineStr">
        <is>
          <t xml:space="preserve">G · СТАВКИ ЧАСА (все на съёмочный час)</t>
        </is>
      </c>
    </row>
    <row r="115">
      <c r="A115" t="inlineStr">
        <is>
          <t xml:space="preserve">№</t>
        </is>
      </c>
      <c r="B115" t="inlineStr">
        <is>
          <t xml:space="preserve">Наименование</t>
        </is>
      </c>
      <c r="C115" t="inlineStr">
        <is>
          <t xml:space="preserve">Статус (временный)</t>
        </is>
      </c>
      <c r="D115" t="inlineStr">
        <is>
          <t xml:space="preserve">Справочник · для сверки (временный)</t>
        </is>
      </c>
      <c r="E115" t="inlineStr">
        <is>
          <t xml:space="preserve">ID</t>
        </is>
      </c>
      <c r="F115" t="inlineStr">
        <is>
          <t xml:space="preserve">Тип</t>
        </is>
      </c>
      <c r="G115" t="inlineStr">
        <is>
          <t xml:space="preserve">Определение</t>
        </is>
      </c>
      <c r="H115" t="inlineStr">
        <is>
          <t xml:space="preserve">Определение утверждено</t>
        </is>
      </c>
      <c r="I115" t="inlineStr">
        <is>
          <t xml:space="preserve">Описание алгоритма</t>
        </is>
      </c>
      <c r="J115" t="inlineStr">
        <is>
          <t xml:space="preserve">Формула (пример расчёта)</t>
        </is>
      </c>
      <c r="K115" t="inlineStr">
        <is>
          <t xml:space="preserve">Где используется</t>
        </is>
      </c>
      <c r="L115" t="inlineStr">
        <is>
          <t xml:space="preserve">Решение (временный)</t>
        </is>
      </c>
    </row>
    <row r="116">
      <c r="A116" t="inlineStr">
        <is>
          <t xml:space="preserve">84</t>
        </is>
      </c>
      <c r="B116" t="inlineStr">
        <is>
          <t xml:space="preserve">Наивная ставка</t>
        </is>
      </c>
      <c r="C116" t="inlineStr">
        <is>
          <t xml:space="preserve">не сверяется</t>
        </is>
      </c>
      <c r="E116" t="inlineStr">
        <is>
          <t xml:space="preserve">naive_rate</t>
        </is>
      </c>
      <c r="F116" t="inlineStr">
        <is>
          <t xml:space="preserve">calc</t>
        </is>
      </c>
      <c r="G116" t="inlineStr">
        <is>
          <t xml:space="preserve">Доход / съёмочные часы. Без расходов и налогов. Демонстрация ошибки</t>
        </is>
      </c>
      <c r="H116" t="inlineStr">
        <is>
          <t xml:space="preserve">черновик</t>
        </is>
      </c>
      <c r="J116" t="inlineStr">
        <is>
          <t xml:space="preserve">4 977 ₽/ч</t>
        </is>
      </c>
      <c r="K116" t="inlineStr">
        <is>
          <t xml:space="preserve">внутренний</t>
        </is>
      </c>
    </row>
    <row r="117">
      <c r="A117" t="inlineStr">
        <is>
          <t xml:space="preserve">85</t>
        </is>
      </c>
      <c r="B117" t="inlineStr">
        <is>
          <t xml:space="preserve">Базовая ставка</t>
        </is>
      </c>
      <c r="C117" t="inlineStr">
        <is>
          <t xml:space="preserve">не сверяется</t>
        </is>
      </c>
      <c r="E117" t="inlineStr">
        <is>
          <t xml:space="preserve">base_rate</t>
        </is>
      </c>
      <c r="F117" t="inlineStr">
        <is>
          <t xml:space="preserve">calc</t>
        </is>
      </c>
      <c r="G117" t="inlineStr">
        <is>
          <t xml:space="preserve">Доход / чистое время. ТОЛЬКО личный доход, без налогов и расходов</t>
        </is>
      </c>
      <c r="H117" t="inlineStr">
        <is>
          <t xml:space="preserve">черновик</t>
        </is>
      </c>
      <c r="J117" t="inlineStr">
        <is>
          <t xml:space="preserve">1 307 988 / 1 533 = 853 ₽/ч</t>
        </is>
      </c>
      <c r="K117" t="inlineStr">
        <is>
          <t xml:space="preserve">внутренний</t>
        </is>
      </c>
    </row>
    <row r="118">
      <c r="A118" t="inlineStr">
        <is>
          <t xml:space="preserve">86</t>
        </is>
      </c>
      <c r="B118" t="inlineStr">
        <is>
          <t xml:space="preserve">Текущая ставка</t>
        </is>
      </c>
      <c r="C118" t="inlineStr">
        <is>
          <t xml:space="preserve">тождественно</t>
        </is>
      </c>
      <c r="D118" t="inlineStr">
        <is>
          <t xml:space="preserve">Текущая ставка — Стоимость одного часа работы специалиста, установленная им на данный момент с учётом действующих условий оказания услуг.</t>
        </is>
      </c>
      <c r="E118" t="inlineStr">
        <is>
          <t xml:space="preserve">current_rate</t>
        </is>
      </c>
      <c r="F118" t="inlineStr">
        <is>
          <t xml:space="preserve">default</t>
        </is>
      </c>
      <c r="G118" t="inlineStr">
        <is>
          <t xml:space="preserve">По которой работаете сейчас. Для блока «Сколько теряете»</t>
        </is>
      </c>
      <c r="H118" t="inlineStr">
        <is>
          <t xml:space="preserve">черновик</t>
        </is>
      </c>
      <c r="J118" t="inlineStr">
        <is>
          <t xml:space="preserve">6 000 ₽/ч</t>
        </is>
      </c>
      <c r="K118" t="inlineStr">
        <is>
          <t xml:space="preserve">общий</t>
        </is>
      </c>
    </row>
    <row r="119">
      <c r="A119" t="inlineStr">
        <is>
          <t xml:space="preserve">87</t>
        </is>
      </c>
      <c r="B119" t="inlineStr">
        <is>
          <t xml:space="preserve">Операционная ставка</t>
        </is>
      </c>
      <c r="C119" t="inlineStr">
        <is>
          <t xml:space="preserve">не сверяется</t>
        </is>
      </c>
      <c r="E119" t="inlineStr">
        <is>
          <t xml:space="preserve">ops_rate</t>
        </is>
      </c>
      <c r="F119" t="inlineStr">
        <is>
          <t xml:space="preserve">calc</t>
        </is>
      </c>
      <c r="G119" t="inlineStr">
        <is>
          <t xml:space="preserve">Покрывает доход и расходы, но БЕЗ налога</t>
        </is>
      </c>
      <c r="H119" t="inlineStr">
        <is>
          <t xml:space="preserve">черновик</t>
        </is>
      </c>
      <c r="J119" t="inlineStr">
        <is>
          <t xml:space="preserve">(N+C) / 261,41 = 8 011 ₽/ч</t>
        </is>
      </c>
      <c r="K119" t="inlineStr">
        <is>
          <t xml:space="preserve">внутренний</t>
        </is>
      </c>
    </row>
    <row r="120">
      <c r="A120" t="inlineStr">
        <is>
          <t xml:space="preserve">88</t>
        </is>
      </c>
      <c r="B120" t="inlineStr">
        <is>
          <t xml:space="preserve">ПОЛНАЯ ставка</t>
        </is>
      </c>
      <c r="C120" t="inlineStr">
        <is>
          <t xml:space="preserve">переименовать</t>
        </is>
      </c>
      <c r="D120" t="inlineStr">
        <is>
          <t xml:space="preserve">Полная стоимость часа работы — 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c r="E120" t="inlineStr">
        <is>
          <t xml:space="preserve">real_rate</t>
        </is>
      </c>
      <c r="F120" t="inlineStr">
        <is>
          <t xml:space="preserve">calc</t>
        </is>
      </c>
      <c r="G120" t="inlineStr">
        <is>
          <t xml:space="preserve">Покрывает доход, расходы, налог и эквайринг. ЦЕНА ДЛЯ КЛИЕНТА</t>
        </is>
      </c>
      <c r="H120" t="inlineStr">
        <is>
          <t xml:space="preserve">черновик</t>
        </is>
      </c>
      <c r="J120" t="inlineStr">
        <is>
          <t xml:space="preserve">05_Итог, строка 5</t>
        </is>
      </c>
      <c r="K120" t="inlineStr">
        <is>
          <t xml:space="preserve">общий</t>
        </is>
      </c>
    </row>
    <row r="121">
      <c r="A121" t="inlineStr">
        <is>
          <t xml:space="preserve">89</t>
        </is>
      </c>
      <c r="B121" t="inlineStr">
        <is>
          <t xml:space="preserve">Точка безубыточности</t>
        </is>
      </c>
      <c r="C121" t="inlineStr">
        <is>
          <t xml:space="preserve">тождественно</t>
        </is>
      </c>
      <c r="D121" t="inlineStr">
        <is>
          <t xml:space="preserve">Точка безубыточности — Объём работы или выручки, при котором доход специалиста полностью покрывает все расходы, но ещё не формирует прибыль.</t>
        </is>
      </c>
      <c r="E121" t="inlineStr">
        <is>
          <t xml:space="preserve">breakeven</t>
        </is>
      </c>
      <c r="F121" t="inlineStr">
        <is>
          <t xml:space="preserve">calc</t>
        </is>
      </c>
      <c r="G121" t="inlineStr">
        <is>
          <t xml:space="preserve">Минимальная выручка при нулевом личном доходе</t>
        </is>
      </c>
      <c r="H121" t="inlineStr">
        <is>
          <t xml:space="preserve">черновик</t>
        </is>
      </c>
      <c r="J121" t="inlineStr">
        <is>
          <t xml:space="preserve">подставить N = 0</t>
        </is>
      </c>
      <c r="K121" t="inlineStr">
        <is>
          <t xml:space="preserve">общий</t>
        </is>
      </c>
    </row>
    <row r="122"/>
    <row r="123">
      <c r="A123" t="inlineStr">
        <is>
          <t xml:space="preserve">1 · Календарь</t>
        </is>
      </c>
    </row>
    <row r="124">
      <c r="A124" t="inlineStr">
        <is>
          <t xml:space="preserve">№</t>
        </is>
      </c>
      <c r="B124" t="inlineStr">
        <is>
          <t xml:space="preserve">Наименование</t>
        </is>
      </c>
      <c r="C124" t="inlineStr">
        <is>
          <t xml:space="preserve">Статус (временный)</t>
        </is>
      </c>
      <c r="D124" t="inlineStr">
        <is>
          <t xml:space="preserve">Справочник · для сверки (временный)</t>
        </is>
      </c>
      <c r="E124" t="inlineStr">
        <is>
          <t xml:space="preserve">ID</t>
        </is>
      </c>
      <c r="F124" t="inlineStr">
        <is>
          <t xml:space="preserve">Тип</t>
        </is>
      </c>
      <c r="G124" t="inlineStr">
        <is>
          <t xml:space="preserve">Определение</t>
        </is>
      </c>
      <c r="H124" t="inlineStr">
        <is>
          <t xml:space="preserve">Определение утверждено</t>
        </is>
      </c>
      <c r="I124" t="inlineStr">
        <is>
          <t xml:space="preserve">Описание алгоритма</t>
        </is>
      </c>
      <c r="J124" t="inlineStr">
        <is>
          <t xml:space="preserve">Формула (пример расчёта)</t>
        </is>
      </c>
      <c r="K124" t="inlineStr">
        <is>
          <t xml:space="preserve">Где используется</t>
        </is>
      </c>
      <c r="L124" t="inlineStr">
        <is>
          <t xml:space="preserve">Решение (временный)</t>
        </is>
      </c>
    </row>
    <row r="125">
      <c r="A125" t="inlineStr">
        <is>
          <t xml:space="preserve">90</t>
        </is>
      </c>
      <c r="B125" t="inlineStr">
        <is>
          <t xml:space="preserve">Всего дней в году</t>
        </is>
      </c>
      <c r="C125" t="inlineStr">
        <is>
          <t xml:space="preserve">не сверяется</t>
        </is>
      </c>
      <c r="E125" t="inlineStr">
        <is>
          <t xml:space="preserve">days_year</t>
        </is>
      </c>
      <c r="F125" t="inlineStr">
        <is>
          <t xml:space="preserve">const</t>
        </is>
      </c>
      <c r="G125" t="inlineStr">
        <is>
          <t xml:space="preserve">ед.: дн</t>
        </is>
      </c>
      <c r="H125" t="inlineStr">
        <is>
          <t xml:space="preserve">черновик</t>
        </is>
      </c>
      <c r="J125" t="inlineStr">
        <is>
          <t xml:space="preserve">365</t>
        </is>
      </c>
      <c r="K125" t="inlineStr">
        <is>
          <t xml:space="preserve">внутренний</t>
        </is>
      </c>
    </row>
    <row r="126">
      <c r="A126" t="inlineStr">
        <is>
          <t xml:space="preserve">91</t>
        </is>
      </c>
      <c r="B126" t="inlineStr">
        <is>
          <t xml:space="preserve">Рабочих дней в году</t>
        </is>
      </c>
      <c r="C126" t="inlineStr">
        <is>
          <t xml:space="preserve">не сверяется</t>
        </is>
      </c>
      <c r="E126" t="inlineStr">
        <is>
          <t xml:space="preserve">work_days</t>
        </is>
      </c>
      <c r="F126" t="inlineStr">
        <is>
          <t xml:space="preserve">const</t>
        </is>
      </c>
      <c r="G126" t="inlineStr">
        <is>
          <t xml:space="preserve">ед.: дн</t>
        </is>
      </c>
      <c r="H126" t="inlineStr">
        <is>
          <t xml:space="preserve">черновик</t>
        </is>
      </c>
      <c r="J126" t="inlineStr">
        <is>
          <t xml:space="preserve">247</t>
        </is>
      </c>
      <c r="K126" t="inlineStr">
        <is>
          <t xml:space="preserve">внутренний</t>
        </is>
      </c>
    </row>
    <row r="127">
      <c r="A127" t="inlineStr">
        <is>
          <t xml:space="preserve">92</t>
        </is>
      </c>
      <c r="B127" t="inlineStr">
        <is>
          <t xml:space="preserve">Рабочих дней в неделю</t>
        </is>
      </c>
      <c r="C127" t="inlineStr">
        <is>
          <t xml:space="preserve">не сверяется</t>
        </is>
      </c>
      <c r="E127" t="inlineStr">
        <is>
          <t xml:space="preserve">days_week</t>
        </is>
      </c>
      <c r="F127" t="inlineStr">
        <is>
          <t xml:space="preserve">const</t>
        </is>
      </c>
      <c r="G127" t="inlineStr">
        <is>
          <t xml:space="preserve">ед.: дн</t>
        </is>
      </c>
      <c r="H127" t="inlineStr">
        <is>
          <t xml:space="preserve">черновик</t>
        </is>
      </c>
      <c r="J127" t="inlineStr">
        <is>
          <t xml:space="preserve">5</t>
        </is>
      </c>
      <c r="K127" t="inlineStr">
        <is>
          <t xml:space="preserve">внутренний</t>
        </is>
      </c>
    </row>
    <row r="128">
      <c r="A128" t="inlineStr">
        <is>
          <t xml:space="preserve">93</t>
        </is>
      </c>
      <c r="B128" t="inlineStr">
        <is>
          <t xml:space="preserve">Месяцев в году</t>
        </is>
      </c>
      <c r="C128" t="inlineStr">
        <is>
          <t xml:space="preserve">не сверяется</t>
        </is>
      </c>
      <c r="E128" t="inlineStr">
        <is>
          <t xml:space="preserve">months</t>
        </is>
      </c>
      <c r="F128" t="inlineStr">
        <is>
          <t xml:space="preserve">const</t>
        </is>
      </c>
      <c r="G128" t="inlineStr">
        <is>
          <t xml:space="preserve">ед.: мес</t>
        </is>
      </c>
      <c r="H128" t="inlineStr">
        <is>
          <t xml:space="preserve">черновик</t>
        </is>
      </c>
      <c r="J128" t="inlineStr">
        <is>
          <t xml:space="preserve">12</t>
        </is>
      </c>
      <c r="K128" t="inlineStr">
        <is>
          <t xml:space="preserve">внутренний</t>
        </is>
      </c>
    </row>
    <row r="129">
      <c r="A129" t="inlineStr">
        <is>
          <t xml:space="preserve">94</t>
        </is>
      </c>
      <c r="B129" t="inlineStr">
        <is>
          <t xml:space="preserve">Кварталов в году</t>
        </is>
      </c>
      <c r="C129" t="inlineStr">
        <is>
          <t xml:space="preserve">не сверяется</t>
        </is>
      </c>
      <c r="E129" t="inlineStr">
        <is>
          <t xml:space="preserve">quarters</t>
        </is>
      </c>
      <c r="F129" t="inlineStr">
        <is>
          <t xml:space="preserve">const</t>
        </is>
      </c>
      <c r="G129" t="inlineStr">
        <is>
          <t xml:space="preserve">ед.: кв</t>
        </is>
      </c>
      <c r="H129" t="inlineStr">
        <is>
          <t xml:space="preserve">черновик</t>
        </is>
      </c>
      <c r="J129" t="inlineStr">
        <is>
          <t xml:space="preserve">4</t>
        </is>
      </c>
      <c r="K129" t="inlineStr">
        <is>
          <t xml:space="preserve">внутренний</t>
        </is>
      </c>
    </row>
    <row r="130">
      <c r="A130" t="inlineStr">
        <is>
          <t xml:space="preserve">95</t>
        </is>
      </c>
      <c r="B130" t="inlineStr">
        <is>
          <t xml:space="preserve">Всего недель в году</t>
        </is>
      </c>
      <c r="C130" t="inlineStr">
        <is>
          <t xml:space="preserve">не сверяется</t>
        </is>
      </c>
      <c r="E130" t="inlineStr">
        <is>
          <t xml:space="preserve">weeks_year</t>
        </is>
      </c>
      <c r="F130" t="inlineStr">
        <is>
          <t xml:space="preserve">calc</t>
        </is>
      </c>
      <c r="G130" t="inlineStr">
        <is>
          <t xml:space="preserve">ед.: нед · зависит от: days_year</t>
        </is>
      </c>
      <c r="H130" t="inlineStr">
        <is>
          <t xml:space="preserve">черновик</t>
        </is>
      </c>
      <c r="J130" t="inlineStr">
        <is>
          <t xml:space="preserve">days_year/7</t>
        </is>
      </c>
      <c r="K130" t="inlineStr">
        <is>
          <t xml:space="preserve">внутренний</t>
        </is>
      </c>
    </row>
    <row r="131">
      <c r="A131" t="inlineStr">
        <is>
          <t xml:space="preserve">96</t>
        </is>
      </c>
      <c r="B131" t="inlineStr">
        <is>
          <t xml:space="preserve">Номинальных часов в дне</t>
        </is>
      </c>
      <c r="C131" t="inlineStr">
        <is>
          <t xml:space="preserve">не сверяется</t>
        </is>
      </c>
      <c r="E131" t="inlineStr">
        <is>
          <t xml:space="preserve">nominal_hours</t>
        </is>
      </c>
      <c r="F131" t="inlineStr">
        <is>
          <t xml:space="preserve">const</t>
        </is>
      </c>
      <c r="G131" t="inlineStr">
        <is>
          <t xml:space="preserve">ед.: ч</t>
        </is>
      </c>
      <c r="H131" t="inlineStr">
        <is>
          <t xml:space="preserve">черновик</t>
        </is>
      </c>
      <c r="J131" t="inlineStr">
        <is>
          <t xml:space="preserve">8</t>
        </is>
      </c>
      <c r="K131" t="inlineStr">
        <is>
          <t xml:space="preserve">внутренний</t>
        </is>
      </c>
    </row>
    <row r="132">
      <c r="A132" t="inlineStr">
        <is>
          <t xml:space="preserve">97</t>
        </is>
      </c>
      <c r="B132" t="inlineStr">
        <is>
          <t xml:space="preserve">Рабочих месяцев в году</t>
        </is>
      </c>
      <c r="C132" t="inlineStr">
        <is>
          <t xml:space="preserve">не сверяется</t>
        </is>
      </c>
      <c r="E132" t="inlineStr">
        <is>
          <t xml:space="preserve">work_months</t>
        </is>
      </c>
      <c r="F132" t="inlineStr">
        <is>
          <t xml:space="preserve">const</t>
        </is>
      </c>
      <c r="G132" t="inlineStr">
        <is>
          <t xml:space="preserve">ед.: мес</t>
        </is>
      </c>
      <c r="H132" t="inlineStr">
        <is>
          <t xml:space="preserve">черновик</t>
        </is>
      </c>
      <c r="J132" t="inlineStr">
        <is>
          <t xml:space="preserve">11</t>
        </is>
      </c>
      <c r="K132" t="inlineStr">
        <is>
          <t xml:space="preserve">внутренний</t>
        </is>
      </c>
    </row>
    <row r="133">
      <c r="A133" t="inlineStr">
        <is>
          <t xml:space="preserve">98</t>
        </is>
      </c>
      <c r="B133" t="inlineStr">
        <is>
          <t xml:space="preserve">Отпуск, календарных дней</t>
        </is>
      </c>
      <c r="C133" t="inlineStr">
        <is>
          <t xml:space="preserve">тождественно</t>
        </is>
      </c>
      <c r="D133" t="inlineStr">
        <is>
          <t xml:space="preserve">Отпуск — Период временного освобождения специалиста от работы для отдыха и восстановления, предусмотренный трудовым законодательством или установленный самим специалистом.</t>
        </is>
      </c>
      <c r="E133" t="inlineStr">
        <is>
          <t xml:space="preserve">vacation_cal</t>
        </is>
      </c>
      <c r="F133" t="inlineStr">
        <is>
          <t xml:space="preserve">const</t>
        </is>
      </c>
      <c r="G133" t="inlineStr">
        <is>
          <t xml:space="preserve">ед.: дн</t>
        </is>
      </c>
      <c r="H133" t="inlineStr">
        <is>
          <t xml:space="preserve">черновик</t>
        </is>
      </c>
      <c r="J133" t="inlineStr">
        <is>
          <t xml:space="preserve">28</t>
        </is>
      </c>
      <c r="K133" t="inlineStr">
        <is>
          <t xml:space="preserve">общий</t>
        </is>
      </c>
    </row>
    <row r="134">
      <c r="A134" t="inlineStr">
        <is>
          <t xml:space="preserve">99</t>
        </is>
      </c>
      <c r="B134" t="inlineStr">
        <is>
          <t xml:space="preserve">Отпуск, рабочих дней</t>
        </is>
      </c>
      <c r="C134" t="inlineStr">
        <is>
          <t xml:space="preserve">тождественно</t>
        </is>
      </c>
      <c r="D134" t="inlineStr">
        <is>
          <t xml:space="preserve">Отпуск — Период временного освобождения специалиста от работы для отдыха и восстановления, предусмотренный трудовым законодательством или установленный самим специалистом.</t>
        </is>
      </c>
      <c r="E134" t="inlineStr">
        <is>
          <t xml:space="preserve">vacation_work</t>
        </is>
      </c>
      <c r="F134" t="inlineStr">
        <is>
          <t xml:space="preserve">const</t>
        </is>
      </c>
      <c r="G134" t="inlineStr">
        <is>
          <t xml:space="preserve">ед.: дн</t>
        </is>
      </c>
      <c r="H134" t="inlineStr">
        <is>
          <t xml:space="preserve">черновик</t>
        </is>
      </c>
      <c r="J134" t="inlineStr">
        <is>
          <t xml:space="preserve">20</t>
        </is>
      </c>
      <c r="K134" t="inlineStr">
        <is>
          <t xml:space="preserve">общий</t>
        </is>
      </c>
    </row>
    <row r="135">
      <c r="A135" t="inlineStr">
        <is>
          <t xml:space="preserve">100</t>
        </is>
      </c>
      <c r="B135" t="inlineStr">
        <is>
          <t xml:space="preserve">Больничный, календарных дней</t>
        </is>
      </c>
      <c r="C135" t="inlineStr">
        <is>
          <t xml:space="preserve">тождественно</t>
        </is>
      </c>
      <c r="D135" t="inlineStr">
        <is>
          <t xml:space="preserve">Больничный — Период временной нетрудоспособности из-за болезни или травмы, в течение которого человек освобождён от работы.</t>
        </is>
      </c>
      <c r="E135" t="inlineStr">
        <is>
          <t xml:space="preserve">sick_cal</t>
        </is>
      </c>
      <c r="F135" t="inlineStr">
        <is>
          <t xml:space="preserve">const</t>
        </is>
      </c>
      <c r="G135" t="inlineStr">
        <is>
          <t xml:space="preserve">ед.: дн</t>
        </is>
      </c>
      <c r="H135" t="inlineStr">
        <is>
          <t xml:space="preserve">черновик</t>
        </is>
      </c>
      <c r="J135" t="inlineStr">
        <is>
          <t xml:space="preserve">10</t>
        </is>
      </c>
      <c r="K135" t="inlineStr">
        <is>
          <t xml:space="preserve">общий</t>
        </is>
      </c>
    </row>
    <row r="136">
      <c r="A136" t="inlineStr">
        <is>
          <t xml:space="preserve">101</t>
        </is>
      </c>
      <c r="B136" t="inlineStr">
        <is>
          <t xml:space="preserve">Больничный, рабочих дней</t>
        </is>
      </c>
      <c r="C136" t="inlineStr">
        <is>
          <t xml:space="preserve">тождественно</t>
        </is>
      </c>
      <c r="D136" t="inlineStr">
        <is>
          <t xml:space="preserve">Больничный — Период временной нетрудоспособности из-за болезни или травмы, в течение которого человек освобождён от работы.</t>
        </is>
      </c>
      <c r="E136" t="inlineStr">
        <is>
          <t xml:space="preserve">sick_work</t>
        </is>
      </c>
      <c r="F136" t="inlineStr">
        <is>
          <t xml:space="preserve">const</t>
        </is>
      </c>
      <c r="G136" t="inlineStr">
        <is>
          <t xml:space="preserve">ед.: дн</t>
        </is>
      </c>
      <c r="H136" t="inlineStr">
        <is>
          <t xml:space="preserve">черновик</t>
        </is>
      </c>
      <c r="J136" t="inlineStr">
        <is>
          <t xml:space="preserve">8</t>
        </is>
      </c>
      <c r="K136" t="inlineStr">
        <is>
          <t xml:space="preserve">общий</t>
        </is>
      </c>
    </row>
    <row r="137">
      <c r="A137" t="inlineStr">
        <is>
          <t xml:space="preserve">102</t>
        </is>
      </c>
      <c r="B137" t="inlineStr">
        <is>
          <t xml:space="preserve">Чистых (эффективных) часов в дне</t>
        </is>
      </c>
      <c r="C137" t="inlineStr">
        <is>
          <t xml:space="preserve">переименовать</t>
        </is>
      </c>
      <c r="D137"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E137" t="inlineStr">
        <is>
          <t xml:space="preserve">eff_hours</t>
        </is>
      </c>
      <c r="F137" t="inlineStr">
        <is>
          <t xml:space="preserve">const</t>
        </is>
      </c>
      <c r="G137" t="inlineStr">
        <is>
          <t xml:space="preserve">ед.: ч</t>
        </is>
      </c>
      <c r="H137" t="inlineStr">
        <is>
          <t xml:space="preserve">черновик</t>
        </is>
      </c>
      <c r="J137" t="inlineStr">
        <is>
          <t xml:space="preserve">7</t>
        </is>
      </c>
      <c r="K137" t="inlineStr">
        <is>
          <t xml:space="preserve">общий</t>
        </is>
      </c>
      <c r="L137" t="inlineStr">
        <is>
          <t xml:space="preserve">Оставить как внутреннюю величину.</t>
        </is>
      </c>
    </row>
    <row r="138"/>
    <row r="139">
      <c r="A139" t="inlineStr">
        <is>
          <t xml:space="preserve">2 · Время</t>
        </is>
      </c>
    </row>
    <row r="140">
      <c r="A140" t="inlineStr">
        <is>
          <t xml:space="preserve">№</t>
        </is>
      </c>
      <c r="B140" t="inlineStr">
        <is>
          <t xml:space="preserve">Наименование</t>
        </is>
      </c>
      <c r="C140" t="inlineStr">
        <is>
          <t xml:space="preserve">Статус (временный)</t>
        </is>
      </c>
      <c r="D140" t="inlineStr">
        <is>
          <t xml:space="preserve">Справочник · для сверки (временный)</t>
        </is>
      </c>
      <c r="E140" t="inlineStr">
        <is>
          <t xml:space="preserve">ID</t>
        </is>
      </c>
      <c r="F140" t="inlineStr">
        <is>
          <t xml:space="preserve">Тип</t>
        </is>
      </c>
      <c r="G140" t="inlineStr">
        <is>
          <t xml:space="preserve">Определение</t>
        </is>
      </c>
      <c r="H140" t="inlineStr">
        <is>
          <t xml:space="preserve">Определение утверждено</t>
        </is>
      </c>
      <c r="I140" t="inlineStr">
        <is>
          <t xml:space="preserve">Описание алгоритма</t>
        </is>
      </c>
      <c r="J140" t="inlineStr">
        <is>
          <t xml:space="preserve">Формула (пример расчёта)</t>
        </is>
      </c>
      <c r="K140" t="inlineStr">
        <is>
          <t xml:space="preserve">Где используется</t>
        </is>
      </c>
      <c r="L140" t="inlineStr">
        <is>
          <t xml:space="preserve">Решение (временный)</t>
        </is>
      </c>
    </row>
    <row r="141">
      <c r="A141" t="inlineStr">
        <is>
          <t xml:space="preserve">103</t>
        </is>
      </c>
      <c r="B141" t="inlineStr">
        <is>
          <t xml:space="preserve">Рабочее время по календарю</t>
        </is>
      </c>
      <c r="C141" t="inlineStr">
        <is>
          <t xml:space="preserve">тождественно</t>
        </is>
      </c>
      <c r="D141" t="inlineStr">
        <is>
          <t xml:space="preserve">Рабочее время — 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t>
        </is>
      </c>
      <c r="E141" t="inlineStr">
        <is>
          <t xml:space="preserve">work_time</t>
        </is>
      </c>
      <c r="F141" t="inlineStr">
        <is>
          <t xml:space="preserve">calc</t>
        </is>
      </c>
      <c r="G141" t="inlineStr">
        <is>
          <t xml:space="preserve">ед.: ч/год · зависит от: work_days, nominal_hours</t>
        </is>
      </c>
      <c r="H141" t="inlineStr">
        <is>
          <t xml:space="preserve">черновик</t>
        </is>
      </c>
      <c r="J141" t="inlineStr">
        <is>
          <t xml:space="preserve">work_days*nominal_hours</t>
        </is>
      </c>
      <c r="K141" t="inlineStr">
        <is>
          <t xml:space="preserve">общий</t>
        </is>
      </c>
    </row>
    <row r="142">
      <c r="A142" t="inlineStr">
        <is>
          <t xml:space="preserve">104</t>
        </is>
      </c>
      <c r="B142" t="inlineStr">
        <is>
          <t xml:space="preserve">Чистое рабочее время, дней</t>
        </is>
      </c>
      <c r="C142" t="inlineStr">
        <is>
          <t xml:space="preserve">переименовать</t>
        </is>
      </c>
      <c r="D142"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E142" t="inlineStr">
        <is>
          <t xml:space="preserve">net_days</t>
        </is>
      </c>
      <c r="F142" t="inlineStr">
        <is>
          <t xml:space="preserve">calc</t>
        </is>
      </c>
      <c r="G142" t="inlineStr">
        <is>
          <t xml:space="preserve">ед.: дн/год · зависит от: work_days, vacation_work, sick_work</t>
        </is>
      </c>
      <c r="H142" t="inlineStr">
        <is>
          <t xml:space="preserve">черновик</t>
        </is>
      </c>
      <c r="J142" t="inlineStr">
        <is>
          <t xml:space="preserve">work_days-vacation_work-sick_work</t>
        </is>
      </c>
      <c r="K142" t="inlineStr">
        <is>
          <t xml:space="preserve">общий</t>
        </is>
      </c>
      <c r="L142" t="inlineStr">
        <is>
          <t xml:space="preserve">Удалить. Остаётся «Эффективное рабочее время».</t>
        </is>
      </c>
    </row>
    <row r="143">
      <c r="A143" t="inlineStr">
        <is>
          <t xml:space="preserve">105</t>
        </is>
      </c>
      <c r="B143" t="inlineStr">
        <is>
          <t xml:space="preserve">ЧИСТОЕ время</t>
        </is>
      </c>
      <c r="C143" t="inlineStr">
        <is>
          <t xml:space="preserve">переименовать</t>
        </is>
      </c>
      <c r="D143"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E143" t="inlineStr">
        <is>
          <t xml:space="preserve">net_time</t>
        </is>
      </c>
      <c r="F143" t="inlineStr">
        <is>
          <t xml:space="preserve">calc</t>
        </is>
      </c>
      <c r="G143" t="inlineStr">
        <is>
          <t xml:space="preserve">ед.: ч/год · зависит от: net_days, eff_hours</t>
        </is>
      </c>
      <c r="H143" t="inlineStr">
        <is>
          <t xml:space="preserve">черновик</t>
        </is>
      </c>
      <c r="J143" t="inlineStr">
        <is>
          <t xml:space="preserve">net_days*eff_hours</t>
        </is>
      </c>
      <c r="K143" t="inlineStr">
        <is>
          <t xml:space="preserve">общий</t>
        </is>
      </c>
      <c r="L143" t="inlineStr">
        <is>
          <t xml:space="preserve">Удалить. Остаётся «Эффективное рабочее время».</t>
        </is>
      </c>
    </row>
    <row r="144">
      <c r="A144" t="inlineStr">
        <is>
          <t xml:space="preserve">106</t>
        </is>
      </c>
      <c r="B144" t="inlineStr">
        <is>
          <t xml:space="preserve">Чистое время, недель</t>
        </is>
      </c>
      <c r="C144" t="inlineStr">
        <is>
          <t xml:space="preserve">переименовать</t>
        </is>
      </c>
      <c r="D144"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E144" t="inlineStr">
        <is>
          <t xml:space="preserve">net_weeks</t>
        </is>
      </c>
      <c r="F144" t="inlineStr">
        <is>
          <t xml:space="preserve">calc</t>
        </is>
      </c>
      <c r="G144" t="inlineStr">
        <is>
          <t xml:space="preserve">ед.: нед · зависит от: net_days, days_week</t>
        </is>
      </c>
      <c r="H144" t="inlineStr">
        <is>
          <t xml:space="preserve">черновик</t>
        </is>
      </c>
      <c r="J144" t="inlineStr">
        <is>
          <t xml:space="preserve">net_days/days_week</t>
        </is>
      </c>
      <c r="K144" t="inlineStr">
        <is>
          <t xml:space="preserve">общий</t>
        </is>
      </c>
      <c r="L144" t="inlineStr">
        <is>
          <t xml:space="preserve">Удалить. Деление по периодам не заводим.</t>
        </is>
      </c>
    </row>
    <row r="145">
      <c r="A145" t="inlineStr">
        <is>
          <t xml:space="preserve">107</t>
        </is>
      </c>
      <c r="B145" t="inlineStr">
        <is>
          <t xml:space="preserve">Продвижение, часов в день</t>
        </is>
      </c>
      <c r="C145" t="inlineStr">
        <is>
          <t xml:space="preserve">тождественно</t>
        </is>
      </c>
      <c r="D145"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c r="E145" t="inlineStr">
        <is>
          <t xml:space="preserve">promo_per_day</t>
        </is>
      </c>
      <c r="F145" t="inlineStr">
        <is>
          <t xml:space="preserve">default</t>
        </is>
      </c>
      <c r="G145" t="inlineStr">
        <is>
          <t xml:space="preserve">ед.: ч/дн</t>
        </is>
      </c>
      <c r="H145" t="inlineStr">
        <is>
          <t xml:space="preserve">черновик</t>
        </is>
      </c>
      <c r="J145" t="inlineStr">
        <is>
          <t xml:space="preserve">2</t>
        </is>
      </c>
      <c r="K145" t="inlineStr">
        <is>
          <t xml:space="preserve">общий</t>
        </is>
      </c>
    </row>
    <row r="146">
      <c r="A146" t="inlineStr">
        <is>
          <t xml:space="preserve">108</t>
        </is>
      </c>
      <c r="B146" t="inlineStr">
        <is>
          <t xml:space="preserve">Продвижение за год</t>
        </is>
      </c>
      <c r="C146" t="inlineStr">
        <is>
          <t xml:space="preserve">тождественно</t>
        </is>
      </c>
      <c r="D146"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c r="E146" t="inlineStr">
        <is>
          <t xml:space="preserve">promo_time</t>
        </is>
      </c>
      <c r="F146" t="inlineStr">
        <is>
          <t xml:space="preserve">calc</t>
        </is>
      </c>
      <c r="G146" t="inlineStr">
        <is>
          <t xml:space="preserve">ед.: ч/год · зависит от: promo_per_day, net_days</t>
        </is>
      </c>
      <c r="H146" t="inlineStr">
        <is>
          <t xml:space="preserve">черновик</t>
        </is>
      </c>
      <c r="J146" t="inlineStr">
        <is>
          <t xml:space="preserve">promo_per_day*net_days</t>
        </is>
      </c>
      <c r="K146" t="inlineStr">
        <is>
          <t xml:space="preserve">общий</t>
        </is>
      </c>
    </row>
    <row r="147">
      <c r="A147" t="inlineStr">
        <is>
          <t xml:space="preserve">109</t>
        </is>
      </c>
      <c r="B147" t="inlineStr">
        <is>
          <t xml:space="preserve">ПЕРЕКЛЮЧАТЕЛЬ · учёт и планирование</t>
        </is>
      </c>
      <c r="C147" t="inlineStr">
        <is>
          <t xml:space="preserve">переименовать</t>
        </is>
      </c>
      <c r="D147"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c r="E147" t="inlineStr">
        <is>
          <t xml:space="preserve">acc_mode</t>
        </is>
      </c>
      <c r="F147" t="inlineStr">
        <is>
          <t xml:space="preserve">switch</t>
        </is>
      </c>
      <c r="J147" t="inlineStr">
        <is>
          <t xml:space="preserve">Веду самостоятельно</t>
        </is>
      </c>
      <c r="K147" t="inlineStr">
        <is>
          <t xml:space="preserve">общий</t>
        </is>
      </c>
    </row>
    <row r="148">
      <c r="A148" t="inlineStr">
        <is>
          <t xml:space="preserve">110</t>
        </is>
      </c>
      <c r="B148" t="inlineStr">
        <is>
          <t xml:space="preserve">Учёт: часов в квартал, если веду сам</t>
        </is>
      </c>
      <c r="C148" t="inlineStr">
        <is>
          <t xml:space="preserve">тождественно</t>
        </is>
      </c>
      <c r="D148"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c r="E148" t="inlineStr">
        <is>
          <t xml:space="preserve">acc_per_quarter</t>
        </is>
      </c>
      <c r="F148" t="inlineStr">
        <is>
          <t xml:space="preserve">default</t>
        </is>
      </c>
      <c r="G148" t="inlineStr">
        <is>
          <t xml:space="preserve">ед.: ч/кв</t>
        </is>
      </c>
      <c r="H148" t="inlineStr">
        <is>
          <t xml:space="preserve">черновик</t>
        </is>
      </c>
      <c r="J148" t="inlineStr">
        <is>
          <t xml:space="preserve">3</t>
        </is>
      </c>
      <c r="K148" t="inlineStr">
        <is>
          <t xml:space="preserve">общий</t>
        </is>
      </c>
    </row>
    <row r="149">
      <c r="A149" t="inlineStr">
        <is>
          <t xml:space="preserve">111</t>
        </is>
      </c>
      <c r="B149" t="inlineStr">
        <is>
          <t xml:space="preserve">Учёт и планирование, время</t>
        </is>
      </c>
      <c r="C149" t="inlineStr">
        <is>
          <t xml:space="preserve">тождественно</t>
        </is>
      </c>
      <c r="D149"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c r="E149" t="inlineStr">
        <is>
          <t xml:space="preserve">accounting_time</t>
        </is>
      </c>
      <c r="F149" t="inlineStr">
        <is>
          <t xml:space="preserve">calc</t>
        </is>
      </c>
      <c r="G149" t="inlineStr">
        <is>
          <t xml:space="preserve">ед.: ч/год · зависит от: acc_mode, acc_per_quarter, quarters</t>
        </is>
      </c>
      <c r="H149" t="inlineStr">
        <is>
          <t xml:space="preserve">черновик</t>
        </is>
      </c>
      <c r="J149" t="inlineStr">
        <is>
          <t xml:space="preserve">IF(acc_mode="Веду самостоятельно",acc_per_quarter*quarters,0)</t>
        </is>
      </c>
      <c r="K149" t="inlineStr">
        <is>
          <t xml:space="preserve">общий</t>
        </is>
      </c>
    </row>
    <row r="150">
      <c r="A150" t="inlineStr">
        <is>
          <t xml:space="preserve">112</t>
        </is>
      </c>
      <c r="B150" t="inlineStr">
        <is>
          <t xml:space="preserve">ОПЕРАЦИОННОЕ время</t>
        </is>
      </c>
      <c r="C150" t="inlineStr">
        <is>
          <t xml:space="preserve">тождественно</t>
        </is>
      </c>
      <c r="D150" t="inlineStr">
        <is>
          <t xml:space="preserve">Операционное время — 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c r="E150" t="inlineStr">
        <is>
          <t xml:space="preserve">side_time</t>
        </is>
      </c>
      <c r="F150" t="inlineStr">
        <is>
          <t xml:space="preserve">calc</t>
        </is>
      </c>
      <c r="G150" t="inlineStr">
        <is>
          <t xml:space="preserve">ед.: ч/год · зависит от: promo_time, accounting_time</t>
        </is>
      </c>
      <c r="H150" t="inlineStr">
        <is>
          <t xml:space="preserve">черновик</t>
        </is>
      </c>
      <c r="I150" t="inlineStr">
        <is>
          <t xml:space="preserve">Складываем часы на все задачи, которые не создают результат для клиента напрямую: продвижение и поиск заказов, работа с клиентом, бухгалтерия и учёт, планирование и организационные дела.</t>
        </is>
      </c>
      <c r="J150" t="inlineStr">
        <is>
          <t xml:space="preserve">promo_time+accounting_time</t>
        </is>
      </c>
      <c r="K150" t="inlineStr">
        <is>
          <t xml:space="preserve">общий</t>
        </is>
      </c>
      <c r="L150" t="inlineStr">
        <is>
          <t xml:space="preserve">Определение утверждено, внесено в справочник.</t>
        </is>
      </c>
    </row>
    <row r="151">
      <c r="A151" t="inlineStr">
        <is>
          <t xml:space="preserve">113</t>
        </is>
      </c>
      <c r="B151" t="inlineStr">
        <is>
          <t xml:space="preserve">ПРОЕКТНОЕ время за год</t>
        </is>
      </c>
      <c r="C151" t="inlineStr">
        <is>
          <t xml:space="preserve">тождественно</t>
        </is>
      </c>
      <c r="D151"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c r="E151" t="inlineStr">
        <is>
          <t xml:space="preserve">project_pool</t>
        </is>
      </c>
      <c r="F151" t="inlineStr">
        <is>
          <t xml:space="preserve">calc</t>
        </is>
      </c>
      <c r="G151" t="inlineStr">
        <is>
          <t xml:space="preserve">ед.: ч/год · зависит от: pool_gross, fm_time</t>
        </is>
      </c>
      <c r="H151" t="inlineStr">
        <is>
          <t xml:space="preserve">черновик</t>
        </is>
      </c>
      <c r="J151" t="inlineStr">
        <is>
          <t xml:space="preserve">pool_gross-fm_time</t>
        </is>
      </c>
      <c r="K151" t="inlineStr">
        <is>
          <t xml:space="preserve">общий</t>
        </is>
      </c>
      <c r="L151" t="inlineStr">
        <is>
          <t xml:space="preserve">Объединить: одно понятие «Проектное время», без периодов.</t>
        </is>
      </c>
    </row>
    <row r="152"/>
    <row r="153">
      <c r="A153" t="inlineStr">
        <is>
          <t xml:space="preserve">3 · Проект</t>
        </is>
      </c>
    </row>
    <row r="154">
      <c r="A154" t="inlineStr">
        <is>
          <t xml:space="preserve">№</t>
        </is>
      </c>
      <c r="B154" t="inlineStr">
        <is>
          <t xml:space="preserve">Наименование</t>
        </is>
      </c>
      <c r="C154" t="inlineStr">
        <is>
          <t xml:space="preserve">Статус (временный)</t>
        </is>
      </c>
      <c r="D154" t="inlineStr">
        <is>
          <t xml:space="preserve">Справочник · для сверки (временный)</t>
        </is>
      </c>
      <c r="E154" t="inlineStr">
        <is>
          <t xml:space="preserve">ID</t>
        </is>
      </c>
      <c r="F154" t="inlineStr">
        <is>
          <t xml:space="preserve">Тип</t>
        </is>
      </c>
      <c r="G154" t="inlineStr">
        <is>
          <t xml:space="preserve">Определение</t>
        </is>
      </c>
      <c r="H154" t="inlineStr">
        <is>
          <t xml:space="preserve">Определение утверждено</t>
        </is>
      </c>
      <c r="I154" t="inlineStr">
        <is>
          <t xml:space="preserve">Описание алгоритма</t>
        </is>
      </c>
      <c r="J154" t="inlineStr">
        <is>
          <t xml:space="preserve">Формула (пример расчёта)</t>
        </is>
      </c>
      <c r="K154" t="inlineStr">
        <is>
          <t xml:space="preserve">Где используется</t>
        </is>
      </c>
      <c r="L154" t="inlineStr">
        <is>
          <t xml:space="preserve">Решение (временный)</t>
        </is>
      </c>
    </row>
    <row r="155">
      <c r="A155" t="inlineStr">
        <is>
          <t xml:space="preserve">114</t>
        </is>
      </c>
      <c r="B155" t="inlineStr">
        <is>
          <t xml:space="preserve">Коэффициент обработки</t>
        </is>
      </c>
      <c r="C155" t="inlineStr">
        <is>
          <t xml:space="preserve">переименовать</t>
        </is>
      </c>
      <c r="D155" t="inlineStr">
        <is>
          <t xml:space="preserve">Первичная обработка — 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c r="E155" t="inlineStr">
        <is>
          <t xml:space="preserve">post_ratio</t>
        </is>
      </c>
      <c r="F155" t="inlineStr">
        <is>
          <t xml:space="preserve">default</t>
        </is>
      </c>
      <c r="G155" t="inlineStr">
        <is>
          <t xml:space="preserve">ед.: ×</t>
        </is>
      </c>
      <c r="H155" t="inlineStr">
        <is>
          <t xml:space="preserve">черновик</t>
        </is>
      </c>
      <c r="J155" t="inlineStr">
        <is>
          <t xml:space="preserve">3</t>
        </is>
      </c>
      <c r="K155" t="inlineStr">
        <is>
          <t xml:space="preserve">общий</t>
        </is>
      </c>
    </row>
    <row r="156">
      <c r="A156" t="inlineStr">
        <is>
          <t xml:space="preserve">115</t>
        </is>
      </c>
      <c r="B156" t="inlineStr">
        <is>
          <t xml:space="preserve">Множитель профильного времени</t>
        </is>
      </c>
      <c r="C156" t="inlineStr">
        <is>
          <t xml:space="preserve">не сверяется</t>
        </is>
      </c>
      <c r="E156" t="inlineStr">
        <is>
          <t xml:space="preserve">profile_multiplier</t>
        </is>
      </c>
      <c r="F156" t="inlineStr">
        <is>
          <t xml:space="preserve">calc</t>
        </is>
      </c>
      <c r="G156" t="inlineStr">
        <is>
          <t xml:space="preserve">ед.: × · зависит от: post_ratio</t>
        </is>
      </c>
      <c r="H156" t="inlineStr">
        <is>
          <t xml:space="preserve">черновик</t>
        </is>
      </c>
      <c r="J156" t="inlineStr">
        <is>
          <t xml:space="preserve">1+post_ratio</t>
        </is>
      </c>
      <c r="K156" t="inlineStr">
        <is>
          <t xml:space="preserve">внутренний</t>
        </is>
      </c>
    </row>
    <row r="157">
      <c r="A157" t="inlineStr">
        <is>
          <t xml:space="preserve">116</t>
        </is>
      </c>
      <c r="B157" t="inlineStr">
        <is>
          <t xml:space="preserve">Работа с клиентом на проект</t>
        </is>
      </c>
      <c r="C157" t="inlineStr">
        <is>
          <t xml:space="preserve">переименовать</t>
        </is>
      </c>
      <c r="D157" t="inlineStr">
        <is>
          <t xml:space="preserve">Проектная работа с клиентами — 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c r="E157" t="inlineStr">
        <is>
          <t xml:space="preserve">client_time</t>
        </is>
      </c>
      <c r="F157" t="inlineStr">
        <is>
          <t xml:space="preserve">default</t>
        </is>
      </c>
      <c r="G157" t="inlineStr">
        <is>
          <t xml:space="preserve">ед.: ч/проект</t>
        </is>
      </c>
      <c r="H157" t="inlineStr">
        <is>
          <t xml:space="preserve">черновик</t>
        </is>
      </c>
      <c r="J157" t="inlineStr">
        <is>
          <t xml:space="preserve">1</t>
        </is>
      </c>
      <c r="K157" t="inlineStr">
        <is>
          <t xml:space="preserve">общий</t>
        </is>
      </c>
      <c r="L157" t="inlineStr">
        <is>
          <t xml:space="preserve">Это «Проектная работа с клиентами».</t>
        </is>
      </c>
    </row>
    <row r="158">
      <c r="A158" t="inlineStr">
        <is>
          <t xml:space="preserve">117</t>
        </is>
      </c>
      <c r="B158" t="inlineStr">
        <is>
          <t xml:space="preserve">Целевых проектов в неделю</t>
        </is>
      </c>
      <c r="C158" t="inlineStr">
        <is>
          <t xml:space="preserve">не сверяется</t>
        </is>
      </c>
      <c r="E158" t="inlineStr">
        <is>
          <t xml:space="preserve">week_target</t>
        </is>
      </c>
      <c r="F158" t="inlineStr">
        <is>
          <t xml:space="preserve">default</t>
        </is>
      </c>
      <c r="G158" t="inlineStr">
        <is>
          <t xml:space="preserve">ед.: шт/нед</t>
        </is>
      </c>
      <c r="H158" t="inlineStr">
        <is>
          <t xml:space="preserve">черновик</t>
        </is>
      </c>
      <c r="J158" t="inlineStr">
        <is>
          <t xml:space="preserve">1</t>
        </is>
      </c>
      <c r="K158" t="inlineStr">
        <is>
          <t xml:space="preserve">внутренний</t>
        </is>
      </c>
    </row>
    <row r="159">
      <c r="A159" t="inlineStr">
        <is>
          <t xml:space="preserve">118</t>
        </is>
      </c>
      <c r="B159" t="inlineStr">
        <is>
          <t xml:space="preserve">Максимальная съёмка при целевом темпе</t>
        </is>
      </c>
      <c r="C159" t="inlineStr">
        <is>
          <t xml:space="preserve">переименовать</t>
        </is>
      </c>
      <c r="D159" t="inlineStr">
        <is>
          <t xml:space="preserve">Продолжительность съёмки — Время, затрачиваемое специалистом непосредственно на проведение съёмочных работ, от начала до завершения съёмки.</t>
        </is>
      </c>
      <c r="E159" t="inlineStr">
        <is>
          <t xml:space="preserve">shoot_auto</t>
        </is>
      </c>
      <c r="F159" t="inlineStr">
        <is>
          <t xml:space="preserve">calc</t>
        </is>
      </c>
      <c r="G159" t="inlineStr">
        <is>
          <t xml:space="preserve">ед.: ч · зависит от: project_pool, net_weeks, week_target, client_time, profile_multiplier</t>
        </is>
      </c>
      <c r="H159" t="inlineStr">
        <is>
          <t xml:space="preserve">черновик</t>
        </is>
      </c>
      <c r="J159" t="inlineStr">
        <is>
          <t xml:space="preserve">IF(profile_multiplier*week_target=0,0,(project_pool/net_weeks/week_target-client_time)/profile_multiplier)</t>
        </is>
      </c>
      <c r="K159" t="inlineStr">
        <is>
          <t xml:space="preserve">общий</t>
        </is>
      </c>
    </row>
    <row r="160">
      <c r="A160" t="inlineStr">
        <is>
          <t xml:space="preserve">119</t>
        </is>
      </c>
      <c r="B160" t="inlineStr">
        <is>
          <t xml:space="preserve">ТИПОВАЯ продолжительность съёмки (S)</t>
        </is>
      </c>
      <c r="C160" t="inlineStr">
        <is>
          <t xml:space="preserve">переименовать</t>
        </is>
      </c>
      <c r="D160" t="inlineStr">
        <is>
          <t xml:space="preserve">Продолжительность съёмки — Время, затрачиваемое специалистом непосредственно на проведение съёмочных работ, от начала до завершения съёмки.</t>
        </is>
      </c>
      <c r="E160" t="inlineStr">
        <is>
          <t xml:space="preserve">shoot_duration</t>
        </is>
      </c>
      <c r="F160" t="inlineStr">
        <is>
          <t xml:space="preserve">default</t>
        </is>
      </c>
      <c r="G160" t="inlineStr">
        <is>
          <t xml:space="preserve">ед.: ч</t>
        </is>
      </c>
      <c r="H160" t="inlineStr">
        <is>
          <t xml:space="preserve">черновик</t>
        </is>
      </c>
      <c r="J160" t="inlineStr">
        <is>
          <t xml:space="preserve">2</t>
        </is>
      </c>
      <c r="K160" t="inlineStr">
        <is>
          <t xml:space="preserve">общий</t>
        </is>
      </c>
    </row>
    <row r="161">
      <c r="A161" t="inlineStr">
        <is>
          <t xml:space="preserve">120</t>
        </is>
      </c>
      <c r="B161" t="inlineStr">
        <is>
          <t xml:space="preserve">Стоимость часа проектного времени</t>
        </is>
      </c>
      <c r="C161" t="inlineStr">
        <is>
          <t xml:space="preserve">переименовать</t>
        </is>
      </c>
      <c r="D161" t="inlineStr">
        <is>
          <t xml:space="preserve">Стоимость клиентского часа — 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c r="E161" t="inlineStr">
        <is>
          <t xml:space="preserve">hour_pool</t>
        </is>
      </c>
      <c r="F161" t="inlineStr">
        <is>
          <t xml:space="preserve">calc</t>
        </is>
      </c>
      <c r="G161" t="inlineStr">
        <is>
          <t xml:space="preserve">ед.: ₽/ч · зависит от: выручка, project_pool</t>
        </is>
      </c>
      <c r="H161" t="inlineStr">
        <is>
          <t xml:space="preserve">черновик</t>
        </is>
      </c>
      <c r="J161" t="inlineStr">
        <is>
          <t xml:space="preserve">IF(project_pool=0,0,CHOOSE(regime_no,'05_Расчёт'!B4,'05_Расчёт'!C4,'05_Расчёт'!D4,'05_Расчёт'!E4,'05_Расчёт'!F4,'05_Расчёт'!G4,'05_Расчёт'!H4)/project_pool)</t>
        </is>
      </c>
      <c r="K161" t="inlineStr">
        <is>
          <t xml:space="preserve">общий</t>
        </is>
      </c>
    </row>
    <row r="162">
      <c r="A162" t="inlineStr">
        <is>
          <t xml:space="preserve">121</t>
        </is>
      </c>
      <c r="B162" t="inlineStr">
        <is>
          <t xml:space="preserve">ПРОЕКТНОЕ время на 1 проект</t>
        </is>
      </c>
      <c r="C162" t="inlineStr">
        <is>
          <t xml:space="preserve">тождественно</t>
        </is>
      </c>
      <c r="D162"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c r="E162" t="inlineStr">
        <is>
          <t xml:space="preserve">project_time</t>
        </is>
      </c>
      <c r="F162" t="inlineStr">
        <is>
          <t xml:space="preserve">calc</t>
        </is>
      </c>
      <c r="G162" t="inlineStr">
        <is>
          <t xml:space="preserve">ед.: ч/проект · зависит от: shoot_duration, profile_multiplier, client_time</t>
        </is>
      </c>
      <c r="H162" t="inlineStr">
        <is>
          <t xml:space="preserve">черновик</t>
        </is>
      </c>
      <c r="J162" t="inlineStr">
        <is>
          <t xml:space="preserve">shoot_duration*profile_multiplier+client_time</t>
        </is>
      </c>
      <c r="K162" t="inlineStr">
        <is>
          <t xml:space="preserve">общий</t>
        </is>
      </c>
    </row>
    <row r="163">
      <c r="A163" t="inlineStr">
        <is>
          <t xml:space="preserve">122</t>
        </is>
      </c>
      <c r="B163" t="inlineStr">
        <is>
          <t xml:space="preserve">Проектов в год</t>
        </is>
      </c>
      <c r="C163" t="inlineStr">
        <is>
          <t xml:space="preserve">не сверяется</t>
        </is>
      </c>
      <c r="E163" t="inlineStr">
        <is>
          <t xml:space="preserve">projects_year</t>
        </is>
      </c>
      <c r="F163" t="inlineStr">
        <is>
          <t xml:space="preserve">calc</t>
        </is>
      </c>
      <c r="G163" t="inlineStr">
        <is>
          <t xml:space="preserve">ед.: шт/год · зависит от: project_pool, project_time</t>
        </is>
      </c>
      <c r="H163" t="inlineStr">
        <is>
          <t xml:space="preserve">черновик</t>
        </is>
      </c>
      <c r="J163" t="inlineStr">
        <is>
          <t xml:space="preserve">IF(project_time=0,0,project_pool/project_time)</t>
        </is>
      </c>
      <c r="K163" t="inlineStr">
        <is>
          <t xml:space="preserve">внутренний</t>
        </is>
      </c>
      <c r="L163" t="inlineStr">
        <is>
          <t xml:space="preserve">Деление по периодам не заводим — один параметр.</t>
        </is>
      </c>
    </row>
    <row r="164">
      <c r="A164" t="inlineStr">
        <is>
          <t xml:space="preserve">123</t>
        </is>
      </c>
      <c r="B164" t="inlineStr">
        <is>
          <t xml:space="preserve">Проектов в месяц</t>
        </is>
      </c>
      <c r="C164" t="inlineStr">
        <is>
          <t xml:space="preserve">не сверяется</t>
        </is>
      </c>
      <c r="E164" t="inlineStr">
        <is>
          <t xml:space="preserve">projects_month</t>
        </is>
      </c>
      <c r="F164" t="inlineStr">
        <is>
          <t xml:space="preserve">calc</t>
        </is>
      </c>
      <c r="G164" t="inlineStr">
        <is>
          <t xml:space="preserve">ед.: шт/мес · зависит от: projects_year, months</t>
        </is>
      </c>
      <c r="H164" t="inlineStr">
        <is>
          <t xml:space="preserve">черновик</t>
        </is>
      </c>
      <c r="J164" t="inlineStr">
        <is>
          <t xml:space="preserve">projects_year/months</t>
        </is>
      </c>
      <c r="K164" t="inlineStr">
        <is>
          <t xml:space="preserve">внутренний</t>
        </is>
      </c>
      <c r="L164" t="inlineStr">
        <is>
          <t xml:space="preserve">Деление по периодам не заводим — один параметр.</t>
        </is>
      </c>
    </row>
    <row r="165">
      <c r="A165" t="inlineStr">
        <is>
          <t xml:space="preserve">124</t>
        </is>
      </c>
      <c r="B165" t="inlineStr">
        <is>
          <t xml:space="preserve">Проектов в неделю</t>
        </is>
      </c>
      <c r="C165" t="inlineStr">
        <is>
          <t xml:space="preserve">не сверяется</t>
        </is>
      </c>
      <c r="E165" t="inlineStr">
        <is>
          <t xml:space="preserve">projects_week</t>
        </is>
      </c>
      <c r="F165" t="inlineStr">
        <is>
          <t xml:space="preserve">calc</t>
        </is>
      </c>
      <c r="G165" t="inlineStr">
        <is>
          <t xml:space="preserve">ед.: шт/нед · зависит от: projects_year, net_weeks</t>
        </is>
      </c>
      <c r="H165" t="inlineStr">
        <is>
          <t xml:space="preserve">черновик</t>
        </is>
      </c>
      <c r="J165" t="inlineStr">
        <is>
          <t xml:space="preserve">projects_year/net_weeks</t>
        </is>
      </c>
      <c r="K165" t="inlineStr">
        <is>
          <t xml:space="preserve">внутренний</t>
        </is>
      </c>
      <c r="L165" t="inlineStr">
        <is>
          <t xml:space="preserve">Деление по периодам не заводим — один параметр.</t>
        </is>
      </c>
    </row>
    <row r="166">
      <c r="A166" t="inlineStr">
        <is>
          <t xml:space="preserve">125</t>
        </is>
      </c>
      <c r="B166" t="inlineStr">
        <is>
          <t xml:space="preserve">СЪЁМОЧНОЕ время</t>
        </is>
      </c>
      <c r="C166" t="inlineStr">
        <is>
          <t xml:space="preserve">переименовать</t>
        </is>
      </c>
      <c r="D166"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c r="E166" t="inlineStr">
        <is>
          <t xml:space="preserve">shooting_time</t>
        </is>
      </c>
      <c r="F166" t="inlineStr">
        <is>
          <t xml:space="preserve">calc</t>
        </is>
      </c>
      <c r="G166" t="inlineStr">
        <is>
          <t xml:space="preserve">ед.: ч/год · зависит от: projects_year, shoot_duration</t>
        </is>
      </c>
      <c r="H166" t="inlineStr">
        <is>
          <t xml:space="preserve">черновик</t>
        </is>
      </c>
      <c r="J166" t="inlineStr">
        <is>
          <t xml:space="preserve">projects_year*shoot_duration</t>
        </is>
      </c>
      <c r="K166" t="inlineStr">
        <is>
          <t xml:space="preserve">общий</t>
        </is>
      </c>
      <c r="L166" t="inlineStr">
        <is>
          <t xml:space="preserve">Деление по периодам не заводим — один параметр.</t>
        </is>
      </c>
    </row>
    <row r="167">
      <c r="A167" t="inlineStr">
        <is>
          <t xml:space="preserve">126</t>
        </is>
      </c>
      <c r="B167" t="inlineStr">
        <is>
          <t xml:space="preserve">Съёмочное время в месяц</t>
        </is>
      </c>
      <c r="C167" t="inlineStr">
        <is>
          <t xml:space="preserve">переименовать</t>
        </is>
      </c>
      <c r="D167"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c r="E167" t="inlineStr">
        <is>
          <t xml:space="preserve">shooting_month</t>
        </is>
      </c>
      <c r="F167" t="inlineStr">
        <is>
          <t xml:space="preserve">calc</t>
        </is>
      </c>
      <c r="G167" t="inlineStr">
        <is>
          <t xml:space="preserve">ед.: ч/мес · зависит от: shooting_time, months</t>
        </is>
      </c>
      <c r="H167" t="inlineStr">
        <is>
          <t xml:space="preserve">черновик</t>
        </is>
      </c>
      <c r="J167" t="inlineStr">
        <is>
          <t xml:space="preserve">shooting_time/months</t>
        </is>
      </c>
      <c r="K167" t="inlineStr">
        <is>
          <t xml:space="preserve">общий</t>
        </is>
      </c>
      <c r="L167" t="inlineStr">
        <is>
          <t xml:space="preserve">Деление по периодам не заводим — один параметр.</t>
        </is>
      </c>
    </row>
    <row r="168">
      <c r="A168" t="inlineStr">
        <is>
          <t xml:space="preserve">127</t>
        </is>
      </c>
      <c r="B168" t="inlineStr">
        <is>
          <t xml:space="preserve">Съёмочное время в неделю</t>
        </is>
      </c>
      <c r="C168" t="inlineStr">
        <is>
          <t xml:space="preserve">переименовать</t>
        </is>
      </c>
      <c r="D168"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c r="E168" t="inlineStr">
        <is>
          <t xml:space="preserve">shooting_week</t>
        </is>
      </c>
      <c r="F168" t="inlineStr">
        <is>
          <t xml:space="preserve">calc</t>
        </is>
      </c>
      <c r="G168" t="inlineStr">
        <is>
          <t xml:space="preserve">ед.: ч/нед · зависит от: shooting_time, net_weeks</t>
        </is>
      </c>
      <c r="H168" t="inlineStr">
        <is>
          <t xml:space="preserve">черновик</t>
        </is>
      </c>
      <c r="J168" t="inlineStr">
        <is>
          <t xml:space="preserve">shooting_time/net_weeks</t>
        </is>
      </c>
      <c r="K168" t="inlineStr">
        <is>
          <t xml:space="preserve">общий</t>
        </is>
      </c>
      <c r="L168" t="inlineStr">
        <is>
          <t xml:space="preserve">Деление по периодам не заводим — один параметр.</t>
        </is>
      </c>
    </row>
    <row r="169">
      <c r="A169" t="inlineStr">
        <is>
          <t xml:space="preserve">128</t>
        </is>
      </c>
      <c r="B169" t="inlineStr">
        <is>
          <t xml:space="preserve">Постпродакшн за год</t>
        </is>
      </c>
      <c r="C169" t="inlineStr">
        <is>
          <t xml:space="preserve">тождественно</t>
        </is>
      </c>
      <c r="D169" t="inlineStr">
        <is>
          <t xml:space="preserve">Постпродакшн — Комплекс работ с отснятым материалом после завершения съёмки, направленных на его обработку, доработку и подготовку к передаче или публикации.</t>
        </is>
      </c>
      <c r="E169" t="inlineStr">
        <is>
          <t xml:space="preserve">post_time</t>
        </is>
      </c>
      <c r="F169" t="inlineStr">
        <is>
          <t xml:space="preserve">calc</t>
        </is>
      </c>
      <c r="G169" t="inlineStr">
        <is>
          <t xml:space="preserve">ед.: ч/год · зависит от: shooting_time, post_ratio</t>
        </is>
      </c>
      <c r="H169" t="inlineStr">
        <is>
          <t xml:space="preserve">черновик</t>
        </is>
      </c>
      <c r="J169" t="inlineStr">
        <is>
          <t xml:space="preserve">shooting_time*post_ratio</t>
        </is>
      </c>
      <c r="K169" t="inlineStr">
        <is>
          <t xml:space="preserve">общий</t>
        </is>
      </c>
    </row>
    <row r="170">
      <c r="A170" t="inlineStr">
        <is>
          <t xml:space="preserve">129</t>
        </is>
      </c>
      <c r="B170" t="inlineStr">
        <is>
          <t xml:space="preserve">ПРОФИЛЬНОЕ время</t>
        </is>
      </c>
      <c r="C170" t="inlineStr">
        <is>
          <t xml:space="preserve">не сверяется</t>
        </is>
      </c>
      <c r="E170" t="inlineStr">
        <is>
          <t xml:space="preserve">core_time</t>
        </is>
      </c>
      <c r="F170" t="inlineStr">
        <is>
          <t xml:space="preserve">calc</t>
        </is>
      </c>
      <c r="G170" t="inlineStr">
        <is>
          <t xml:space="preserve">ед.: ч/год · зависит от: shooting_time, profile_multiplier</t>
        </is>
      </c>
      <c r="H170" t="inlineStr">
        <is>
          <t xml:space="preserve">черновик</t>
        </is>
      </c>
      <c r="J170" t="inlineStr">
        <is>
          <t xml:space="preserve">shooting_time*profile_multiplier</t>
        </is>
      </c>
      <c r="K170" t="inlineStr">
        <is>
          <t xml:space="preserve">внутренний</t>
        </is>
      </c>
    </row>
    <row r="171">
      <c r="A171" t="inlineStr">
        <is>
          <t xml:space="preserve">130</t>
        </is>
      </c>
      <c r="B171" t="inlineStr">
        <is>
          <t xml:space="preserve">Работа с клиентом за год</t>
        </is>
      </c>
      <c r="C171" t="inlineStr">
        <is>
          <t xml:space="preserve">не сверяется</t>
        </is>
      </c>
      <c r="E171" t="inlineStr">
        <is>
          <t xml:space="preserve">client_total</t>
        </is>
      </c>
      <c r="F171" t="inlineStr">
        <is>
          <t xml:space="preserve">calc</t>
        </is>
      </c>
      <c r="G171" t="inlineStr">
        <is>
          <t xml:space="preserve">ед.: ч/год · зависит от: projects_year, client_time</t>
        </is>
      </c>
      <c r="H171" t="inlineStr">
        <is>
          <t xml:space="preserve">черновик</t>
        </is>
      </c>
      <c r="J171" t="inlineStr">
        <is>
          <t xml:space="preserve">projects_year*client_time</t>
        </is>
      </c>
      <c r="K171" t="inlineStr">
        <is>
          <t xml:space="preserve">внутренний</t>
        </is>
      </c>
    </row>
    <row r="172">
      <c r="A172" t="inlineStr">
        <is>
          <t xml:space="preserve">131</t>
        </is>
      </c>
      <c r="B172" t="inlineStr">
        <is>
          <t xml:space="preserve">Операционных часов на час съёмки</t>
        </is>
      </c>
      <c r="C172" t="inlineStr">
        <is>
          <t xml:space="preserve">не сверяется</t>
        </is>
      </c>
      <c r="E172" t="inlineStr">
        <is>
          <t xml:space="preserve">ops_per_shoot</t>
        </is>
      </c>
      <c r="F172" t="inlineStr">
        <is>
          <t xml:space="preserve">calc</t>
        </is>
      </c>
      <c r="G172" t="inlineStr">
        <is>
          <t xml:space="preserve">ед.: ч · зависит от: side_time, shooting_time</t>
        </is>
      </c>
      <c r="H172" t="inlineStr">
        <is>
          <t xml:space="preserve">черновик</t>
        </is>
      </c>
      <c r="J172" t="inlineStr">
        <is>
          <t xml:space="preserve">IF(shooting_time=0,0,side_time/shooting_time)</t>
        </is>
      </c>
      <c r="K172" t="inlineStr">
        <is>
          <t xml:space="preserve">внутренний</t>
        </is>
      </c>
    </row>
    <row r="173"/>
    <row r="174">
      <c r="A174" t="inlineStr">
        <is>
          <t xml:space="preserve">4 · Доход</t>
        </is>
      </c>
    </row>
    <row r="175">
      <c r="A175" t="inlineStr">
        <is>
          <t xml:space="preserve">№</t>
        </is>
      </c>
      <c r="B175" t="inlineStr">
        <is>
          <t xml:space="preserve">Наименование</t>
        </is>
      </c>
      <c r="C175" t="inlineStr">
        <is>
          <t xml:space="preserve">Статус (временный)</t>
        </is>
      </c>
      <c r="D175" t="inlineStr">
        <is>
          <t xml:space="preserve">Справочник · для сверки (временный)</t>
        </is>
      </c>
      <c r="E175" t="inlineStr">
        <is>
          <t xml:space="preserve">ID</t>
        </is>
      </c>
      <c r="F175" t="inlineStr">
        <is>
          <t xml:space="preserve">Тип</t>
        </is>
      </c>
      <c r="G175" t="inlineStr">
        <is>
          <t xml:space="preserve">Определение</t>
        </is>
      </c>
      <c r="H175" t="inlineStr">
        <is>
          <t xml:space="preserve">Определение утверждено</t>
        </is>
      </c>
      <c r="I175" t="inlineStr">
        <is>
          <t xml:space="preserve">Описание алгоритма</t>
        </is>
      </c>
      <c r="J175" t="inlineStr">
        <is>
          <t xml:space="preserve">Формула (пример расчёта)</t>
        </is>
      </c>
      <c r="K175" t="inlineStr">
        <is>
          <t xml:space="preserve">Где используется</t>
        </is>
      </c>
      <c r="L175" t="inlineStr">
        <is>
          <t xml:space="preserve">Решение (временный)</t>
        </is>
      </c>
    </row>
    <row r="176">
      <c r="A176" t="inlineStr">
        <is>
          <t xml:space="preserve">132</t>
        </is>
      </c>
      <c r="B176" t="inlineStr">
        <is>
          <t xml:space="preserve">Желаемый доход на руки</t>
        </is>
      </c>
      <c r="C176" t="inlineStr">
        <is>
          <t xml:space="preserve">тождественно</t>
        </is>
      </c>
      <c r="D176"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c r="E176" t="inlineStr">
        <is>
          <t xml:space="preserve">income_month</t>
        </is>
      </c>
      <c r="F176" t="inlineStr">
        <is>
          <t xml:space="preserve">default</t>
        </is>
      </c>
      <c r="G176" t="inlineStr">
        <is>
          <t xml:space="preserve">ед.: ₽/мес</t>
        </is>
      </c>
      <c r="H176" t="inlineStr">
        <is>
          <t xml:space="preserve">черновик</t>
        </is>
      </c>
      <c r="J176" t="inlineStr">
        <is>
          <t xml:space="preserve">108999</t>
        </is>
      </c>
      <c r="K176" t="inlineStr">
        <is>
          <t xml:space="preserve">общий</t>
        </is>
      </c>
    </row>
    <row r="177">
      <c r="A177" t="inlineStr">
        <is>
          <t xml:space="preserve">133</t>
        </is>
      </c>
      <c r="B177" t="inlineStr">
        <is>
          <t xml:space="preserve">Желаемый доход за год</t>
        </is>
      </c>
      <c r="C177" t="inlineStr">
        <is>
          <t xml:space="preserve">тождественно</t>
        </is>
      </c>
      <c r="D177"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c r="E177" t="inlineStr">
        <is>
          <t xml:space="preserve">target_income</t>
        </is>
      </c>
      <c r="F177" t="inlineStr">
        <is>
          <t xml:space="preserve">calc</t>
        </is>
      </c>
      <c r="G177" t="inlineStr">
        <is>
          <t xml:space="preserve">ед.: ₽/год · зависит от: income_month, months</t>
        </is>
      </c>
      <c r="H177" t="inlineStr">
        <is>
          <t xml:space="preserve">черновик</t>
        </is>
      </c>
      <c r="J177" t="inlineStr">
        <is>
          <t xml:space="preserve">income_month*months</t>
        </is>
      </c>
      <c r="K177" t="inlineStr">
        <is>
          <t xml:space="preserve">общий</t>
        </is>
      </c>
    </row>
    <row r="178">
      <c r="A178" t="inlineStr">
        <is>
          <t xml:space="preserve">134</t>
        </is>
      </c>
      <c r="B178" t="inlineStr">
        <is>
          <t xml:space="preserve">Текущая ставка часа</t>
        </is>
      </c>
      <c r="C178" t="inlineStr">
        <is>
          <t xml:space="preserve">тождественно</t>
        </is>
      </c>
      <c r="D178" t="inlineStr">
        <is>
          <t xml:space="preserve">Текущая ставка — Стоимость одного часа работы специалиста, установленная им на данный момент с учётом действующих условий оказания услуг.</t>
        </is>
      </c>
      <c r="E178" t="inlineStr">
        <is>
          <t xml:space="preserve">current_rate</t>
        </is>
      </c>
      <c r="F178" t="inlineStr">
        <is>
          <t xml:space="preserve">default</t>
        </is>
      </c>
      <c r="G178" t="inlineStr">
        <is>
          <t xml:space="preserve">ед.: ₽/ч</t>
        </is>
      </c>
      <c r="H178" t="inlineStr">
        <is>
          <t xml:space="preserve">черновик</t>
        </is>
      </c>
      <c r="J178" t="inlineStr">
        <is>
          <t xml:space="preserve">6000</t>
        </is>
      </c>
      <c r="K178" t="inlineStr">
        <is>
          <t xml:space="preserve">общий</t>
        </is>
      </c>
    </row>
    <row r="179"/>
    <row r="180">
      <c r="A180" t="inlineStr">
        <is>
          <t xml:space="preserve">5 · Рабочее место</t>
        </is>
      </c>
    </row>
    <row r="181">
      <c r="A181" t="inlineStr">
        <is>
          <t xml:space="preserve">№</t>
        </is>
      </c>
      <c r="B181" t="inlineStr">
        <is>
          <t xml:space="preserve">Наименование</t>
        </is>
      </c>
      <c r="C181" t="inlineStr">
        <is>
          <t xml:space="preserve">Статус (временный)</t>
        </is>
      </c>
      <c r="D181" t="inlineStr">
        <is>
          <t xml:space="preserve">Справочник · для сверки (временный)</t>
        </is>
      </c>
      <c r="E181" t="inlineStr">
        <is>
          <t xml:space="preserve">ID</t>
        </is>
      </c>
      <c r="F181" t="inlineStr">
        <is>
          <t xml:space="preserve">Тип</t>
        </is>
      </c>
      <c r="G181" t="inlineStr">
        <is>
          <t xml:space="preserve">Определение</t>
        </is>
      </c>
      <c r="H181" t="inlineStr">
        <is>
          <t xml:space="preserve">Определение утверждено</t>
        </is>
      </c>
      <c r="I181" t="inlineStr">
        <is>
          <t xml:space="preserve">Описание алгоритма</t>
        </is>
      </c>
      <c r="J181" t="inlineStr">
        <is>
          <t xml:space="preserve">Формула (пример расчёта)</t>
        </is>
      </c>
      <c r="K181" t="inlineStr">
        <is>
          <t xml:space="preserve">Где используется</t>
        </is>
      </c>
      <c r="L181" t="inlineStr">
        <is>
          <t xml:space="preserve">Решение (временный)</t>
        </is>
      </c>
    </row>
    <row r="182">
      <c r="A182" t="inlineStr">
        <is>
          <t xml:space="preserve">135</t>
        </is>
      </c>
      <c r="B182" t="inlineStr">
        <is>
          <t xml:space="preserve">ПЕРЕКЛЮЧАТЕЛЬ · рабочее место</t>
        </is>
      </c>
      <c r="C182" t="inlineStr">
        <is>
          <t xml:space="preserve">не сверяется</t>
        </is>
      </c>
      <c r="E182" t="inlineStr">
        <is>
          <t xml:space="preserve">ws_mode</t>
        </is>
      </c>
      <c r="F182" t="inlineStr">
        <is>
          <t xml:space="preserve">switch</t>
        </is>
      </c>
      <c r="J182" t="inlineStr">
        <is>
          <t xml:space="preserve">Работаю из дома</t>
        </is>
      </c>
      <c r="K182" t="inlineStr">
        <is>
          <t xml:space="preserve">внутренний</t>
        </is>
      </c>
    </row>
    <row r="183">
      <c r="A183" t="inlineStr">
        <is>
          <t xml:space="preserve">136</t>
        </is>
      </c>
      <c r="B183" t="inlineStr">
        <is>
          <t xml:space="preserve">ДОМА · живу в своём, ипотеки нет</t>
        </is>
      </c>
      <c r="C183" t="inlineStr">
        <is>
          <t xml:space="preserve">не сверяется</t>
        </is>
      </c>
      <c r="E183" t="inlineStr">
        <is>
          <t xml:space="preserve">own_home</t>
        </is>
      </c>
      <c r="F183" t="inlineStr">
        <is>
          <t xml:space="preserve">switch</t>
        </is>
      </c>
      <c r="J183" t="inlineStr">
        <is>
          <t xml:space="preserve">нет</t>
        </is>
      </c>
      <c r="K183" t="inlineStr">
        <is>
          <t xml:space="preserve">внутренний</t>
        </is>
      </c>
    </row>
    <row r="184">
      <c r="A184" t="inlineStr">
        <is>
          <t xml:space="preserve">137</t>
        </is>
      </c>
      <c r="B184" t="inlineStr">
        <is>
          <t xml:space="preserve">ДОМА · аренда или ипотека</t>
        </is>
      </c>
      <c r="C184" t="inlineStr">
        <is>
          <t xml:space="preserve">не сверяется</t>
        </is>
      </c>
      <c r="E184" t="inlineStr">
        <is>
          <t xml:space="preserve">home_rent</t>
        </is>
      </c>
      <c r="F184" t="inlineStr">
        <is>
          <t xml:space="preserve">default</t>
        </is>
      </c>
      <c r="G184" t="inlineStr">
        <is>
          <t xml:space="preserve">ед.: ₽/мес</t>
        </is>
      </c>
      <c r="H184" t="inlineStr">
        <is>
          <t xml:space="preserve">черновик</t>
        </is>
      </c>
      <c r="J184" t="inlineStr">
        <is>
          <t xml:space="preserve">40000</t>
        </is>
      </c>
      <c r="K184" t="inlineStr">
        <is>
          <t xml:space="preserve">внутренний</t>
        </is>
      </c>
    </row>
    <row r="185">
      <c r="A185" t="inlineStr">
        <is>
          <t xml:space="preserve">138</t>
        </is>
      </c>
      <c r="B185" t="inlineStr">
        <is>
          <t xml:space="preserve">ДОМА · коммунальные и связь</t>
        </is>
      </c>
      <c r="C185" t="inlineStr">
        <is>
          <t xml:space="preserve">не сверяется</t>
        </is>
      </c>
      <c r="E185" t="inlineStr">
        <is>
          <t xml:space="preserve">home_util</t>
        </is>
      </c>
      <c r="F185" t="inlineStr">
        <is>
          <t xml:space="preserve">default</t>
        </is>
      </c>
      <c r="G185" t="inlineStr">
        <is>
          <t xml:space="preserve">ед.: ₽/мес</t>
        </is>
      </c>
      <c r="H185" t="inlineStr">
        <is>
          <t xml:space="preserve">черновик</t>
        </is>
      </c>
      <c r="J185" t="inlineStr">
        <is>
          <t xml:space="preserve">7000</t>
        </is>
      </c>
      <c r="K185" t="inlineStr">
        <is>
          <t xml:space="preserve">внутренний</t>
        </is>
      </c>
    </row>
    <row r="186">
      <c r="A186" t="inlineStr">
        <is>
          <t xml:space="preserve">139</t>
        </is>
      </c>
      <c r="B186" t="inlineStr">
        <is>
          <t xml:space="preserve">ДОМА · общая площадь жилья</t>
        </is>
      </c>
      <c r="C186" t="inlineStr">
        <is>
          <t xml:space="preserve">не сверяется</t>
        </is>
      </c>
      <c r="E186" t="inlineStr">
        <is>
          <t xml:space="preserve">home_area</t>
        </is>
      </c>
      <c r="F186" t="inlineStr">
        <is>
          <t xml:space="preserve">default</t>
        </is>
      </c>
      <c r="G186" t="inlineStr">
        <is>
          <t xml:space="preserve">ед.: м²</t>
        </is>
      </c>
      <c r="H186" t="inlineStr">
        <is>
          <t xml:space="preserve">черновик</t>
        </is>
      </c>
      <c r="J186" t="inlineStr">
        <is>
          <t xml:space="preserve">50</t>
        </is>
      </c>
      <c r="K186" t="inlineStr">
        <is>
          <t xml:space="preserve">внутренний</t>
        </is>
      </c>
    </row>
    <row r="187">
      <c r="A187" t="inlineStr">
        <is>
          <t xml:space="preserve">140</t>
        </is>
      </c>
      <c r="B187" t="inlineStr">
        <is>
          <t xml:space="preserve">ДОМА · площадь под кабинет</t>
        </is>
      </c>
      <c r="C187" t="inlineStr">
        <is>
          <t xml:space="preserve">не сверяется</t>
        </is>
      </c>
      <c r="E187" t="inlineStr">
        <is>
          <t xml:space="preserve">cab_area</t>
        </is>
      </c>
      <c r="F187" t="inlineStr">
        <is>
          <t xml:space="preserve">default</t>
        </is>
      </c>
      <c r="G187" t="inlineStr">
        <is>
          <t xml:space="preserve">ед.: м²</t>
        </is>
      </c>
      <c r="H187" t="inlineStr">
        <is>
          <t xml:space="preserve">черновик</t>
        </is>
      </c>
      <c r="J187" t="inlineStr">
        <is>
          <t xml:space="preserve">6</t>
        </is>
      </c>
      <c r="K187" t="inlineStr">
        <is>
          <t xml:space="preserve">внутренний</t>
        </is>
      </c>
    </row>
    <row r="188">
      <c r="A188" t="inlineStr">
        <is>
          <t xml:space="preserve">141</t>
        </is>
      </c>
      <c r="B188" t="inlineStr">
        <is>
          <t xml:space="preserve">ДОМА · доля кабинета</t>
        </is>
      </c>
      <c r="C188" t="inlineStr">
        <is>
          <t xml:space="preserve">не сверяется</t>
        </is>
      </c>
      <c r="E188" t="inlineStr">
        <is>
          <t xml:space="preserve">cab_share</t>
        </is>
      </c>
      <c r="F188" t="inlineStr">
        <is>
          <t xml:space="preserve">calc</t>
        </is>
      </c>
      <c r="G188" t="inlineStr">
        <is>
          <t xml:space="preserve">ед.: % · зависит от: cab_area, home_area</t>
        </is>
      </c>
      <c r="H188" t="inlineStr">
        <is>
          <t xml:space="preserve">черновик</t>
        </is>
      </c>
      <c r="J188" t="inlineStr">
        <is>
          <t xml:space="preserve">IF(home_area=0,0,cab_area/home_area)</t>
        </is>
      </c>
      <c r="K188" t="inlineStr">
        <is>
          <t xml:space="preserve">внутренний</t>
        </is>
      </c>
    </row>
    <row r="189">
      <c r="A189" t="inlineStr">
        <is>
          <t xml:space="preserve">142</t>
        </is>
      </c>
      <c r="B189" t="inlineStr">
        <is>
          <t xml:space="preserve">АРЕНДА · стоимость помещения</t>
        </is>
      </c>
      <c r="C189" t="inlineStr">
        <is>
          <t xml:space="preserve">не сверяется</t>
        </is>
      </c>
      <c r="E189" t="inlineStr">
        <is>
          <t xml:space="preserve">office_rent</t>
        </is>
      </c>
      <c r="F189" t="inlineStr">
        <is>
          <t xml:space="preserve">default</t>
        </is>
      </c>
      <c r="G189" t="inlineStr">
        <is>
          <t xml:space="preserve">ед.: ₽/мес</t>
        </is>
      </c>
      <c r="H189" t="inlineStr">
        <is>
          <t xml:space="preserve">черновик</t>
        </is>
      </c>
      <c r="J189" t="inlineStr">
        <is>
          <t xml:space="preserve">15000</t>
        </is>
      </c>
      <c r="K189" t="inlineStr">
        <is>
          <t xml:space="preserve">внутренний</t>
        </is>
      </c>
    </row>
    <row r="190">
      <c r="A190" t="inlineStr">
        <is>
          <t xml:space="preserve">143</t>
        </is>
      </c>
      <c r="B190" t="inlineStr">
        <is>
          <t xml:space="preserve">АРЕНДА · коммунальные и связь</t>
        </is>
      </c>
      <c r="C190" t="inlineStr">
        <is>
          <t xml:space="preserve">не сверяется</t>
        </is>
      </c>
      <c r="E190" t="inlineStr">
        <is>
          <t xml:space="preserve">office_util</t>
        </is>
      </c>
      <c r="F190" t="inlineStr">
        <is>
          <t xml:space="preserve">default</t>
        </is>
      </c>
      <c r="G190" t="inlineStr">
        <is>
          <t xml:space="preserve">ед.: ₽/мес</t>
        </is>
      </c>
      <c r="H190" t="inlineStr">
        <is>
          <t xml:space="preserve">черновик</t>
        </is>
      </c>
      <c r="J190" t="inlineStr">
        <is>
          <t xml:space="preserve">7000</t>
        </is>
      </c>
      <c r="K190" t="inlineStr">
        <is>
          <t xml:space="preserve">внутренний</t>
        </is>
      </c>
    </row>
    <row r="191">
      <c r="A191" t="inlineStr">
        <is>
          <t xml:space="preserve">144</t>
        </is>
      </c>
      <c r="B191" t="inlineStr">
        <is>
          <t xml:space="preserve">Содержание рабочего места</t>
        </is>
      </c>
      <c r="C191" t="inlineStr">
        <is>
          <t xml:space="preserve">тождественно</t>
        </is>
      </c>
      <c r="D191" t="inlineStr">
        <is>
          <t xml:space="preserve">Содержание рабочего места — Расходы на поддержание рабочего пространства и оборудования в состоянии, необходимом для регулярного выполнения профессиональной деятельности.</t>
        </is>
      </c>
      <c r="E191" t="inlineStr">
        <is>
          <t xml:space="preserve">var_workspace</t>
        </is>
      </c>
      <c r="F191" t="inlineStr">
        <is>
          <t xml:space="preserve">calc</t>
        </is>
      </c>
      <c r="G191" t="inlineStr">
        <is>
          <t xml:space="preserve">ед.: ₽/год · зависит от: ws_mode, home_rent, cab_share, home_util, office_rent, office_util</t>
        </is>
      </c>
      <c r="H191" t="inlineStr">
        <is>
          <t xml:space="preserve">черновик</t>
        </is>
      </c>
      <c r="J191" t="inlineStr">
        <is>
          <t xml:space="preserve">IF(ws_mode="Работаю из дома",(home_rent+home_util)*cab_share*months,(office_rent+office_util)*months)</t>
        </is>
      </c>
      <c r="K191" t="inlineStr">
        <is>
          <t xml:space="preserve">общий</t>
        </is>
      </c>
    </row>
    <row r="192"/>
    <row r="193">
      <c r="A193" t="inlineStr">
        <is>
          <t xml:space="preserve">6 · Обучение и сайт</t>
        </is>
      </c>
    </row>
    <row r="194">
      <c r="A194" t="inlineStr">
        <is>
          <t xml:space="preserve">№</t>
        </is>
      </c>
      <c r="B194" t="inlineStr">
        <is>
          <t xml:space="preserve">Наименование</t>
        </is>
      </c>
      <c r="C194" t="inlineStr">
        <is>
          <t xml:space="preserve">Статус (временный)</t>
        </is>
      </c>
      <c r="D194" t="inlineStr">
        <is>
          <t xml:space="preserve">Справочник · для сверки (временный)</t>
        </is>
      </c>
      <c r="E194" t="inlineStr">
        <is>
          <t xml:space="preserve">ID</t>
        </is>
      </c>
      <c r="F194" t="inlineStr">
        <is>
          <t xml:space="preserve">Тип</t>
        </is>
      </c>
      <c r="G194" t="inlineStr">
        <is>
          <t xml:space="preserve">Определение</t>
        </is>
      </c>
      <c r="H194" t="inlineStr">
        <is>
          <t xml:space="preserve">Определение утверждено</t>
        </is>
      </c>
      <c r="I194" t="inlineStr">
        <is>
          <t xml:space="preserve">Описание алгоритма</t>
        </is>
      </c>
      <c r="J194" t="inlineStr">
        <is>
          <t xml:space="preserve">Формула (пример расчёта)</t>
        </is>
      </c>
      <c r="K194" t="inlineStr">
        <is>
          <t xml:space="preserve">Где используется</t>
        </is>
      </c>
      <c r="L194" t="inlineStr">
        <is>
          <t xml:space="preserve">Решение (временный)</t>
        </is>
      </c>
    </row>
    <row r="195">
      <c r="A195" t="inlineStr">
        <is>
          <t xml:space="preserve">145</t>
        </is>
      </c>
      <c r="B195" t="inlineStr">
        <is>
          <t xml:space="preserve">Обучение · стоимость курса</t>
        </is>
      </c>
      <c r="C195" t="inlineStr">
        <is>
          <t xml:space="preserve">тождественно</t>
        </is>
      </c>
      <c r="D195"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c r="E195" t="inlineStr">
        <is>
          <t xml:space="preserve">edu_cost</t>
        </is>
      </c>
      <c r="F195" t="inlineStr">
        <is>
          <t xml:space="preserve">default</t>
        </is>
      </c>
      <c r="G195" t="inlineStr">
        <is>
          <t xml:space="preserve">ед.: ₽</t>
        </is>
      </c>
      <c r="H195" t="inlineStr">
        <is>
          <t xml:space="preserve">черновик</t>
        </is>
      </c>
      <c r="J195" t="inlineStr">
        <is>
          <t xml:space="preserve">80000</t>
        </is>
      </c>
      <c r="K195" t="inlineStr">
        <is>
          <t xml:space="preserve">общий</t>
        </is>
      </c>
    </row>
    <row r="196">
      <c r="A196" t="inlineStr">
        <is>
          <t xml:space="preserve">146</t>
        </is>
      </c>
      <c r="B196" t="inlineStr">
        <is>
          <t xml:space="preserve">Обучение · месяцев без дохода</t>
        </is>
      </c>
      <c r="C196" t="inlineStr">
        <is>
          <t xml:space="preserve">тождественно</t>
        </is>
      </c>
      <c r="D196"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c r="E196" t="inlineStr">
        <is>
          <t xml:space="preserve">edu_months</t>
        </is>
      </c>
      <c r="F196" t="inlineStr">
        <is>
          <t xml:space="preserve">default</t>
        </is>
      </c>
      <c r="G196" t="inlineStr">
        <is>
          <t xml:space="preserve">ед.: мес</t>
        </is>
      </c>
      <c r="H196" t="inlineStr">
        <is>
          <t xml:space="preserve">черновик</t>
        </is>
      </c>
      <c r="J196" t="inlineStr">
        <is>
          <t xml:space="preserve">4</t>
        </is>
      </c>
      <c r="K196" t="inlineStr">
        <is>
          <t xml:space="preserve">общий</t>
        </is>
      </c>
    </row>
    <row r="197">
      <c r="A197" t="inlineStr">
        <is>
          <t xml:space="preserve">147</t>
        </is>
      </c>
      <c r="B197" t="inlineStr">
        <is>
          <t xml:space="preserve">Обучение · срок амортизации</t>
        </is>
      </c>
      <c r="C197" t="inlineStr">
        <is>
          <t xml:space="preserve">тождественно</t>
        </is>
      </c>
      <c r="D197"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c r="E197" t="inlineStr">
        <is>
          <t xml:space="preserve">edu_life</t>
        </is>
      </c>
      <c r="F197" t="inlineStr">
        <is>
          <t xml:space="preserve">default</t>
        </is>
      </c>
      <c r="G197" t="inlineStr">
        <is>
          <t xml:space="preserve">ед.: лет</t>
        </is>
      </c>
      <c r="H197" t="inlineStr">
        <is>
          <t xml:space="preserve">черновик</t>
        </is>
      </c>
      <c r="J197" t="inlineStr">
        <is>
          <t xml:space="preserve">7</t>
        </is>
      </c>
      <c r="K197" t="inlineStr">
        <is>
          <t xml:space="preserve">общий</t>
        </is>
      </c>
    </row>
    <row r="198">
      <c r="A198" t="inlineStr">
        <is>
          <t xml:space="preserve">148</t>
        </is>
      </c>
      <c r="B198" t="inlineStr">
        <is>
          <t xml:space="preserve">Обучение · упущенная выгода</t>
        </is>
      </c>
      <c r="C198" t="inlineStr">
        <is>
          <t xml:space="preserve">тождественно</t>
        </is>
      </c>
      <c r="D198"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c r="E198" t="inlineStr">
        <is>
          <t xml:space="preserve">edu_opportunity</t>
        </is>
      </c>
      <c r="F198" t="inlineStr">
        <is>
          <t xml:space="preserve">calc</t>
        </is>
      </c>
      <c r="G198" t="inlineStr">
        <is>
          <t xml:space="preserve">ед.: ₽ · зависит от: edu_months, income_month</t>
        </is>
      </c>
      <c r="H198" t="inlineStr">
        <is>
          <t xml:space="preserve">черновик</t>
        </is>
      </c>
      <c r="J198" t="inlineStr">
        <is>
          <t xml:space="preserve">edu_months*income_month</t>
        </is>
      </c>
      <c r="K198" t="inlineStr">
        <is>
          <t xml:space="preserve">общий</t>
        </is>
      </c>
    </row>
    <row r="199">
      <c r="A199" t="inlineStr">
        <is>
          <t xml:space="preserve">149</t>
        </is>
      </c>
      <c r="B199" t="inlineStr">
        <is>
          <t xml:space="preserve">Амортизация · обучение</t>
        </is>
      </c>
      <c r="C199" t="inlineStr">
        <is>
          <t xml:space="preserve">тождественно</t>
        </is>
      </c>
      <c r="D199" t="inlineStr">
        <is>
          <t xml:space="preserve">Амортизация — Постепенное включение стоимости имущества в расходы бизнеса по мере его использования и износа.</t>
        </is>
      </c>
      <c r="E199" t="inlineStr">
        <is>
          <t xml:space="preserve">dep_education</t>
        </is>
      </c>
      <c r="F199" t="inlineStr">
        <is>
          <t xml:space="preserve">calc</t>
        </is>
      </c>
      <c r="G199" t="inlineStr">
        <is>
          <t xml:space="preserve">ед.: ₽/год · зависит от: edu_cost, edu_opportunity, edu_life</t>
        </is>
      </c>
      <c r="H199" t="inlineStr">
        <is>
          <t xml:space="preserve">черновик</t>
        </is>
      </c>
      <c r="J199" t="inlineStr">
        <is>
          <t xml:space="preserve">IF(edu_life=0,0,(edu_cost+edu_opportunity)/edu_life)</t>
        </is>
      </c>
      <c r="K199" t="inlineStr">
        <is>
          <t xml:space="preserve">общий</t>
        </is>
      </c>
    </row>
    <row r="200">
      <c r="A200" t="inlineStr">
        <is>
          <t xml:space="preserve">150</t>
        </is>
      </c>
      <c r="B200" t="inlineStr">
        <is>
          <t xml:space="preserve">ПЕРЕКЛЮЧАТЕЛЬ · создание сайта</t>
        </is>
      </c>
      <c r="C200" t="inlineStr">
        <is>
          <t xml:space="preserve">переименовать</t>
        </is>
      </c>
      <c r="D200"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00" t="inlineStr">
        <is>
          <t xml:space="preserve">site_mode</t>
        </is>
      </c>
      <c r="F200" t="inlineStr">
        <is>
          <t xml:space="preserve">switch</t>
        </is>
      </c>
      <c r="J200" t="inlineStr">
        <is>
          <t xml:space="preserve">Нанимал (а) специалиста</t>
        </is>
      </c>
      <c r="K200" t="inlineStr">
        <is>
          <t xml:space="preserve">общий</t>
        </is>
      </c>
    </row>
    <row r="201">
      <c r="A201" t="inlineStr">
        <is>
          <t xml:space="preserve">151</t>
        </is>
      </c>
      <c r="B201" t="inlineStr">
        <is>
          <t xml:space="preserve">Сайт · стоимость подрядчика</t>
        </is>
      </c>
      <c r="C201" t="inlineStr">
        <is>
          <t xml:space="preserve">тождественно</t>
        </is>
      </c>
      <c r="D201"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01" t="inlineStr">
        <is>
          <t xml:space="preserve">site_cost</t>
        </is>
      </c>
      <c r="F201" t="inlineStr">
        <is>
          <t xml:space="preserve">default</t>
        </is>
      </c>
      <c r="G201" t="inlineStr">
        <is>
          <t xml:space="preserve">ед.: ₽</t>
        </is>
      </c>
      <c r="H201" t="inlineStr">
        <is>
          <t xml:space="preserve">черновик</t>
        </is>
      </c>
      <c r="J201" t="inlineStr">
        <is>
          <t xml:space="preserve">70000</t>
        </is>
      </c>
      <c r="K201" t="inlineStr">
        <is>
          <t xml:space="preserve">общий</t>
        </is>
      </c>
    </row>
    <row r="202">
      <c r="A202" t="inlineStr">
        <is>
          <t xml:space="preserve">152</t>
        </is>
      </c>
      <c r="B202" t="inlineStr">
        <is>
          <t xml:space="preserve">Сайт · часов своими руками</t>
        </is>
      </c>
      <c r="C202" t="inlineStr">
        <is>
          <t xml:space="preserve">тождественно</t>
        </is>
      </c>
      <c r="D202"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02" t="inlineStr">
        <is>
          <t xml:space="preserve">site_hours</t>
        </is>
      </c>
      <c r="F202" t="inlineStr">
        <is>
          <t xml:space="preserve">default</t>
        </is>
      </c>
      <c r="G202" t="inlineStr">
        <is>
          <t xml:space="preserve">ед.: ч</t>
        </is>
      </c>
      <c r="H202" t="inlineStr">
        <is>
          <t xml:space="preserve">черновик</t>
        </is>
      </c>
      <c r="J202" t="inlineStr">
        <is>
          <t xml:space="preserve">0</t>
        </is>
      </c>
      <c r="K202" t="inlineStr">
        <is>
          <t xml:space="preserve">общий</t>
        </is>
      </c>
    </row>
    <row r="203">
      <c r="A203" t="inlineStr">
        <is>
          <t xml:space="preserve">153</t>
        </is>
      </c>
      <c r="B203" t="inlineStr">
        <is>
          <t xml:space="preserve">Сайт · срок амортизации</t>
        </is>
      </c>
      <c r="C203" t="inlineStr">
        <is>
          <t xml:space="preserve">тождественно</t>
        </is>
      </c>
      <c r="D203"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03" t="inlineStr">
        <is>
          <t xml:space="preserve">site_life</t>
        </is>
      </c>
      <c r="F203" t="inlineStr">
        <is>
          <t xml:space="preserve">default</t>
        </is>
      </c>
      <c r="G203" t="inlineStr">
        <is>
          <t xml:space="preserve">ед.: лет</t>
        </is>
      </c>
      <c r="H203" t="inlineStr">
        <is>
          <t xml:space="preserve">черновик</t>
        </is>
      </c>
      <c r="J203" t="inlineStr">
        <is>
          <t xml:space="preserve">7</t>
        </is>
      </c>
      <c r="K203" t="inlineStr">
        <is>
          <t xml:space="preserve">общий</t>
        </is>
      </c>
    </row>
    <row r="204">
      <c r="A204" t="inlineStr">
        <is>
          <t xml:space="preserve">154</t>
        </is>
      </c>
      <c r="B204" t="inlineStr">
        <is>
          <t xml:space="preserve">Амортизация · сайт</t>
        </is>
      </c>
      <c r="C204" t="inlineStr">
        <is>
          <t xml:space="preserve">тождественно</t>
        </is>
      </c>
      <c r="D204" t="inlineStr">
        <is>
          <t xml:space="preserve">Амортизация — Постепенное включение стоимости имущества в расходы бизнеса по мере его использования и износа.</t>
        </is>
      </c>
      <c r="E204" t="inlineStr">
        <is>
          <t xml:space="preserve">dep_website</t>
        </is>
      </c>
      <c r="F204" t="inlineStr">
        <is>
          <t xml:space="preserve">calc</t>
        </is>
      </c>
      <c r="G204" t="inlineStr">
        <is>
          <t xml:space="preserve">ед.: ₽/год · зависит от: site_mode, site_cost, site_life</t>
        </is>
      </c>
      <c r="H204" t="inlineStr">
        <is>
          <t xml:space="preserve">черновик</t>
        </is>
      </c>
      <c r="J204" t="inlineStr">
        <is>
          <t xml:space="preserve">IF(site_mode="Нанимал (а) специалиста",IF(site_life=0,0,site_cost/site_life),0)</t>
        </is>
      </c>
      <c r="K204" t="inlineStr">
        <is>
          <t xml:space="preserve">общий</t>
        </is>
      </c>
    </row>
    <row r="205">
      <c r="A205" t="inlineStr">
        <is>
          <t xml:space="preserve">155</t>
        </is>
      </c>
      <c r="B205" t="inlineStr">
        <is>
          <t xml:space="preserve">Сайт · поправка знаменателя</t>
        </is>
      </c>
      <c r="C205" t="inlineStr">
        <is>
          <t xml:space="preserve">тождественно</t>
        </is>
      </c>
      <c r="D205"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05" t="inlineStr">
        <is>
          <t xml:space="preserve">site_divisor</t>
        </is>
      </c>
      <c r="F205" t="inlineStr">
        <is>
          <t xml:space="preserve">calc</t>
        </is>
      </c>
      <c r="G205" t="inlineStr">
        <is>
          <t xml:space="preserve">· зависит от: site_mode, site_hours, site_life, net_time</t>
        </is>
      </c>
      <c r="H205" t="inlineStr">
        <is>
          <t xml:space="preserve">черновик</t>
        </is>
      </c>
      <c r="J205" t="inlineStr">
        <is>
          <t xml:space="preserve">IF(site_mode="Нанимал (а) специалиста",0,IF(site_life*net_time=0,0,site_hours/(site_life*net_time)))</t>
        </is>
      </c>
      <c r="K205" t="inlineStr">
        <is>
          <t xml:space="preserve">общий</t>
        </is>
      </c>
    </row>
    <row r="206"/>
    <row r="207">
      <c r="A207" t="inlineStr">
        <is>
          <t xml:space="preserve">7 · Расходы</t>
        </is>
      </c>
    </row>
    <row r="208">
      <c r="A208" t="inlineStr">
        <is>
          <t xml:space="preserve">№</t>
        </is>
      </c>
      <c r="B208" t="inlineStr">
        <is>
          <t xml:space="preserve">Наименование</t>
        </is>
      </c>
      <c r="C208" t="inlineStr">
        <is>
          <t xml:space="preserve">Статус (временный)</t>
        </is>
      </c>
      <c r="D208" t="inlineStr">
        <is>
          <t xml:space="preserve">Справочник · для сверки (временный)</t>
        </is>
      </c>
      <c r="E208" t="inlineStr">
        <is>
          <t xml:space="preserve">ID</t>
        </is>
      </c>
      <c r="F208" t="inlineStr">
        <is>
          <t xml:space="preserve">Тип</t>
        </is>
      </c>
      <c r="G208" t="inlineStr">
        <is>
          <t xml:space="preserve">Определение</t>
        </is>
      </c>
      <c r="H208" t="inlineStr">
        <is>
          <t xml:space="preserve">Определение утверждено</t>
        </is>
      </c>
      <c r="I208" t="inlineStr">
        <is>
          <t xml:space="preserve">Описание алгоритма</t>
        </is>
      </c>
      <c r="J208" t="inlineStr">
        <is>
          <t xml:space="preserve">Формула (пример расчёта)</t>
        </is>
      </c>
      <c r="K208" t="inlineStr">
        <is>
          <t xml:space="preserve">Где используется</t>
        </is>
      </c>
      <c r="L208" t="inlineStr">
        <is>
          <t xml:space="preserve">Решение (временный)</t>
        </is>
      </c>
    </row>
    <row r="209">
      <c r="A209" t="inlineStr">
        <is>
          <t xml:space="preserve">156</t>
        </is>
      </c>
      <c r="B209" t="inlineStr">
        <is>
          <t xml:space="preserve">Амортизация · съёмочное оборудование</t>
        </is>
      </c>
      <c r="C209" t="inlineStr">
        <is>
          <t xml:space="preserve">тождественно</t>
        </is>
      </c>
      <c r="D209" t="inlineStr">
        <is>
          <t xml:space="preserve">Амортизация — Постепенное включение стоимости имущества в расходы бизнеса по мере его использования и износа.</t>
        </is>
      </c>
      <c r="E209" t="inlineStr">
        <is>
          <t xml:space="preserve">dep_shoot</t>
        </is>
      </c>
      <c r="F209" t="inlineStr">
        <is>
          <t xml:space="preserve">calc</t>
        </is>
      </c>
      <c r="G209" t="inlineStr">
        <is>
          <t xml:space="preserve">ед.: ₽/год · зависит от: Form001</t>
        </is>
      </c>
      <c r="H209" t="inlineStr">
        <is>
          <t xml:space="preserve">черновик</t>
        </is>
      </c>
      <c r="J209" t="inlineStr">
        <is>
          <t xml:space="preserve">SUMIF(cat_form,"Form001",cat_year)</t>
        </is>
      </c>
      <c r="K209" t="inlineStr">
        <is>
          <t xml:space="preserve">общий</t>
        </is>
      </c>
    </row>
    <row r="210">
      <c r="A210" t="inlineStr">
        <is>
          <t xml:space="preserve">157</t>
        </is>
      </c>
      <c r="B210" t="inlineStr">
        <is>
          <t xml:space="preserve">Амортизация · офисное оборудование</t>
        </is>
      </c>
      <c r="C210" t="inlineStr">
        <is>
          <t xml:space="preserve">тождественно</t>
        </is>
      </c>
      <c r="D210" t="inlineStr">
        <is>
          <t xml:space="preserve">Амортизация — Постепенное включение стоимости имущества в расходы бизнеса по мере его использования и износа.</t>
        </is>
      </c>
      <c r="E210" t="inlineStr">
        <is>
          <t xml:space="preserve">dep_office</t>
        </is>
      </c>
      <c r="F210" t="inlineStr">
        <is>
          <t xml:space="preserve">calc</t>
        </is>
      </c>
      <c r="G210" t="inlineStr">
        <is>
          <t xml:space="preserve">ед.: ₽/год · зависит от: Form002</t>
        </is>
      </c>
      <c r="H210" t="inlineStr">
        <is>
          <t xml:space="preserve">черновик</t>
        </is>
      </c>
      <c r="J210" t="inlineStr">
        <is>
          <t xml:space="preserve">SUMIF(cat_form,"Form002",cat_year)</t>
        </is>
      </c>
      <c r="K210" t="inlineStr">
        <is>
          <t xml:space="preserve">общий</t>
        </is>
      </c>
    </row>
    <row r="211">
      <c r="A211" t="inlineStr">
        <is>
          <t xml:space="preserve">158</t>
        </is>
      </c>
      <c r="B211" t="inlineStr">
        <is>
          <t xml:space="preserve">Амортизация · ПО разовые покупки</t>
        </is>
      </c>
      <c r="C211" t="inlineStr">
        <is>
          <t xml:space="preserve">тождественно</t>
        </is>
      </c>
      <c r="D211" t="inlineStr">
        <is>
          <t xml:space="preserve">Амортизация — Постепенное включение стоимости имущества в расходы бизнеса по мере его использования и износа.</t>
        </is>
      </c>
      <c r="E211" t="inlineStr">
        <is>
          <t xml:space="preserve">dep_software</t>
        </is>
      </c>
      <c r="F211" t="inlineStr">
        <is>
          <t xml:space="preserve">calc</t>
        </is>
      </c>
      <c r="G211" t="inlineStr">
        <is>
          <t xml:space="preserve">ед.: ₽/год · зависит от: Form004</t>
        </is>
      </c>
      <c r="H211" t="inlineStr">
        <is>
          <t xml:space="preserve">черновик</t>
        </is>
      </c>
      <c r="J211" t="inlineStr">
        <is>
          <t xml:space="preserve">SUMIF(cat_form,"Form004",cat_year)</t>
        </is>
      </c>
      <c r="K211" t="inlineStr">
        <is>
          <t xml:space="preserve">общий</t>
        </is>
      </c>
    </row>
    <row r="212">
      <c r="A212" t="inlineStr">
        <is>
          <t xml:space="preserve">159</t>
        </is>
      </c>
      <c r="B212" t="inlineStr">
        <is>
          <t xml:space="preserve">Амортизация · обустройство места</t>
        </is>
      </c>
      <c r="C212" t="inlineStr">
        <is>
          <t xml:space="preserve">тождественно</t>
        </is>
      </c>
      <c r="D212" t="inlineStr">
        <is>
          <t xml:space="preserve">Амортизация — Постепенное включение стоимости имущества в расходы бизнеса по мере его использования и износа.</t>
        </is>
      </c>
      <c r="E212" t="inlineStr">
        <is>
          <t xml:space="preserve">dep_workspace</t>
        </is>
      </c>
      <c r="F212" t="inlineStr">
        <is>
          <t xml:space="preserve">calc</t>
        </is>
      </c>
      <c r="G212" t="inlineStr">
        <is>
          <t xml:space="preserve">ед.: ₽/год · зависит от: Form013</t>
        </is>
      </c>
      <c r="H212" t="inlineStr">
        <is>
          <t xml:space="preserve">черновик</t>
        </is>
      </c>
      <c r="J212" t="inlineStr">
        <is>
          <t xml:space="preserve">SUMIF(cat_form,"Form013",cat_year)</t>
        </is>
      </c>
      <c r="K212" t="inlineStr">
        <is>
          <t xml:space="preserve">общий</t>
        </is>
      </c>
    </row>
    <row r="213">
      <c r="A213" t="inlineStr">
        <is>
          <t xml:space="preserve">160</t>
        </is>
      </c>
      <c r="B213" t="inlineStr">
        <is>
          <t xml:space="preserve">ИТОГО амортизация</t>
        </is>
      </c>
      <c r="C213" t="inlineStr">
        <is>
          <t xml:space="preserve">переименовать</t>
        </is>
      </c>
      <c r="D213" t="inlineStr">
        <is>
          <t xml:space="preserve">Амортизация — Постепенное включение стоимости имущества в расходы бизнеса по мере его использования и износа.</t>
        </is>
      </c>
      <c r="E213" t="inlineStr">
        <is>
          <t xml:space="preserve">investment</t>
        </is>
      </c>
      <c r="F213" t="inlineStr">
        <is>
          <t xml:space="preserve">calc</t>
        </is>
      </c>
      <c r="G213" t="inlineStr">
        <is>
          <t xml:space="preserve">ед.: ₽/год · зависит от: dep_*</t>
        </is>
      </c>
      <c r="H213" t="inlineStr">
        <is>
          <t xml:space="preserve">черновик</t>
        </is>
      </c>
      <c r="J213" t="inlineStr">
        <is>
          <t xml:space="preserve">dep_shoot+dep_office+dep_software+dep_workspace+dep_education+dep_website</t>
        </is>
      </c>
      <c r="K213" t="inlineStr">
        <is>
          <t xml:space="preserve">общий</t>
        </is>
      </c>
    </row>
    <row r="214">
      <c r="A214" t="inlineStr">
        <is>
          <t xml:space="preserve">161</t>
        </is>
      </c>
      <c r="B214" t="inlineStr">
        <is>
          <t xml:space="preserve">Переменные · подписки ПО</t>
        </is>
      </c>
      <c r="C214" t="inlineStr">
        <is>
          <t xml:space="preserve">переименовать</t>
        </is>
      </c>
      <c r="D214" t="inlineStr">
        <is>
          <t xml:space="preserve">Подписки — Регулярные платежи за доступ к программам, сервисам, платформам и другим цифровым инструментам, необходимым специалисту для работы.</t>
        </is>
      </c>
      <c r="E214" t="inlineStr">
        <is>
          <t xml:space="preserve">var_software</t>
        </is>
      </c>
      <c r="F214" t="inlineStr">
        <is>
          <t xml:space="preserve">calc</t>
        </is>
      </c>
      <c r="G214" t="inlineStr">
        <is>
          <t xml:space="preserve">ед.: ₽/год · зависит от: Form003</t>
        </is>
      </c>
      <c r="H214" t="inlineStr">
        <is>
          <t xml:space="preserve">черновик</t>
        </is>
      </c>
      <c r="J214" t="inlineStr">
        <is>
          <t xml:space="preserve">SUMIF(cat_form,"Form003",cat_year)</t>
        </is>
      </c>
      <c r="K214" t="inlineStr">
        <is>
          <t xml:space="preserve">общий</t>
        </is>
      </c>
    </row>
    <row r="215">
      <c r="A215" t="inlineStr">
        <is>
          <t xml:space="preserve">162</t>
        </is>
      </c>
      <c r="B215" t="inlineStr">
        <is>
          <t xml:space="preserve">Переменные · реклама и продвижение</t>
        </is>
      </c>
      <c r="C215" t="inlineStr">
        <is>
          <t xml:space="preserve">переименовать</t>
        </is>
      </c>
      <c r="D215" t="inlineStr">
        <is>
          <t xml:space="preserve">Реклама — Распространение информации о специалисте, его услугах или продуктах с целью привлечения внимания потенциальных клиентов и стимулирования спроса.</t>
        </is>
      </c>
      <c r="E215" t="inlineStr">
        <is>
          <t xml:space="preserve">var_ads</t>
        </is>
      </c>
      <c r="F215" t="inlineStr">
        <is>
          <t xml:space="preserve">calc</t>
        </is>
      </c>
      <c r="G215" t="inlineStr">
        <is>
          <t xml:space="preserve">ед.: ₽/год · зависит от: Form010</t>
        </is>
      </c>
      <c r="H215" t="inlineStr">
        <is>
          <t xml:space="preserve">черновик</t>
        </is>
      </c>
      <c r="J215" t="inlineStr">
        <is>
          <t xml:space="preserve">SUMIF(cat_form,"Form010",cat_year)</t>
        </is>
      </c>
      <c r="K215" t="inlineStr">
        <is>
          <t xml:space="preserve">общий</t>
        </is>
      </c>
    </row>
    <row r="216">
      <c r="A216" t="inlineStr">
        <is>
          <t xml:space="preserve">163</t>
        </is>
      </c>
      <c r="B216" t="inlineStr">
        <is>
          <t xml:space="preserve">Переменные · банк РКО и СМС</t>
        </is>
      </c>
      <c r="C216" t="inlineStr">
        <is>
          <t xml:space="preserve">переименовать</t>
        </is>
      </c>
      <c r="D216" t="inlineStr">
        <is>
          <t xml:space="preserve">Банковское обслуживание — Расходы на ведение банковских счетов, проведение платежей и использование других банковских услуг, необходимых для профессиональной деятельности.</t>
        </is>
      </c>
      <c r="E216" t="inlineStr">
        <is>
          <t xml:space="preserve">var_bank</t>
        </is>
      </c>
      <c r="F216" t="inlineStr">
        <is>
          <t xml:space="preserve">calc</t>
        </is>
      </c>
      <c r="G216" t="inlineStr">
        <is>
          <t xml:space="preserve">ед.: ₽/год · зависит от: Form007</t>
        </is>
      </c>
      <c r="H216" t="inlineStr">
        <is>
          <t xml:space="preserve">черновик</t>
        </is>
      </c>
      <c r="J216" t="inlineStr">
        <is>
          <t xml:space="preserve">SUMIF(cat_form,"Form007",cat_year)</t>
        </is>
      </c>
      <c r="K216" t="inlineStr">
        <is>
          <t xml:space="preserve">общий</t>
        </is>
      </c>
    </row>
    <row r="217">
      <c r="A217" t="inlineStr">
        <is>
          <t xml:space="preserve">164</t>
        </is>
      </c>
      <c r="B217" t="inlineStr">
        <is>
          <t xml:space="preserve">Специалист по учёту · стоимость в месяц</t>
        </is>
      </c>
      <c r="C217" t="inlineStr">
        <is>
          <t xml:space="preserve">переименовать</t>
        </is>
      </c>
      <c r="D217" t="inlineStr">
        <is>
          <t xml:space="preserve">Бухгалтерия — 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c r="E217" t="inlineStr">
        <is>
          <t xml:space="preserve">acc_cost_month</t>
        </is>
      </c>
      <c r="F217" t="inlineStr">
        <is>
          <t xml:space="preserve">default</t>
        </is>
      </c>
      <c r="G217" t="inlineStr">
        <is>
          <t xml:space="preserve">ед.: ₽/мес</t>
        </is>
      </c>
      <c r="H217" t="inlineStr">
        <is>
          <t xml:space="preserve">черновик</t>
        </is>
      </c>
      <c r="J217" t="inlineStr">
        <is>
          <t xml:space="preserve">10000</t>
        </is>
      </c>
      <c r="K217" t="inlineStr">
        <is>
          <t xml:space="preserve">общий</t>
        </is>
      </c>
    </row>
    <row r="218">
      <c r="A218" t="inlineStr">
        <is>
          <t xml:space="preserve">165</t>
        </is>
      </c>
      <c r="B218" t="inlineStr">
        <is>
          <t xml:space="preserve">Переменные · специалист по учёту</t>
        </is>
      </c>
      <c r="C218" t="inlineStr">
        <is>
          <t xml:space="preserve">переименовать</t>
        </is>
      </c>
      <c r="D218" t="inlineStr">
        <is>
          <t xml:space="preserve">Бухгалтерия — 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c r="E218" t="inlineStr">
        <is>
          <t xml:space="preserve">var_accounting</t>
        </is>
      </c>
      <c r="F218" t="inlineStr">
        <is>
          <t xml:space="preserve">calc</t>
        </is>
      </c>
      <c r="G218" t="inlineStr">
        <is>
          <t xml:space="preserve">ед.: ₽/год · зависит от: acc_mode, acc_cost_month, months</t>
        </is>
      </c>
      <c r="H218" t="inlineStr">
        <is>
          <t xml:space="preserve">черновик</t>
        </is>
      </c>
      <c r="J218" t="inlineStr">
        <is>
          <t xml:space="preserve">IF(acc_mode="Нанимаю специалиста",acc_cost_month*months,0)</t>
        </is>
      </c>
      <c r="K218" t="inlineStr">
        <is>
          <t xml:space="preserve">общий</t>
        </is>
      </c>
    </row>
    <row r="219">
      <c r="A219" t="inlineStr">
        <is>
          <t xml:space="preserve">166</t>
        </is>
      </c>
      <c r="B219" t="inlineStr">
        <is>
          <t xml:space="preserve">ИТОГО переменные</t>
        </is>
      </c>
      <c r="C219" t="inlineStr">
        <is>
          <t xml:space="preserve">переименовать</t>
        </is>
      </c>
      <c r="D219" t="inlineStr">
        <is>
          <t xml:space="preserve">Текущие расходы — Регулярные расходы специалиста, необходимые для поддержания профессиональной деятельности и выполнения работы в течение определённого периода.</t>
        </is>
      </c>
      <c r="E219" t="inlineStr">
        <is>
          <t xml:space="preserve">variable_costs</t>
        </is>
      </c>
      <c r="F219" t="inlineStr">
        <is>
          <t xml:space="preserve">calc</t>
        </is>
      </c>
      <c r="G219" t="inlineStr">
        <is>
          <t xml:space="preserve">ед.: ₽/год · зависит от: var_*</t>
        </is>
      </c>
      <c r="H219" t="inlineStr">
        <is>
          <t xml:space="preserve">черновик</t>
        </is>
      </c>
      <c r="J219" t="inlineStr">
        <is>
          <t xml:space="preserve">var_software+var_ads+var_bank+var_accounting+var_workspace</t>
        </is>
      </c>
      <c r="K219" t="inlineStr">
        <is>
          <t xml:space="preserve">общий</t>
        </is>
      </c>
    </row>
    <row r="220">
      <c r="A220" t="inlineStr">
        <is>
          <t xml:space="preserve">167</t>
        </is>
      </c>
      <c r="B220" t="inlineStr">
        <is>
          <t xml:space="preserve">ВСЕГО РАСХОДОВ (C)</t>
        </is>
      </c>
      <c r="C220" t="inlineStr">
        <is>
          <t xml:space="preserve">нет понятия</t>
        </is>
      </c>
      <c r="E220" t="inlineStr">
        <is>
          <t xml:space="preserve">total_costs</t>
        </is>
      </c>
      <c r="F220" t="inlineStr">
        <is>
          <t xml:space="preserve">calc</t>
        </is>
      </c>
      <c r="G220" t="inlineStr">
        <is>
          <t xml:space="preserve">ед.: ₽/год · зависит от: investment, variable_costs</t>
        </is>
      </c>
      <c r="H220" t="inlineStr">
        <is>
          <t xml:space="preserve">черновик</t>
        </is>
      </c>
      <c r="J220" t="inlineStr">
        <is>
          <t xml:space="preserve">investment+variable_costs</t>
        </is>
      </c>
      <c r="K220" t="inlineStr">
        <is>
          <t xml:space="preserve">общий</t>
        </is>
      </c>
    </row>
    <row r="221">
      <c r="A221" t="inlineStr">
        <is>
          <t xml:space="preserve">168</t>
        </is>
      </c>
      <c r="B221" t="inlineStr">
        <is>
          <t xml:space="preserve">База для выручки</t>
        </is>
      </c>
      <c r="C221" t="inlineStr">
        <is>
          <t xml:space="preserve">не сверяется</t>
        </is>
      </c>
      <c r="E221" t="inlineStr">
        <is>
          <t xml:space="preserve">revenue_base</t>
        </is>
      </c>
      <c r="F221" t="inlineStr">
        <is>
          <t xml:space="preserve">calc</t>
        </is>
      </c>
      <c r="G221" t="inlineStr">
        <is>
          <t xml:space="preserve">ед.: ₽/год · зависит от: target_income, total_costs</t>
        </is>
      </c>
      <c r="H221" t="inlineStr">
        <is>
          <t xml:space="preserve">черновик</t>
        </is>
      </c>
      <c r="J221" t="inlineStr">
        <is>
          <t xml:space="preserve">target_income+total_costs</t>
        </is>
      </c>
      <c r="K221" t="inlineStr">
        <is>
          <t xml:space="preserve">внутренний</t>
        </is>
      </c>
    </row>
    <row r="222"/>
    <row r="223">
      <c r="A223" t="inlineStr">
        <is>
          <t xml:space="preserve">8 · Налоги</t>
        </is>
      </c>
    </row>
    <row r="224">
      <c r="A224" t="inlineStr">
        <is>
          <t xml:space="preserve">№</t>
        </is>
      </c>
      <c r="B224" t="inlineStr">
        <is>
          <t xml:space="preserve">Наименование</t>
        </is>
      </c>
      <c r="C224" t="inlineStr">
        <is>
          <t xml:space="preserve">Статус (временный)</t>
        </is>
      </c>
      <c r="D224" t="inlineStr">
        <is>
          <t xml:space="preserve">Справочник · для сверки (временный)</t>
        </is>
      </c>
      <c r="E224" t="inlineStr">
        <is>
          <t xml:space="preserve">ID</t>
        </is>
      </c>
      <c r="F224" t="inlineStr">
        <is>
          <t xml:space="preserve">Тип</t>
        </is>
      </c>
      <c r="G224" t="inlineStr">
        <is>
          <t xml:space="preserve">Определение</t>
        </is>
      </c>
      <c r="H224" t="inlineStr">
        <is>
          <t xml:space="preserve">Определение утверждено</t>
        </is>
      </c>
      <c r="I224" t="inlineStr">
        <is>
          <t xml:space="preserve">Описание алгоритма</t>
        </is>
      </c>
      <c r="J224" t="inlineStr">
        <is>
          <t xml:space="preserve">Формула (пример расчёта)</t>
        </is>
      </c>
      <c r="K224" t="inlineStr">
        <is>
          <t xml:space="preserve">Где используется</t>
        </is>
      </c>
      <c r="L224" t="inlineStr">
        <is>
          <t xml:space="preserve">Решение (временный)</t>
        </is>
      </c>
    </row>
    <row r="225">
      <c r="A225" t="inlineStr">
        <is>
          <t xml:space="preserve">169</t>
        </is>
      </c>
      <c r="B225" t="inlineStr">
        <is>
          <t xml:space="preserve">ПЕРЕКЛЮЧАТЕЛЬ · режим налогообложения</t>
        </is>
      </c>
      <c r="C225" t="inlineStr">
        <is>
          <t xml:space="preserve">переименовать</t>
        </is>
      </c>
      <c r="D225"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25" t="inlineStr">
        <is>
          <t xml:space="preserve">regime</t>
        </is>
      </c>
      <c r="F225" t="inlineStr">
        <is>
          <t xml:space="preserve">switch</t>
        </is>
      </c>
      <c r="J225" t="inlineStr">
        <is>
          <t xml:space="preserve">Самозанятый (НПД), средняя ставка</t>
        </is>
      </c>
      <c r="K225" t="inlineStr">
        <is>
          <t xml:space="preserve">общий</t>
        </is>
      </c>
    </row>
    <row r="226">
      <c r="A226" t="inlineStr">
        <is>
          <t xml:space="preserve">170</t>
        </is>
      </c>
      <c r="B226" t="inlineStr">
        <is>
          <t xml:space="preserve">НПД · средняя ставка</t>
        </is>
      </c>
      <c r="C226" t="inlineStr">
        <is>
          <t xml:space="preserve">переименовать</t>
        </is>
      </c>
      <c r="D226"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26" t="inlineStr">
        <is>
          <t xml:space="preserve">rate_npd_avg</t>
        </is>
      </c>
      <c r="F226" t="inlineStr">
        <is>
          <t xml:space="preserve">default</t>
        </is>
      </c>
      <c r="G226" t="inlineStr">
        <is>
          <t xml:space="preserve">ед.: %</t>
        </is>
      </c>
      <c r="H226" t="inlineStr">
        <is>
          <t xml:space="preserve">черновик</t>
        </is>
      </c>
      <c r="J226" t="inlineStr">
        <is>
          <t xml:space="preserve">0.05</t>
        </is>
      </c>
      <c r="K226" t="inlineStr">
        <is>
          <t xml:space="preserve">общий</t>
        </is>
      </c>
    </row>
    <row r="227">
      <c r="A227" t="inlineStr">
        <is>
          <t xml:space="preserve">171</t>
        </is>
      </c>
      <c r="B227" t="inlineStr">
        <is>
          <t xml:space="preserve">НПД · физлица</t>
        </is>
      </c>
      <c r="C227" t="inlineStr">
        <is>
          <t xml:space="preserve">переименовать</t>
        </is>
      </c>
      <c r="D22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27" t="inlineStr">
        <is>
          <t xml:space="preserve">rate_npd_fiz</t>
        </is>
      </c>
      <c r="F227" t="inlineStr">
        <is>
          <t xml:space="preserve">const</t>
        </is>
      </c>
      <c r="G227" t="inlineStr">
        <is>
          <t xml:space="preserve">ед.: %</t>
        </is>
      </c>
      <c r="H227" t="inlineStr">
        <is>
          <t xml:space="preserve">черновик</t>
        </is>
      </c>
      <c r="J227" t="inlineStr">
        <is>
          <t xml:space="preserve">0.04</t>
        </is>
      </c>
      <c r="K227" t="inlineStr">
        <is>
          <t xml:space="preserve">общий</t>
        </is>
      </c>
    </row>
    <row r="228">
      <c r="A228" t="inlineStr">
        <is>
          <t xml:space="preserve">172</t>
        </is>
      </c>
      <c r="B228" t="inlineStr">
        <is>
          <t xml:space="preserve">НПД · юрлица</t>
        </is>
      </c>
      <c r="C228" t="inlineStr">
        <is>
          <t xml:space="preserve">переименовать</t>
        </is>
      </c>
      <c r="D22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28" t="inlineStr">
        <is>
          <t xml:space="preserve">rate_npd_ur</t>
        </is>
      </c>
      <c r="F228" t="inlineStr">
        <is>
          <t xml:space="preserve">const</t>
        </is>
      </c>
      <c r="G228" t="inlineStr">
        <is>
          <t xml:space="preserve">ед.: %</t>
        </is>
      </c>
      <c r="H228" t="inlineStr">
        <is>
          <t xml:space="preserve">черновик</t>
        </is>
      </c>
      <c r="J228" t="inlineStr">
        <is>
          <t xml:space="preserve">0.06</t>
        </is>
      </c>
      <c r="K228" t="inlineStr">
        <is>
          <t xml:space="preserve">общий</t>
        </is>
      </c>
    </row>
    <row r="229">
      <c r="A229" t="inlineStr">
        <is>
          <t xml:space="preserve">173</t>
        </is>
      </c>
      <c r="B229" t="inlineStr">
        <is>
          <t xml:space="preserve">УСН доходы</t>
        </is>
      </c>
      <c r="C229" t="inlineStr">
        <is>
          <t xml:space="preserve">переименовать</t>
        </is>
      </c>
      <c r="D229"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29" t="inlineStr">
        <is>
          <t xml:space="preserve">rate_usn_inc</t>
        </is>
      </c>
      <c r="F229" t="inlineStr">
        <is>
          <t xml:space="preserve">default</t>
        </is>
      </c>
      <c r="G229" t="inlineStr">
        <is>
          <t xml:space="preserve">ед.: %</t>
        </is>
      </c>
      <c r="H229" t="inlineStr">
        <is>
          <t xml:space="preserve">черновик</t>
        </is>
      </c>
      <c r="J229" t="inlineStr">
        <is>
          <t xml:space="preserve">0.06</t>
        </is>
      </c>
      <c r="K229" t="inlineStr">
        <is>
          <t xml:space="preserve">общий</t>
        </is>
      </c>
    </row>
    <row r="230">
      <c r="A230" t="inlineStr">
        <is>
          <t xml:space="preserve">174</t>
        </is>
      </c>
      <c r="B230" t="inlineStr">
        <is>
          <t xml:space="preserve">УСН доходы минус расходы</t>
        </is>
      </c>
      <c r="C230" t="inlineStr">
        <is>
          <t xml:space="preserve">переименовать</t>
        </is>
      </c>
      <c r="D230"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30" t="inlineStr">
        <is>
          <t xml:space="preserve">rate_usn_prof</t>
        </is>
      </c>
      <c r="F230" t="inlineStr">
        <is>
          <t xml:space="preserve">default</t>
        </is>
      </c>
      <c r="G230" t="inlineStr">
        <is>
          <t xml:space="preserve">ед.: %</t>
        </is>
      </c>
      <c r="H230" t="inlineStr">
        <is>
          <t xml:space="preserve">черновик</t>
        </is>
      </c>
      <c r="J230" t="inlineStr">
        <is>
          <t xml:space="preserve">0.15</t>
        </is>
      </c>
      <c r="K230" t="inlineStr">
        <is>
          <t xml:space="preserve">общий</t>
        </is>
      </c>
    </row>
    <row r="231">
      <c r="A231" t="inlineStr">
        <is>
          <t xml:space="preserve">175</t>
        </is>
      </c>
      <c r="B231" t="inlineStr">
        <is>
          <t xml:space="preserve">АУСН доходы</t>
        </is>
      </c>
      <c r="C231" t="inlineStr">
        <is>
          <t xml:space="preserve">переименовать</t>
        </is>
      </c>
      <c r="D231"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31" t="inlineStr">
        <is>
          <t xml:space="preserve">rate_ausn_inc</t>
        </is>
      </c>
      <c r="F231" t="inlineStr">
        <is>
          <t xml:space="preserve">const</t>
        </is>
      </c>
      <c r="G231" t="inlineStr">
        <is>
          <t xml:space="preserve">ед.: %</t>
        </is>
      </c>
      <c r="H231" t="inlineStr">
        <is>
          <t xml:space="preserve">черновик</t>
        </is>
      </c>
      <c r="J231" t="inlineStr">
        <is>
          <t xml:space="preserve">0.08</t>
        </is>
      </c>
      <c r="K231" t="inlineStr">
        <is>
          <t xml:space="preserve">общий</t>
        </is>
      </c>
    </row>
    <row r="232">
      <c r="A232" t="inlineStr">
        <is>
          <t xml:space="preserve">176</t>
        </is>
      </c>
      <c r="B232" t="inlineStr">
        <is>
          <t xml:space="preserve">АУСН доходы минус расходы</t>
        </is>
      </c>
      <c r="C232" t="inlineStr">
        <is>
          <t xml:space="preserve">переименовать</t>
        </is>
      </c>
      <c r="D232"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32" t="inlineStr">
        <is>
          <t xml:space="preserve">rate_ausn_prof</t>
        </is>
      </c>
      <c r="F232" t="inlineStr">
        <is>
          <t xml:space="preserve">const</t>
        </is>
      </c>
      <c r="G232" t="inlineStr">
        <is>
          <t xml:space="preserve">ед.: %</t>
        </is>
      </c>
      <c r="H232" t="inlineStr">
        <is>
          <t xml:space="preserve">черновик</t>
        </is>
      </c>
      <c r="J232" t="inlineStr">
        <is>
          <t xml:space="preserve">0.2</t>
        </is>
      </c>
      <c r="K232" t="inlineStr">
        <is>
          <t xml:space="preserve">общий</t>
        </is>
      </c>
    </row>
    <row r="233">
      <c r="A233" t="inlineStr">
        <is>
          <t xml:space="preserve">177</t>
        </is>
      </c>
      <c r="B233" t="inlineStr">
        <is>
          <t xml:space="preserve">Номер режима (1–7)</t>
        </is>
      </c>
      <c r="C233" t="inlineStr">
        <is>
          <t xml:space="preserve">переименовать</t>
        </is>
      </c>
      <c r="D233"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33" t="inlineStr">
        <is>
          <t xml:space="preserve">regime_no</t>
        </is>
      </c>
      <c r="F233" t="inlineStr">
        <is>
          <t xml:space="preserve">calc</t>
        </is>
      </c>
      <c r="G233" t="inlineStr">
        <is>
          <t xml:space="preserve">ед.: № · зависит от: regime</t>
        </is>
      </c>
      <c r="H233" t="inlineStr">
        <is>
          <t xml:space="preserve">черновик</t>
        </is>
      </c>
      <c r="J233" t="inlineStr">
        <is>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K233" t="inlineStr">
        <is>
          <t xml:space="preserve">общий</t>
        </is>
      </c>
    </row>
    <row r="234">
      <c r="A234" t="inlineStr">
        <is>
          <t xml:space="preserve">178</t>
        </is>
      </c>
      <c r="B234" t="inlineStr">
        <is>
          <t xml:space="preserve">Ставка выбранного режима</t>
        </is>
      </c>
      <c r="C234" t="inlineStr">
        <is>
          <t xml:space="preserve">переименовать</t>
        </is>
      </c>
      <c r="D234"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34" t="inlineStr">
        <is>
          <t xml:space="preserve">rate_current</t>
        </is>
      </c>
      <c r="F234" t="inlineStr">
        <is>
          <t xml:space="preserve">calc</t>
        </is>
      </c>
      <c r="G234" t="inlineStr">
        <is>
          <t xml:space="preserve">ед.: % · зависит от: regime_no</t>
        </is>
      </c>
      <c r="H234" t="inlineStr">
        <is>
          <t xml:space="preserve">черновик</t>
        </is>
      </c>
      <c r="J234" t="inlineStr">
        <is>
          <t xml:space="preserve">CHOOSE(regime_no,rate_npd_avg,rate_npd_fiz,rate_npd_ur,rate_usn_inc,rate_usn_prof,rate_ausn_inc,rate_ausn_prof)</t>
        </is>
      </c>
      <c r="K234" t="inlineStr">
        <is>
          <t xml:space="preserve">общий</t>
        </is>
      </c>
    </row>
    <row r="235">
      <c r="A235" t="inlineStr">
        <is>
          <t xml:space="preserve">179</t>
        </is>
      </c>
      <c r="B235" t="inlineStr">
        <is>
          <t xml:space="preserve">Фиксированные взносы ИП</t>
        </is>
      </c>
      <c r="C235" t="inlineStr">
        <is>
          <t xml:space="preserve">переименовать</t>
        </is>
      </c>
      <c r="D235"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35" t="inlineStr">
        <is>
          <t xml:space="preserve">fixed_contrib</t>
        </is>
      </c>
      <c r="F235" t="inlineStr">
        <is>
          <t xml:space="preserve">const</t>
        </is>
      </c>
      <c r="G235" t="inlineStr">
        <is>
          <t xml:space="preserve">ед.: ₽/год</t>
        </is>
      </c>
      <c r="H235" t="inlineStr">
        <is>
          <t xml:space="preserve">черновик</t>
        </is>
      </c>
      <c r="J235" t="inlineStr">
        <is>
          <t xml:space="preserve">57390</t>
        </is>
      </c>
      <c r="K235" t="inlineStr">
        <is>
          <t xml:space="preserve">общий</t>
        </is>
      </c>
    </row>
    <row r="236">
      <c r="A236" t="inlineStr">
        <is>
          <t xml:space="preserve">180</t>
        </is>
      </c>
      <c r="B236" t="inlineStr">
        <is>
          <t xml:space="preserve">Дополнительный взнос</t>
        </is>
      </c>
      <c r="C236" t="inlineStr">
        <is>
          <t xml:space="preserve">переименовать</t>
        </is>
      </c>
      <c r="D236"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36" t="inlineStr">
        <is>
          <t xml:space="preserve">extra_contrib</t>
        </is>
      </c>
      <c r="F236" t="inlineStr">
        <is>
          <t xml:space="preserve">const</t>
        </is>
      </c>
      <c r="G236" t="inlineStr">
        <is>
          <t xml:space="preserve">ед.: %</t>
        </is>
      </c>
      <c r="H236" t="inlineStr">
        <is>
          <t xml:space="preserve">черновик</t>
        </is>
      </c>
      <c r="J236" t="inlineStr">
        <is>
          <t xml:space="preserve">0.01</t>
        </is>
      </c>
      <c r="K236" t="inlineStr">
        <is>
          <t xml:space="preserve">общий</t>
        </is>
      </c>
    </row>
    <row r="237">
      <c r="A237" t="inlineStr">
        <is>
          <t xml:space="preserve">181</t>
        </is>
      </c>
      <c r="B237" t="inlineStr">
        <is>
          <t xml:space="preserve">Предельная величина дохода</t>
        </is>
      </c>
      <c r="C237" t="inlineStr">
        <is>
          <t xml:space="preserve">переименовать</t>
        </is>
      </c>
      <c r="D237"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37" t="inlineStr">
        <is>
          <t xml:space="preserve">contrib_threshold</t>
        </is>
      </c>
      <c r="F237" t="inlineStr">
        <is>
          <t xml:space="preserve">const</t>
        </is>
      </c>
      <c r="G237" t="inlineStr">
        <is>
          <t xml:space="preserve">ед.: ₽/год</t>
        </is>
      </c>
      <c r="H237" t="inlineStr">
        <is>
          <t xml:space="preserve">черновик</t>
        </is>
      </c>
      <c r="J237" t="inlineStr">
        <is>
          <t xml:space="preserve">300000</t>
        </is>
      </c>
      <c r="K237" t="inlineStr">
        <is>
          <t xml:space="preserve">общий</t>
        </is>
      </c>
    </row>
    <row r="238">
      <c r="A238" t="inlineStr">
        <is>
          <t xml:space="preserve">182</t>
        </is>
      </c>
      <c r="B238" t="inlineStr">
        <is>
          <t xml:space="preserve">Максимум допвзноса</t>
        </is>
      </c>
      <c r="C238" t="inlineStr">
        <is>
          <t xml:space="preserve">переименовать</t>
        </is>
      </c>
      <c r="D238"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38" t="inlineStr">
        <is>
          <t xml:space="preserve">contrib_cap</t>
        </is>
      </c>
      <c r="F238" t="inlineStr">
        <is>
          <t xml:space="preserve">const</t>
        </is>
      </c>
      <c r="G238" t="inlineStr">
        <is>
          <t xml:space="preserve">ед.: ₽/год</t>
        </is>
      </c>
      <c r="H238" t="inlineStr">
        <is>
          <t xml:space="preserve">черновик</t>
        </is>
      </c>
      <c r="J238" t="inlineStr">
        <is>
          <t xml:space="preserve">321818</t>
        </is>
      </c>
      <c r="K238" t="inlineStr">
        <is>
          <t xml:space="preserve">общий</t>
        </is>
      </c>
    </row>
    <row r="239">
      <c r="A239" t="inlineStr">
        <is>
          <t xml:space="preserve">183</t>
        </is>
      </c>
      <c r="B239" t="inlineStr">
        <is>
          <t xml:space="preserve">Поправка на порог</t>
        </is>
      </c>
      <c r="C239" t="inlineStr">
        <is>
          <t xml:space="preserve">переименовать</t>
        </is>
      </c>
      <c r="D239"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39" t="inlineStr">
        <is>
          <t xml:space="preserve">threshold_credit</t>
        </is>
      </c>
      <c r="F239" t="inlineStr">
        <is>
          <t xml:space="preserve">calc</t>
        </is>
      </c>
      <c r="G239" t="inlineStr">
        <is>
          <t xml:space="preserve">ед.: ₽ · зависит от: contrib_threshold, extra_contrib</t>
        </is>
      </c>
      <c r="H239" t="inlineStr">
        <is>
          <t xml:space="preserve">черновик</t>
        </is>
      </c>
      <c r="J239" t="inlineStr">
        <is>
          <t xml:space="preserve">contrib_threshold*extra_contrib</t>
        </is>
      </c>
      <c r="K239" t="inlineStr">
        <is>
          <t xml:space="preserve">общий</t>
        </is>
      </c>
    </row>
    <row r="240">
      <c r="A240" t="inlineStr">
        <is>
          <t xml:space="preserve">184</t>
        </is>
      </c>
      <c r="B240" t="inlineStr">
        <is>
          <t xml:space="preserve">Минимальный налог УСН Д−Р</t>
        </is>
      </c>
      <c r="C240" t="inlineStr">
        <is>
          <t xml:space="preserve">переименовать</t>
        </is>
      </c>
      <c r="D240" t="inlineStr">
        <is>
          <t xml:space="preserve">Налоги — 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c r="E240" t="inlineStr">
        <is>
          <t xml:space="preserve">min_tax_usn</t>
        </is>
      </c>
      <c r="F240" t="inlineStr">
        <is>
          <t xml:space="preserve">const</t>
        </is>
      </c>
      <c r="G240" t="inlineStr">
        <is>
          <t xml:space="preserve">ед.: %</t>
        </is>
      </c>
      <c r="H240" t="inlineStr">
        <is>
          <t xml:space="preserve">черновик</t>
        </is>
      </c>
      <c r="J240" t="inlineStr">
        <is>
          <t xml:space="preserve">0.01</t>
        </is>
      </c>
      <c r="K240" t="inlineStr">
        <is>
          <t xml:space="preserve">общий</t>
        </is>
      </c>
    </row>
    <row r="241">
      <c r="A241" t="inlineStr">
        <is>
          <t xml:space="preserve">185</t>
        </is>
      </c>
      <c r="B241" t="inlineStr">
        <is>
          <t xml:space="preserve">Минимальный налог АУСН Д−Р</t>
        </is>
      </c>
      <c r="C241" t="inlineStr">
        <is>
          <t xml:space="preserve">переименовать</t>
        </is>
      </c>
      <c r="D241" t="inlineStr">
        <is>
          <t xml:space="preserve">Налоги — 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c r="E241" t="inlineStr">
        <is>
          <t xml:space="preserve">min_tax_ausn</t>
        </is>
      </c>
      <c r="F241" t="inlineStr">
        <is>
          <t xml:space="preserve">const</t>
        </is>
      </c>
      <c r="G241" t="inlineStr">
        <is>
          <t xml:space="preserve">ед.: %</t>
        </is>
      </c>
      <c r="H241" t="inlineStr">
        <is>
          <t xml:space="preserve">черновик</t>
        </is>
      </c>
      <c r="J241" t="inlineStr">
        <is>
          <t xml:space="preserve">0.03</t>
        </is>
      </c>
      <c r="K241" t="inlineStr">
        <is>
          <t xml:space="preserve">общий</t>
        </is>
      </c>
    </row>
    <row r="242">
      <c r="A242" t="inlineStr">
        <is>
          <t xml:space="preserve">186</t>
        </is>
      </c>
      <c r="B242" t="inlineStr">
        <is>
          <t xml:space="preserve">Взнос на травматизм (АУСН)</t>
        </is>
      </c>
      <c r="C242" t="inlineStr">
        <is>
          <t xml:space="preserve">переименовать</t>
        </is>
      </c>
      <c r="D242"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E242" t="inlineStr">
        <is>
          <t xml:space="preserve">injury_contrib</t>
        </is>
      </c>
      <c r="F242" t="inlineStr">
        <is>
          <t xml:space="preserve">default</t>
        </is>
      </c>
      <c r="G242" t="inlineStr">
        <is>
          <t xml:space="preserve">ед.: ₽/год</t>
        </is>
      </c>
      <c r="H242" t="inlineStr">
        <is>
          <t xml:space="preserve">черновик</t>
        </is>
      </c>
      <c r="J242" t="inlineStr">
        <is>
          <t xml:space="preserve">0</t>
        </is>
      </c>
      <c r="K242" t="inlineStr">
        <is>
          <t xml:space="preserve">общий</t>
        </is>
      </c>
    </row>
    <row r="243">
      <c r="A243" t="inlineStr">
        <is>
          <t xml:space="preserve">187</t>
        </is>
      </c>
      <c r="B243" t="inlineStr">
        <is>
          <t xml:space="preserve">Эквайринг · ставка</t>
        </is>
      </c>
      <c r="C243" t="inlineStr">
        <is>
          <t xml:space="preserve">тождественно</t>
        </is>
      </c>
      <c r="D243"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c r="E243" t="inlineStr">
        <is>
          <t xml:space="preserve">acq_rate</t>
        </is>
      </c>
      <c r="F243" t="inlineStr">
        <is>
          <t xml:space="preserve">default</t>
        </is>
      </c>
      <c r="G243" t="inlineStr">
        <is>
          <t xml:space="preserve">ед.: %</t>
        </is>
      </c>
      <c r="H243" t="inlineStr">
        <is>
          <t xml:space="preserve">черновик</t>
        </is>
      </c>
      <c r="J243" t="inlineStr">
        <is>
          <t xml:space="preserve">0.027</t>
        </is>
      </c>
      <c r="K243" t="inlineStr">
        <is>
          <t xml:space="preserve">общий</t>
        </is>
      </c>
    </row>
    <row r="244">
      <c r="A244" t="inlineStr">
        <is>
          <t xml:space="preserve">188</t>
        </is>
      </c>
      <c r="B244" t="inlineStr">
        <is>
          <t xml:space="preserve">Эквайринг · доля безналичных оплат</t>
        </is>
      </c>
      <c r="C244" t="inlineStr">
        <is>
          <t xml:space="preserve">тождественно</t>
        </is>
      </c>
      <c r="D244"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c r="E244" t="inlineStr">
        <is>
          <t xml:space="preserve">acq_share</t>
        </is>
      </c>
      <c r="F244" t="inlineStr">
        <is>
          <t xml:space="preserve">default</t>
        </is>
      </c>
      <c r="G244" t="inlineStr">
        <is>
          <t xml:space="preserve">ед.: %</t>
        </is>
      </c>
      <c r="H244" t="inlineStr">
        <is>
          <t xml:space="preserve">черновик</t>
        </is>
      </c>
      <c r="J244" t="inlineStr">
        <is>
          <t xml:space="preserve">1.0</t>
        </is>
      </c>
      <c r="K244" t="inlineStr">
        <is>
          <t xml:space="preserve">общий</t>
        </is>
      </c>
    </row>
    <row r="245">
      <c r="A245" t="inlineStr">
        <is>
          <t xml:space="preserve">189</t>
        </is>
      </c>
      <c r="B245" t="inlineStr">
        <is>
          <t xml:space="preserve">Эквайринг · эффективно</t>
        </is>
      </c>
      <c r="C245" t="inlineStr">
        <is>
          <t xml:space="preserve">тождественно</t>
        </is>
      </c>
      <c r="D245"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c r="E245" t="inlineStr">
        <is>
          <t xml:space="preserve">acquiring</t>
        </is>
      </c>
      <c r="F245" t="inlineStr">
        <is>
          <t xml:space="preserve">calc</t>
        </is>
      </c>
      <c r="G245" t="inlineStr">
        <is>
          <t xml:space="preserve">ед.: % · зависит от: acq_rate, acq_share</t>
        </is>
      </c>
      <c r="H245" t="inlineStr">
        <is>
          <t xml:space="preserve">черновик</t>
        </is>
      </c>
      <c r="J245" t="inlineStr">
        <is>
          <t xml:space="preserve">acq_rate*acq_share</t>
        </is>
      </c>
      <c r="K245" t="inlineStr">
        <is>
          <t xml:space="preserve">общий</t>
        </is>
      </c>
    </row>
    <row r="246">
      <c r="A246" t="inlineStr">
        <is>
          <t xml:space="preserve">190</t>
        </is>
      </c>
      <c r="B246" t="inlineStr">
        <is>
          <t xml:space="preserve">Порог освобождения от НДС</t>
        </is>
      </c>
      <c r="C246" t="inlineStr">
        <is>
          <t xml:space="preserve">переименовать</t>
        </is>
      </c>
      <c r="D246"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46" t="inlineStr">
        <is>
          <t xml:space="preserve">vat_threshold</t>
        </is>
      </c>
      <c r="F246" t="inlineStr">
        <is>
          <t xml:space="preserve">const</t>
        </is>
      </c>
      <c r="G246" t="inlineStr">
        <is>
          <t xml:space="preserve">ед.: ₽/год</t>
        </is>
      </c>
      <c r="H246" t="inlineStr">
        <is>
          <t xml:space="preserve">черновик</t>
        </is>
      </c>
      <c r="J246" t="inlineStr">
        <is>
          <t xml:space="preserve">20000000</t>
        </is>
      </c>
      <c r="K246" t="inlineStr">
        <is>
          <t xml:space="preserve">общий</t>
        </is>
      </c>
    </row>
    <row r="247">
      <c r="A247" t="inlineStr">
        <is>
          <t xml:space="preserve">191</t>
        </is>
      </c>
      <c r="B247" t="inlineStr">
        <is>
          <t xml:space="preserve">Лимит НПД</t>
        </is>
      </c>
      <c r="C247" t="inlineStr">
        <is>
          <t xml:space="preserve">переименовать</t>
        </is>
      </c>
      <c r="D24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47" t="inlineStr">
        <is>
          <t xml:space="preserve">limit_npd</t>
        </is>
      </c>
      <c r="F247" t="inlineStr">
        <is>
          <t xml:space="preserve">const</t>
        </is>
      </c>
      <c r="G247" t="inlineStr">
        <is>
          <t xml:space="preserve">ед.: ₽/год</t>
        </is>
      </c>
      <c r="H247" t="inlineStr">
        <is>
          <t xml:space="preserve">черновик</t>
        </is>
      </c>
      <c r="J247" t="inlineStr">
        <is>
          <t xml:space="preserve">2400000</t>
        </is>
      </c>
      <c r="K247" t="inlineStr">
        <is>
          <t xml:space="preserve">общий</t>
        </is>
      </c>
    </row>
    <row r="248">
      <c r="A248" t="inlineStr">
        <is>
          <t xml:space="preserve">192</t>
        </is>
      </c>
      <c r="B248" t="inlineStr">
        <is>
          <t xml:space="preserve">Лимит АУСН</t>
        </is>
      </c>
      <c r="C248" t="inlineStr">
        <is>
          <t xml:space="preserve">переименовать</t>
        </is>
      </c>
      <c r="D24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E248" t="inlineStr">
        <is>
          <t xml:space="preserve">limit_ausn</t>
        </is>
      </c>
      <c r="F248" t="inlineStr">
        <is>
          <t xml:space="preserve">const</t>
        </is>
      </c>
      <c r="G248" t="inlineStr">
        <is>
          <t xml:space="preserve">ед.: ₽/год</t>
        </is>
      </c>
      <c r="H248" t="inlineStr">
        <is>
          <t xml:space="preserve">черновик</t>
        </is>
      </c>
      <c r="J248" t="inlineStr">
        <is>
          <t xml:space="preserve">60000000</t>
        </is>
      </c>
      <c r="K248" t="inlineStr">
        <is>
          <t xml:space="preserve">общий</t>
        </is>
      </c>
    </row>
    <row r="249"/>
    <row r="250">
      <c r="A250" t="inlineStr">
        <is>
          <t xml:space="preserve">9 · Справочные ставки</t>
        </is>
      </c>
    </row>
    <row r="251">
      <c r="A251" t="inlineStr">
        <is>
          <t xml:space="preserve">№</t>
        </is>
      </c>
      <c r="B251" t="inlineStr">
        <is>
          <t xml:space="preserve">Наименование</t>
        </is>
      </c>
      <c r="C251" t="inlineStr">
        <is>
          <t xml:space="preserve">Статус (временный)</t>
        </is>
      </c>
      <c r="D251" t="inlineStr">
        <is>
          <t xml:space="preserve">Справочник · для сверки (временный)</t>
        </is>
      </c>
      <c r="E251" t="inlineStr">
        <is>
          <t xml:space="preserve">ID</t>
        </is>
      </c>
      <c r="F251" t="inlineStr">
        <is>
          <t xml:space="preserve">Тип</t>
        </is>
      </c>
      <c r="G251" t="inlineStr">
        <is>
          <t xml:space="preserve">Определение</t>
        </is>
      </c>
      <c r="H251" t="inlineStr">
        <is>
          <t xml:space="preserve">Определение утверждено</t>
        </is>
      </c>
      <c r="I251" t="inlineStr">
        <is>
          <t xml:space="preserve">Описание алгоритма</t>
        </is>
      </c>
      <c r="J251" t="inlineStr">
        <is>
          <t xml:space="preserve">Формула (пример расчёта)</t>
        </is>
      </c>
      <c r="K251" t="inlineStr">
        <is>
          <t xml:space="preserve">Где используется</t>
        </is>
      </c>
      <c r="L251" t="inlineStr">
        <is>
          <t xml:space="preserve">Решение (временный)</t>
        </is>
      </c>
    </row>
    <row r="252">
      <c r="A252" t="inlineStr">
        <is>
          <t xml:space="preserve">193</t>
        </is>
      </c>
      <c r="B252" t="inlineStr">
        <is>
          <t xml:space="preserve">Наивная ставка</t>
        </is>
      </c>
      <c r="C252" t="inlineStr">
        <is>
          <t xml:space="preserve">не сверяется</t>
        </is>
      </c>
      <c r="E252" t="inlineStr">
        <is>
          <t xml:space="preserve">naive_rate</t>
        </is>
      </c>
      <c r="F252" t="inlineStr">
        <is>
          <t xml:space="preserve">calc</t>
        </is>
      </c>
      <c r="G252" t="inlineStr">
        <is>
          <t xml:space="preserve">ед.: ₽/ч · зависит от: target_income, shooting_time</t>
        </is>
      </c>
      <c r="H252" t="inlineStr">
        <is>
          <t xml:space="preserve">черновик</t>
        </is>
      </c>
      <c r="J252" t="inlineStr">
        <is>
          <t xml:space="preserve">IF(shooting_time=0,0,target_income/shooting_time)</t>
        </is>
      </c>
      <c r="K252" t="inlineStr">
        <is>
          <t xml:space="preserve">внутренний</t>
        </is>
      </c>
    </row>
    <row r="253">
      <c r="A253" t="inlineStr">
        <is>
          <t xml:space="preserve">194</t>
        </is>
      </c>
      <c r="B253" t="inlineStr">
        <is>
          <t xml:space="preserve">Базовая ставка часа</t>
        </is>
      </c>
      <c r="C253" t="inlineStr">
        <is>
          <t xml:space="preserve">не сверяется</t>
        </is>
      </c>
      <c r="E253" t="inlineStr">
        <is>
          <t xml:space="preserve">base_rate</t>
        </is>
      </c>
      <c r="F253" t="inlineStr">
        <is>
          <t xml:space="preserve">calc</t>
        </is>
      </c>
      <c r="G253" t="inlineStr">
        <is>
          <t xml:space="preserve">ед.: ₽/ч · зависит от: target_income, net_time</t>
        </is>
      </c>
      <c r="H253" t="inlineStr">
        <is>
          <t xml:space="preserve">черновик</t>
        </is>
      </c>
      <c r="J253" t="inlineStr">
        <is>
          <t xml:space="preserve">target_income/net_time</t>
        </is>
      </c>
      <c r="K253" t="inlineStr">
        <is>
          <t xml:space="preserve">внутренний</t>
        </is>
      </c>
    </row>
    <row r="254">
      <c r="A254" t="inlineStr">
        <is>
          <t xml:space="preserve">195</t>
        </is>
      </c>
      <c r="B254" t="inlineStr">
        <is>
          <t xml:space="preserve">Операционная ставка часа</t>
        </is>
      </c>
      <c r="C254" t="inlineStr">
        <is>
          <t xml:space="preserve">не сверяется</t>
        </is>
      </c>
      <c r="E254" t="inlineStr">
        <is>
          <t xml:space="preserve">ops_rate</t>
        </is>
      </c>
      <c r="F254" t="inlineStr">
        <is>
          <t xml:space="preserve">calc</t>
        </is>
      </c>
      <c r="G254" t="inlineStr">
        <is>
          <t xml:space="preserve">ед.: ₽/ч · зависит от: revenue_base, shooting_time</t>
        </is>
      </c>
      <c r="H254" t="inlineStr">
        <is>
          <t xml:space="preserve">черновик</t>
        </is>
      </c>
      <c r="J254" t="inlineStr">
        <is>
          <t xml:space="preserve">IF(shooting_time=0,0,revenue_base/shooting_time)</t>
        </is>
      </c>
      <c r="K254" t="inlineStr">
        <is>
          <t xml:space="preserve">внутренний</t>
        </is>
      </c>
    </row>
    <row r="255">
      <c r="A255" t="inlineStr">
        <is>
          <t xml:space="preserve">196</t>
        </is>
      </c>
      <c r="B255" t="inlineStr">
        <is>
          <t xml:space="preserve">ПОЛНАЯ ставка рабочего часа</t>
        </is>
      </c>
      <c r="C255" t="inlineStr">
        <is>
          <t xml:space="preserve">переименовать</t>
        </is>
      </c>
      <c r="D255" t="inlineStr">
        <is>
          <t xml:space="preserve">Полная стоимость часа работы — 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c r="E255" t="inlineStr">
        <is>
          <t xml:space="preserve">full_hour_rate</t>
        </is>
      </c>
      <c r="F255" t="inlineStr">
        <is>
          <t xml:space="preserve">calc</t>
        </is>
      </c>
      <c r="G255" t="inlineStr">
        <is>
          <t xml:space="preserve">ед.: ₽/ч · зависит от: выручка, net_time</t>
        </is>
      </c>
      <c r="H255" t="inlineStr">
        <is>
          <t xml:space="preserve">черновик</t>
        </is>
      </c>
      <c r="J255" t="inlineStr">
        <is>
          <t xml:space="preserve">IF(net_time=0,0,CHOOSE(regime_no,'05_Расчёт'!B4,'05_Расчёт'!C4,'05_Расчёт'!D4,'05_Расчёт'!E4,'05_Расчёт'!F4,'05_Расчёт'!G4,'05_Расчёт'!H4)/net_time)</t>
        </is>
      </c>
      <c r="K255" t="inlineStr">
        <is>
          <t xml:space="preserve">общий</t>
        </is>
      </c>
    </row>
    <row r="256">
      <c r="A256" t="inlineStr">
        <is>
          <t xml:space="preserve">197</t>
        </is>
      </c>
      <c r="B256" t="inlineStr">
        <is>
          <t xml:space="preserve">Сайт · оценка своего труда</t>
        </is>
      </c>
      <c r="C256" t="inlineStr">
        <is>
          <t xml:space="preserve">тождественно</t>
        </is>
      </c>
      <c r="D256"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c r="E256" t="inlineStr">
        <is>
          <t xml:space="preserve">site_value</t>
        </is>
      </c>
      <c r="F256" t="inlineStr">
        <is>
          <t xml:space="preserve">calc</t>
        </is>
      </c>
      <c r="G256" t="inlineStr">
        <is>
          <t xml:space="preserve">ед.: ₽ · зависит от: site_mode, site_cost, site_hours, full_hour_rate</t>
        </is>
      </c>
      <c r="H256" t="inlineStr">
        <is>
          <t xml:space="preserve">черновик</t>
        </is>
      </c>
      <c r="J256" t="inlineStr">
        <is>
          <t xml:space="preserve">IF(site_mode="Нанимал (а) специалиста",site_cost,site_hours*full_hour_rate)</t>
        </is>
      </c>
      <c r="K256" t="inlineStr">
        <is>
          <t xml:space="preserve">общий</t>
        </is>
      </c>
    </row>
    <row r="257"/>
    <row r="258">
      <c r="A258" t="inlineStr">
        <is>
          <t xml:space="preserve">Прочие</t>
        </is>
      </c>
    </row>
    <row r="259">
      <c r="A259" t="inlineStr">
        <is>
          <t xml:space="preserve">№</t>
        </is>
      </c>
      <c r="B259" t="inlineStr">
        <is>
          <t xml:space="preserve">Наименование</t>
        </is>
      </c>
      <c r="C259" t="inlineStr">
        <is>
          <t xml:space="preserve">Статус (временный)</t>
        </is>
      </c>
      <c r="D259" t="inlineStr">
        <is>
          <t xml:space="preserve">Справочник · для сверки (временный)</t>
        </is>
      </c>
      <c r="E259" t="inlineStr">
        <is>
          <t xml:space="preserve">ID</t>
        </is>
      </c>
      <c r="F259" t="inlineStr">
        <is>
          <t xml:space="preserve">Тип</t>
        </is>
      </c>
      <c r="G259" t="inlineStr">
        <is>
          <t xml:space="preserve">Определение</t>
        </is>
      </c>
      <c r="H259" t="inlineStr">
        <is>
          <t xml:space="preserve">Определение утверждено</t>
        </is>
      </c>
      <c r="I259" t="inlineStr">
        <is>
          <t xml:space="preserve">Описание алгоритма</t>
        </is>
      </c>
      <c r="J259" t="inlineStr">
        <is>
          <t xml:space="preserve">Формула (пример расчёта)</t>
        </is>
      </c>
      <c r="K259" t="inlineStr">
        <is>
          <t xml:space="preserve">Где используется</t>
        </is>
      </c>
      <c r="L259" t="inlineStr">
        <is>
          <t xml:space="preserve">Решение (временный)</t>
        </is>
      </c>
    </row>
    <row r="260">
      <c r="A260" t="inlineStr">
        <is>
          <t xml:space="preserve">198</t>
        </is>
      </c>
      <c r="B260" t="inlineStr">
        <is>
          <t xml:space="preserve">Время на заказы до резерва</t>
        </is>
      </c>
      <c r="C260" t="inlineStr">
        <is>
          <t xml:space="preserve">не сверяется</t>
        </is>
      </c>
      <c r="E260" t="inlineStr">
        <is>
          <t xml:space="preserve">pool_gross</t>
        </is>
      </c>
      <c r="F260" t="inlineStr">
        <is>
          <t xml:space="preserve">calc</t>
        </is>
      </c>
      <c r="G260" t="inlineStr">
        <is>
          <t xml:space="preserve">ч/год</t>
        </is>
      </c>
      <c r="H260" t="inlineStr">
        <is>
          <t xml:space="preserve">черновик</t>
        </is>
      </c>
      <c r="J260" t="inlineStr">
        <is>
          <t xml:space="preserve">net_time-side_time</t>
        </is>
      </c>
      <c r="K260" t="inlineStr">
        <is>
          <t xml:space="preserve">внутренний</t>
        </is>
      </c>
      <c r="L260" t="inlineStr">
        <is>
          <t xml:space="preserve">На утверждении: формулировка описывает время ПОСЛЕ вычета резерва, а параметр считается ДО. Уточнить.</t>
        </is>
      </c>
    </row>
    <row r="261">
      <c r="A261" t="inlineStr">
        <is>
          <t xml:space="preserve">199</t>
        </is>
      </c>
      <c r="B261" t="inlineStr">
        <is>
          <t xml:space="preserve">ПЕРЕКЛЮЧАТЕЛЬ · резерв на форс-мажоры</t>
        </is>
      </c>
      <c r="C261" t="inlineStr">
        <is>
          <t xml:space="preserve">переименовать</t>
        </is>
      </c>
      <c r="D261"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261" t="inlineStr">
        <is>
          <t xml:space="preserve">fm_on</t>
        </is>
      </c>
      <c r="F261" t="inlineStr">
        <is>
          <t xml:space="preserve">default</t>
        </is>
      </c>
      <c r="J261" t="inlineStr">
        <is>
          <t xml:space="preserve">Заложить резерв</t>
        </is>
      </c>
      <c r="K261" t="inlineStr">
        <is>
          <t xml:space="preserve">общий</t>
        </is>
      </c>
    </row>
    <row r="262">
      <c r="A262" t="inlineStr">
        <is>
          <t xml:space="preserve">200</t>
        </is>
      </c>
      <c r="B262" t="inlineStr">
        <is>
          <t xml:space="preserve">Резерв на форс-мажоры, %</t>
        </is>
      </c>
      <c r="C262" t="inlineStr">
        <is>
          <t xml:space="preserve">переименовать</t>
        </is>
      </c>
      <c r="D262"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262" t="inlineStr">
        <is>
          <t xml:space="preserve">fm_pct</t>
        </is>
      </c>
      <c r="F262" t="inlineStr">
        <is>
          <t xml:space="preserve">default</t>
        </is>
      </c>
      <c r="G262" t="inlineStr">
        <is>
          <t xml:space="preserve">%</t>
        </is>
      </c>
      <c r="H262" t="inlineStr">
        <is>
          <t xml:space="preserve">черновик</t>
        </is>
      </c>
      <c r="J262" t="inlineStr">
        <is>
          <t xml:space="preserve">0.05</t>
        </is>
      </c>
      <c r="K262" t="inlineStr">
        <is>
          <t xml:space="preserve">общий</t>
        </is>
      </c>
    </row>
    <row r="263">
      <c r="A263" t="inlineStr">
        <is>
          <t xml:space="preserve">201</t>
        </is>
      </c>
      <c r="B263" t="inlineStr">
        <is>
          <t xml:space="preserve">Резерв на форс-мажоры, часов</t>
        </is>
      </c>
      <c r="C263" t="inlineStr">
        <is>
          <t xml:space="preserve">переименовать</t>
        </is>
      </c>
      <c r="D263"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263" t="inlineStr">
        <is>
          <t xml:space="preserve">fm_time</t>
        </is>
      </c>
      <c r="F263" t="inlineStr">
        <is>
          <t xml:space="preserve">calc</t>
        </is>
      </c>
      <c r="G263" t="inlineStr">
        <is>
          <t xml:space="preserve">ч/год</t>
        </is>
      </c>
      <c r="H263" t="inlineStr">
        <is>
          <t xml:space="preserve">черновик</t>
        </is>
      </c>
      <c r="J263" t="inlineStr">
        <is>
          <t xml:space="preserve">IF(fm_on="Заложить резерв",pool_gross*fm_pct,0)</t>
        </is>
      </c>
      <c r="K263" t="inlineStr">
        <is>
          <t xml:space="preserve">общий</t>
        </is>
      </c>
    </row>
    <row r="264">
      <c r="A264" t="inlineStr">
        <is>
          <t xml:space="preserve">202</t>
        </is>
      </c>
      <c r="B264" t="inlineStr">
        <is>
          <t xml:space="preserve">Резерв, часов в неделю</t>
        </is>
      </c>
      <c r="C264" t="inlineStr">
        <is>
          <t xml:space="preserve">переименовать</t>
        </is>
      </c>
      <c r="D264"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E264" t="inlineStr">
        <is>
          <t xml:space="preserve">fm_week</t>
        </is>
      </c>
      <c r="F264" t="inlineStr">
        <is>
          <t xml:space="preserve">calc</t>
        </is>
      </c>
      <c r="G264" t="inlineStr">
        <is>
          <t xml:space="preserve">ч/нед</t>
        </is>
      </c>
      <c r="H264" t="inlineStr">
        <is>
          <t xml:space="preserve">черновик</t>
        </is>
      </c>
      <c r="J264" t="inlineStr">
        <is>
          <t xml:space="preserve">IF(net_weeks=0,0,fm_time/net_weeks)</t>
        </is>
      </c>
      <c r="K264" t="inlineStr">
        <is>
          <t xml:space="preserve">общий</t>
        </is>
      </c>
    </row>
    <row r="265"/>
    <row r="266">
      <c r="A266" t="inlineStr">
        <is>
          <t xml:space="preserve">Z · Понятия справочника, которых нет в книге</t>
        </is>
      </c>
    </row>
    <row r="267">
      <c r="A267" t="inlineStr">
        <is>
          <t xml:space="preserve">№</t>
        </is>
      </c>
      <c r="B267" t="inlineStr">
        <is>
          <t xml:space="preserve">Наименование</t>
        </is>
      </c>
      <c r="C267" t="inlineStr">
        <is>
          <t xml:space="preserve">Статус (временный)</t>
        </is>
      </c>
      <c r="D267" t="inlineStr">
        <is>
          <t xml:space="preserve">Справочник · для сверки (временный)</t>
        </is>
      </c>
      <c r="E267" t="inlineStr">
        <is>
          <t xml:space="preserve">ID</t>
        </is>
      </c>
      <c r="F267" t="inlineStr">
        <is>
          <t xml:space="preserve">Тип</t>
        </is>
      </c>
      <c r="G267" t="inlineStr">
        <is>
          <t xml:space="preserve">Определение</t>
        </is>
      </c>
      <c r="H267" t="inlineStr">
        <is>
          <t xml:space="preserve">Определение утверждено</t>
        </is>
      </c>
      <c r="I267" t="inlineStr">
        <is>
          <t xml:space="preserve">Описание алгоритма</t>
        </is>
      </c>
      <c r="J267" t="inlineStr">
        <is>
          <t xml:space="preserve">Формула (пример расчёта)</t>
        </is>
      </c>
      <c r="K267" t="inlineStr">
        <is>
          <t xml:space="preserve">Где используется</t>
        </is>
      </c>
      <c r="L267" t="inlineStr">
        <is>
          <t xml:space="preserve">Решение (временный)</t>
        </is>
      </c>
    </row>
    <row r="268">
      <c r="A268" t="inlineStr">
        <is>
          <t xml:space="preserve">203</t>
        </is>
      </c>
      <c r="B268" t="inlineStr">
        <is>
          <t xml:space="preserve">Банковское обслуживание</t>
        </is>
      </c>
      <c r="C268" t="inlineStr">
        <is>
          <t xml:space="preserve">тождественно</t>
        </is>
      </c>
      <c r="D268" t="inlineStr">
        <is>
          <t xml:space="preserve">Банковское обслуживание — Расходы на ведение банковских счетов, проведение платежей и использование других банковских услуг, необходимых для профессиональной деятельности.</t>
        </is>
      </c>
      <c r="F268" t="inlineStr">
        <is>
          <t xml:space="preserve">понятие</t>
        </is>
      </c>
      <c r="G268"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c r="H268" t="inlineStr">
        <is>
          <t xml:space="preserve">согласовано</t>
        </is>
      </c>
      <c r="K268" t="inlineStr">
        <is>
          <t xml:space="preserve">для пользователя</t>
        </is>
      </c>
      <c r="L268" t="inlineStr">
        <is>
          <t xml:space="preserve">Завести в книге</t>
        </is>
      </c>
    </row>
    <row r="269">
      <c r="A269" t="inlineStr">
        <is>
          <t xml:space="preserve">204</t>
        </is>
      </c>
      <c r="B269" t="inlineStr">
        <is>
          <t xml:space="preserve">Бухгалтерия</t>
        </is>
      </c>
      <c r="C269" t="inlineStr">
        <is>
          <t xml:space="preserve">тождественно</t>
        </is>
      </c>
      <c r="D269" t="inlineStr">
        <is>
          <t xml:space="preserve">Бухгалтерия — 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c r="F269" t="inlineStr">
        <is>
          <t xml:space="preserve">понятие</t>
        </is>
      </c>
      <c r="G269"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c r="H269" t="inlineStr">
        <is>
          <t xml:space="preserve">согласовано</t>
        </is>
      </c>
      <c r="K269" t="inlineStr">
        <is>
          <t xml:space="preserve">для пользователя</t>
        </is>
      </c>
      <c r="L269" t="inlineStr">
        <is>
          <t xml:space="preserve">Завести в книге</t>
        </is>
      </c>
    </row>
    <row r="270">
      <c r="A270" t="inlineStr">
        <is>
          <t xml:space="preserve">205</t>
        </is>
      </c>
      <c r="B270" t="inlineStr">
        <is>
          <t xml:space="preserve">Выработка ресурса</t>
        </is>
      </c>
      <c r="C270" t="inlineStr">
        <is>
          <t xml:space="preserve">тождественно</t>
        </is>
      </c>
      <c r="D270" t="inlineStr">
        <is>
          <t xml:space="preserve">Выработка ресурса — Использование установленного ресурса оборудования, выраженное в количестве предусмотренных производителем операций или циклов работы.</t>
        </is>
      </c>
      <c r="F270" t="inlineStr">
        <is>
          <t xml:space="preserve">понятие</t>
        </is>
      </c>
      <c r="G270"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c r="H270" t="inlineStr">
        <is>
          <t xml:space="preserve">согласовано</t>
        </is>
      </c>
      <c r="K270" t="inlineStr">
        <is>
          <t xml:space="preserve">для пользователя</t>
        </is>
      </c>
      <c r="L270" t="inlineStr">
        <is>
          <t xml:space="preserve">Завести в книге</t>
        </is>
      </c>
    </row>
    <row r="271">
      <c r="A271" t="inlineStr">
        <is>
          <t xml:space="preserve">206</t>
        </is>
      </c>
      <c r="B271" t="inlineStr">
        <is>
          <t xml:space="preserve">Выходные и праздничные дни</t>
        </is>
      </c>
      <c r="C271" t="inlineStr">
        <is>
          <t xml:space="preserve">тождественно</t>
        </is>
      </c>
      <c r="D271" t="inlineStr">
        <is>
          <t xml:space="preserve">Выходные и праздничные дни — 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c r="F271" t="inlineStr">
        <is>
          <t xml:space="preserve">понятие</t>
        </is>
      </c>
      <c r="G271"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c r="H271" t="inlineStr">
        <is>
          <t xml:space="preserve">согласовано</t>
        </is>
      </c>
      <c r="K271" t="inlineStr">
        <is>
          <t xml:space="preserve">для пользователя</t>
        </is>
      </c>
      <c r="L271" t="inlineStr">
        <is>
          <t xml:space="preserve">Завести в книге</t>
        </is>
      </c>
    </row>
    <row r="272">
      <c r="A272" t="inlineStr">
        <is>
          <t xml:space="preserve">207</t>
        </is>
      </c>
      <c r="B272" t="inlineStr">
        <is>
          <t xml:space="preserve">Готовые кадры</t>
        </is>
      </c>
      <c r="C272" t="inlineStr">
        <is>
          <t xml:space="preserve">тождественно</t>
        </is>
      </c>
      <c r="D272" t="inlineStr">
        <is>
          <t xml:space="preserve">Готовые кадры — Снимки, полученные в результате проведения съёмочных работ и прошедшие первичную обработку.</t>
        </is>
      </c>
      <c r="F272" t="inlineStr">
        <is>
          <t xml:space="preserve">понятие</t>
        </is>
      </c>
      <c r="G272" t="inlineStr">
        <is>
          <t xml:space="preserve">Снимки, полученные в результате проведения съёмочных работ и прошедшие первичную обработку.</t>
        </is>
      </c>
      <c r="H272" t="inlineStr">
        <is>
          <t xml:space="preserve">согласовано</t>
        </is>
      </c>
      <c r="K272" t="inlineStr">
        <is>
          <t xml:space="preserve">для пользователя</t>
        </is>
      </c>
      <c r="L272" t="inlineStr">
        <is>
          <t xml:space="preserve">Завести в книге</t>
        </is>
      </c>
    </row>
    <row r="273">
      <c r="A273" t="inlineStr">
        <is>
          <t xml:space="preserve">208</t>
        </is>
      </c>
      <c r="B273" t="inlineStr">
        <is>
          <t xml:space="preserve">Доля безналичных платежей</t>
        </is>
      </c>
      <c r="C273" t="inlineStr">
        <is>
          <t xml:space="preserve">тождественно</t>
        </is>
      </c>
      <c r="D273" t="inlineStr">
        <is>
          <t xml:space="preserve">Доля безналичных платежей — 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c r="F273" t="inlineStr">
        <is>
          <t xml:space="preserve">понятие</t>
        </is>
      </c>
      <c r="G273"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c r="H273" t="inlineStr">
        <is>
          <t xml:space="preserve">согласовано</t>
        </is>
      </c>
      <c r="K273" t="inlineStr">
        <is>
          <t xml:space="preserve">для пользователя</t>
        </is>
      </c>
      <c r="L273" t="inlineStr">
        <is>
          <t xml:space="preserve">Завести в книге</t>
        </is>
      </c>
    </row>
    <row r="274">
      <c r="A274" t="inlineStr">
        <is>
          <t xml:space="preserve">209</t>
        </is>
      </c>
      <c r="B274" t="inlineStr">
        <is>
          <t xml:space="preserve">Доход на руки</t>
        </is>
      </c>
      <c r="C274" t="inlineStr">
        <is>
          <t xml:space="preserve">тождественно</t>
        </is>
      </c>
      <c r="D274" t="inlineStr">
        <is>
          <t xml:space="preserve">Доход на руки — Сумма денежных средств, остающаяся у специалиста после вычета налогов, обязательных платежей и других предусмотренных расходов.</t>
        </is>
      </c>
      <c r="F274" t="inlineStr">
        <is>
          <t xml:space="preserve">понятие</t>
        </is>
      </c>
      <c r="G274" t="inlineStr">
        <is>
          <t xml:space="preserve">Сумма денежных средств, остающаяся у специалиста после вычета налогов, обязательных платежей и других предусмотренных расходов.</t>
        </is>
      </c>
      <c r="H274" t="inlineStr">
        <is>
          <t xml:space="preserve">согласовано</t>
        </is>
      </c>
      <c r="K274" t="inlineStr">
        <is>
          <t xml:space="preserve">для пользователя</t>
        </is>
      </c>
      <c r="L274" t="inlineStr">
        <is>
          <t xml:space="preserve">Завести в книге</t>
        </is>
      </c>
    </row>
    <row r="275">
      <c r="A275" t="inlineStr">
        <is>
          <t xml:space="preserve">210</t>
        </is>
      </c>
      <c r="B275" t="inlineStr">
        <is>
          <t xml:space="preserve">Желаемая ставка</t>
        </is>
      </c>
      <c r="C275" t="inlineStr">
        <is>
          <t xml:space="preserve">тождественно</t>
        </is>
      </c>
      <c r="D275" t="inlineStr">
        <is>
          <t xml:space="preserve">Желаемая ставка — Стоимость одного часа работы, которую специалист планирует получать с учётом желаемого дохода, расходов, налогов и других обязательных платежей.</t>
        </is>
      </c>
      <c r="F275" t="inlineStr">
        <is>
          <t xml:space="preserve">понятие</t>
        </is>
      </c>
      <c r="G275" t="inlineStr">
        <is>
          <t xml:space="preserve">Стоимость одного часа работы, которую специалист планирует получать с учётом желаемого дохода, расходов, налогов и других обязательных платежей.</t>
        </is>
      </c>
      <c r="H275" t="inlineStr">
        <is>
          <t xml:space="preserve">согласовано</t>
        </is>
      </c>
      <c r="K275" t="inlineStr">
        <is>
          <t xml:space="preserve">для пользователя</t>
        </is>
      </c>
      <c r="L275" t="inlineStr">
        <is>
          <t xml:space="preserve">Завести в книге</t>
        </is>
      </c>
    </row>
    <row r="276">
      <c r="A276" t="inlineStr">
        <is>
          <t xml:space="preserve">211</t>
        </is>
      </c>
      <c r="B276" t="inlineStr">
        <is>
          <t xml:space="preserve">Загрузка специалиста</t>
        </is>
      </c>
      <c r="C276" t="inlineStr">
        <is>
          <t xml:space="preserve">тождественно</t>
        </is>
      </c>
      <c r="D276" t="inlineStr">
        <is>
          <t xml:space="preserve">Загрузка специалиста — 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c r="F276" t="inlineStr">
        <is>
          <t xml:space="preserve">понятие</t>
        </is>
      </c>
      <c r="G276"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c r="H276" t="inlineStr">
        <is>
          <t xml:space="preserve">согласовано</t>
        </is>
      </c>
      <c r="K276" t="inlineStr">
        <is>
          <t xml:space="preserve">для пользователя</t>
        </is>
      </c>
      <c r="L276" t="inlineStr">
        <is>
          <t xml:space="preserve">Завести в книге</t>
        </is>
      </c>
    </row>
    <row r="277">
      <c r="A277" t="inlineStr">
        <is>
          <t xml:space="preserve">212</t>
        </is>
      </c>
      <c r="B277" t="inlineStr">
        <is>
          <t xml:space="preserve">Запас на скидку</t>
        </is>
      </c>
      <c r="C277" t="inlineStr">
        <is>
          <t xml:space="preserve">тождественно</t>
        </is>
      </c>
      <c r="D277" t="inlineStr">
        <is>
          <t xml:space="preserve">Запас на скидку — Часть стоимости услуги, заранее заложенная в цену для возможности предоставить клиенту скидку без снижения планируемого дохода специалиста.</t>
        </is>
      </c>
      <c r="F277" t="inlineStr">
        <is>
          <t xml:space="preserve">понятие</t>
        </is>
      </c>
      <c r="G277"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c r="H277" t="inlineStr">
        <is>
          <t xml:space="preserve">согласовано</t>
        </is>
      </c>
      <c r="K277" t="inlineStr">
        <is>
          <t xml:space="preserve">для пользователя</t>
        </is>
      </c>
      <c r="L277" t="inlineStr">
        <is>
          <t xml:space="preserve">Завести в книге</t>
        </is>
      </c>
    </row>
    <row r="278">
      <c r="A278" t="inlineStr">
        <is>
          <t xml:space="preserve">213</t>
        </is>
      </c>
      <c r="B278" t="inlineStr">
        <is>
          <t xml:space="preserve">Износ камеры</t>
        </is>
      </c>
      <c r="C278" t="inlineStr">
        <is>
          <t xml:space="preserve">тождественно</t>
        </is>
      </c>
      <c r="D278" t="inlineStr">
        <is>
          <t xml:space="preserve">Износ камеры — 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c r="F278" t="inlineStr">
        <is>
          <t xml:space="preserve">понятие</t>
        </is>
      </c>
      <c r="G278"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c r="H278" t="inlineStr">
        <is>
          <t xml:space="preserve">согласовано</t>
        </is>
      </c>
      <c r="K278" t="inlineStr">
        <is>
          <t xml:space="preserve">для пользователя</t>
        </is>
      </c>
      <c r="L278" t="inlineStr">
        <is>
          <t xml:space="preserve">Завести в книге</t>
        </is>
      </c>
    </row>
    <row r="279">
      <c r="A279" t="inlineStr">
        <is>
          <t xml:space="preserve">214</t>
        </is>
      </c>
      <c r="B279" t="inlineStr">
        <is>
          <t xml:space="preserve">Логистика</t>
        </is>
      </c>
      <c r="C279" t="inlineStr">
        <is>
          <t xml:space="preserve">тождественно</t>
        </is>
      </c>
      <c r="D279" t="inlineStr">
        <is>
          <t xml:space="preserve">Логистика — Организация перемещения специалиста, оборудования, материалов и готового результата между местами работы, хранения и передачи.</t>
        </is>
      </c>
      <c r="F279" t="inlineStr">
        <is>
          <t xml:space="preserve">понятие</t>
        </is>
      </c>
      <c r="G279" t="inlineStr">
        <is>
          <t xml:space="preserve">Организация перемещения специалиста, оборудования, материалов и готового результата между местами работы, хранения и передачи.</t>
        </is>
      </c>
      <c r="H279" t="inlineStr">
        <is>
          <t xml:space="preserve">согласовано</t>
        </is>
      </c>
      <c r="K279" t="inlineStr">
        <is>
          <t xml:space="preserve">для пользователя</t>
        </is>
      </c>
      <c r="L279" t="inlineStr">
        <is>
          <t xml:space="preserve">Завести в книге</t>
        </is>
      </c>
    </row>
    <row r="280">
      <c r="A280" t="inlineStr">
        <is>
          <t xml:space="preserve">215</t>
        </is>
      </c>
      <c r="B280" t="inlineStr">
        <is>
          <t xml:space="preserve">Минимальный выезд</t>
        </is>
      </c>
      <c r="C280" t="inlineStr">
        <is>
          <t xml:space="preserve">тождественно</t>
        </is>
      </c>
      <c r="D280" t="inlineStr">
        <is>
          <t xml:space="preserve">Минимальный выезд — Минимальная стоимость заказа с выездом специалиста, ниже которой выполнение такого заказа экономически нецелесообразно.</t>
        </is>
      </c>
      <c r="F280" t="inlineStr">
        <is>
          <t xml:space="preserve">понятие</t>
        </is>
      </c>
      <c r="G280" t="inlineStr">
        <is>
          <t xml:space="preserve">Минимальная стоимость заказа с выездом специалиста, ниже которой выполнение такого заказа экономически нецелесообразно.</t>
        </is>
      </c>
      <c r="H280" t="inlineStr">
        <is>
          <t xml:space="preserve">согласовано</t>
        </is>
      </c>
      <c r="K280" t="inlineStr">
        <is>
          <t xml:space="preserve">для пользователя</t>
        </is>
      </c>
      <c r="L280" t="inlineStr">
        <is>
          <t xml:space="preserve">Завести в книге</t>
        </is>
      </c>
    </row>
    <row r="281">
      <c r="A281" t="inlineStr">
        <is>
          <t xml:space="preserve">216</t>
        </is>
      </c>
      <c r="B281" t="inlineStr">
        <is>
          <t xml:space="preserve">Налоги</t>
        </is>
      </c>
      <c r="C281" t="inlineStr">
        <is>
          <t xml:space="preserve">тождественно</t>
        </is>
      </c>
      <c r="D281" t="inlineStr">
        <is>
          <t xml:space="preserve">Налоги — 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c r="F281" t="inlineStr">
        <is>
          <t xml:space="preserve">понятие</t>
        </is>
      </c>
      <c r="G281"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c r="H281" t="inlineStr">
        <is>
          <t xml:space="preserve">согласовано</t>
        </is>
      </c>
      <c r="K281" t="inlineStr">
        <is>
          <t xml:space="preserve">для пользователя</t>
        </is>
      </c>
      <c r="L281" t="inlineStr">
        <is>
          <t xml:space="preserve">Завести в книге</t>
        </is>
      </c>
    </row>
    <row r="282">
      <c r="A282" t="inlineStr">
        <is>
          <t xml:space="preserve">217</t>
        </is>
      </c>
      <c r="B282" t="inlineStr">
        <is>
          <t xml:space="preserve">Налоговый режим</t>
        </is>
      </c>
      <c r="C282" t="inlineStr">
        <is>
          <t xml:space="preserve">тождественно</t>
        </is>
      </c>
      <c r="D282"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F282" t="inlineStr">
        <is>
          <t xml:space="preserve">понятие</t>
        </is>
      </c>
      <c r="G282"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c r="H282" t="inlineStr">
        <is>
          <t xml:space="preserve">согласовано</t>
        </is>
      </c>
      <c r="K282" t="inlineStr">
        <is>
          <t xml:space="preserve">для пользователя</t>
        </is>
      </c>
      <c r="L282" t="inlineStr">
        <is>
          <t xml:space="preserve">Завести в книге</t>
        </is>
      </c>
    </row>
    <row r="283">
      <c r="A283" t="inlineStr">
        <is>
          <t xml:space="preserve">218</t>
        </is>
      </c>
      <c r="B283" t="inlineStr">
        <is>
          <t xml:space="preserve">Наценка к себестоимости</t>
        </is>
      </c>
      <c r="C283" t="inlineStr">
        <is>
          <t xml:space="preserve">тождественно</t>
        </is>
      </c>
      <c r="D283" t="inlineStr">
        <is>
          <t xml:space="preserve">Наценка к себестоимости — Процентное или денежное увеличение себестоимости услуги, формирующее дополнительную сумму сверх затрат и обеспечивающее получение прибыли.</t>
        </is>
      </c>
      <c r="F283" t="inlineStr">
        <is>
          <t xml:space="preserve">понятие</t>
        </is>
      </c>
      <c r="G283"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c r="H283" t="inlineStr">
        <is>
          <t xml:space="preserve">согласовано</t>
        </is>
      </c>
      <c r="K283" t="inlineStr">
        <is>
          <t xml:space="preserve">для пользователя</t>
        </is>
      </c>
      <c r="L283" t="inlineStr">
        <is>
          <t xml:space="preserve">Завести в книге</t>
        </is>
      </c>
    </row>
    <row r="284">
      <c r="A284" t="inlineStr">
        <is>
          <t xml:space="preserve">219</t>
        </is>
      </c>
      <c r="B284" t="inlineStr">
        <is>
          <t xml:space="preserve">Обустройство рабочего места</t>
        </is>
      </c>
      <c r="C284" t="inlineStr">
        <is>
          <t xml:space="preserve">тождественно</t>
        </is>
      </c>
      <c r="D284" t="inlineStr">
        <is>
          <t xml:space="preserve">Обустройство рабочего места — Затраты на создание и оснащение пространства, необходимого специалисту для выполнения профессиональной деятельности.</t>
        </is>
      </c>
      <c r="F284" t="inlineStr">
        <is>
          <t xml:space="preserve">понятие</t>
        </is>
      </c>
      <c r="G284" t="inlineStr">
        <is>
          <t xml:space="preserve">Затраты на создание и оснащение пространства, необходимого специалисту для выполнения профессиональной деятельности.</t>
        </is>
      </c>
      <c r="H284" t="inlineStr">
        <is>
          <t xml:space="preserve">согласовано</t>
        </is>
      </c>
      <c r="K284" t="inlineStr">
        <is>
          <t xml:space="preserve">для пользователя</t>
        </is>
      </c>
      <c r="L284" t="inlineStr">
        <is>
          <t xml:space="preserve">Завести в книге</t>
        </is>
      </c>
    </row>
    <row r="285">
      <c r="A285" t="inlineStr">
        <is>
          <t xml:space="preserve">220</t>
        </is>
      </c>
      <c r="B285" t="inlineStr">
        <is>
          <t xml:space="preserve">Операционная работа с клиентами</t>
        </is>
      </c>
      <c r="C285" t="inlineStr">
        <is>
          <t xml:space="preserve">тождественно</t>
        </is>
      </c>
      <c r="D285" t="inlineStr">
        <is>
          <t xml:space="preserve">Операционная работа с клиентами — Рабочие действия специалиста, связанные с поиском, привлечением и поддержанием взаимодействия с клиентами вне рамок конкретного проекта: обработка обращений, переговоры, ответы на вопросы, повторные контакты и поддержание отношений с потенциальными и действующими клиентами.</t>
        </is>
      </c>
      <c r="F285" t="inlineStr">
        <is>
          <t xml:space="preserve">понятие</t>
        </is>
      </c>
      <c r="G285" t="inlineStr">
        <is>
          <t xml:space="preserve">Рабочие действия специалиста, связанные с поиском, привлечением и поддержанием взаимодействия с клиентами вне рамок конкретного проекта: обработка обращений, переговоры, ответы на вопросы, повторные контакты и поддержание отношений с потенциальными и действующими клиентами.</t>
        </is>
      </c>
      <c r="H285" t="inlineStr">
        <is>
          <t xml:space="preserve">согласовано</t>
        </is>
      </c>
      <c r="K285" t="inlineStr">
        <is>
          <t xml:space="preserve">для пользователя</t>
        </is>
      </c>
      <c r="L285" t="inlineStr">
        <is>
          <t xml:space="preserve">Завести в книге</t>
        </is>
      </c>
    </row>
    <row r="286">
      <c r="A286" t="inlineStr">
        <is>
          <t xml:space="preserve">221</t>
        </is>
      </c>
      <c r="B286" t="inlineStr">
        <is>
          <t xml:space="preserve">Остаток ресурса</t>
        </is>
      </c>
      <c r="C286" t="inlineStr">
        <is>
          <t xml:space="preserve">тождественно</t>
        </is>
      </c>
      <c r="D286" t="inlineStr">
        <is>
          <t xml:space="preserve">Остаток ресурса — 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c r="F286" t="inlineStr">
        <is>
          <t xml:space="preserve">понятие</t>
        </is>
      </c>
      <c r="G286"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c r="H286" t="inlineStr">
        <is>
          <t xml:space="preserve">согласовано</t>
        </is>
      </c>
      <c r="K286" t="inlineStr">
        <is>
          <t xml:space="preserve">для пользователя</t>
        </is>
      </c>
      <c r="L286" t="inlineStr">
        <is>
          <t xml:space="preserve">Завести в книге</t>
        </is>
      </c>
    </row>
    <row r="287">
      <c r="A287" t="inlineStr">
        <is>
          <t xml:space="preserve">222</t>
        </is>
      </c>
      <c r="B287" t="inlineStr">
        <is>
          <t xml:space="preserve">Отчётность</t>
        </is>
      </c>
      <c r="C287" t="inlineStr">
        <is>
          <t xml:space="preserve">тождественно</t>
        </is>
      </c>
      <c r="D287" t="inlineStr">
        <is>
          <t xml:space="preserve">Отчётность — 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c r="F287" t="inlineStr">
        <is>
          <t xml:space="preserve">понятие</t>
        </is>
      </c>
      <c r="G287"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c r="H287" t="inlineStr">
        <is>
          <t xml:space="preserve">согласовано</t>
        </is>
      </c>
      <c r="K287" t="inlineStr">
        <is>
          <t xml:space="preserve">для пользователя</t>
        </is>
      </c>
      <c r="L287" t="inlineStr">
        <is>
          <t xml:space="preserve">Завести в книге</t>
        </is>
      </c>
    </row>
    <row r="288">
      <c r="A288" t="inlineStr">
        <is>
          <t xml:space="preserve">223</t>
        </is>
      </c>
      <c r="B288" t="inlineStr">
        <is>
          <t xml:space="preserve">Офисное оборудование</t>
        </is>
      </c>
      <c r="C288" t="inlineStr">
        <is>
          <t xml:space="preserve">тождественно</t>
        </is>
      </c>
      <c r="D288" t="inlineStr">
        <is>
          <t xml:space="preserve">Офисное оборудование — 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c r="F288" t="inlineStr">
        <is>
          <t xml:space="preserve">понятие</t>
        </is>
      </c>
      <c r="G288"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c r="H288" t="inlineStr">
        <is>
          <t xml:space="preserve">согласовано</t>
        </is>
      </c>
      <c r="K288" t="inlineStr">
        <is>
          <t xml:space="preserve">для пользователя</t>
        </is>
      </c>
      <c r="L288" t="inlineStr">
        <is>
          <t xml:space="preserve">Завести в книге</t>
        </is>
      </c>
    </row>
    <row r="289">
      <c r="A289" t="inlineStr">
        <is>
          <t xml:space="preserve">224</t>
        </is>
      </c>
      <c r="B289" t="inlineStr">
        <is>
          <t xml:space="preserve">ПО</t>
        </is>
      </c>
      <c r="C289" t="inlineStr">
        <is>
          <t xml:space="preserve">тождественно</t>
        </is>
      </c>
      <c r="D289" t="inlineStr">
        <is>
          <t xml:space="preserve">ПО — Программное обеспечение, используемое специалистом для выполнения профессиональных задач, обработки материалов и организации рабочего процесса.</t>
        </is>
      </c>
      <c r="F289" t="inlineStr">
        <is>
          <t xml:space="preserve">понятие</t>
        </is>
      </c>
      <c r="G289"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c r="H289" t="inlineStr">
        <is>
          <t xml:space="preserve">согласовано</t>
        </is>
      </c>
      <c r="K289" t="inlineStr">
        <is>
          <t xml:space="preserve">для пользователя</t>
        </is>
      </c>
      <c r="L289" t="inlineStr">
        <is>
          <t xml:space="preserve">Завести в книге</t>
        </is>
      </c>
    </row>
    <row r="290">
      <c r="A290" t="inlineStr">
        <is>
          <t xml:space="preserve">225</t>
        </is>
      </c>
      <c r="B290" t="inlineStr">
        <is>
          <t xml:space="preserve">Первичная обработка</t>
        </is>
      </c>
      <c r="C290" t="inlineStr">
        <is>
          <t xml:space="preserve">тождественно</t>
        </is>
      </c>
      <c r="D290" t="inlineStr">
        <is>
          <t xml:space="preserve">Первичная обработка — 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c r="F290" t="inlineStr">
        <is>
          <t xml:space="preserve">понятие</t>
        </is>
      </c>
      <c r="G290"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c r="H290" t="inlineStr">
        <is>
          <t xml:space="preserve">согласовано</t>
        </is>
      </c>
      <c r="K290" t="inlineStr">
        <is>
          <t xml:space="preserve">для пользователя</t>
        </is>
      </c>
      <c r="L290" t="inlineStr">
        <is>
          <t xml:space="preserve">Завести в книге</t>
        </is>
      </c>
    </row>
    <row r="291">
      <c r="A291" t="inlineStr">
        <is>
          <t xml:space="preserve">226</t>
        </is>
      </c>
      <c r="B291" t="inlineStr">
        <is>
          <t xml:space="preserve">Подарочный сертификат</t>
        </is>
      </c>
      <c r="C291" t="inlineStr">
        <is>
          <t xml:space="preserve">тождественно</t>
        </is>
      </c>
      <c r="D291" t="inlineStr">
        <is>
          <t xml:space="preserve">Подарочный сертификат — 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c r="F291" t="inlineStr">
        <is>
          <t xml:space="preserve">понятие</t>
        </is>
      </c>
      <c r="G291"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c r="H291" t="inlineStr">
        <is>
          <t xml:space="preserve">согласовано</t>
        </is>
      </c>
      <c r="K291" t="inlineStr">
        <is>
          <t xml:space="preserve">для пользователя</t>
        </is>
      </c>
      <c r="L291" t="inlineStr">
        <is>
          <t xml:space="preserve">Завести в книге</t>
        </is>
      </c>
    </row>
    <row r="292">
      <c r="A292" t="inlineStr">
        <is>
          <t xml:space="preserve">227</t>
        </is>
      </c>
      <c r="B292" t="inlineStr">
        <is>
          <t xml:space="preserve">Подписки</t>
        </is>
      </c>
      <c r="C292" t="inlineStr">
        <is>
          <t xml:space="preserve">тождественно</t>
        </is>
      </c>
      <c r="D292" t="inlineStr">
        <is>
          <t xml:space="preserve">Подписки — Регулярные платежи за доступ к программам, сервисам, платформам и другим цифровым инструментам, необходимым специалисту для работы.</t>
        </is>
      </c>
      <c r="F292" t="inlineStr">
        <is>
          <t xml:space="preserve">понятие</t>
        </is>
      </c>
      <c r="G292" t="inlineStr">
        <is>
          <t xml:space="preserve">Регулярные платежи за доступ к программам, сервисам, платформам и другим цифровым инструментам, необходимым специалисту для работы.</t>
        </is>
      </c>
      <c r="H292" t="inlineStr">
        <is>
          <t xml:space="preserve">согласовано</t>
        </is>
      </c>
      <c r="K292" t="inlineStr">
        <is>
          <t xml:space="preserve">для пользователя</t>
        </is>
      </c>
      <c r="L292" t="inlineStr">
        <is>
          <t xml:space="preserve">Завести в книге</t>
        </is>
      </c>
    </row>
    <row r="293">
      <c r="A293" t="inlineStr">
        <is>
          <t xml:space="preserve">228</t>
        </is>
      </c>
      <c r="B293" t="inlineStr">
        <is>
          <t xml:space="preserve">Поиск заказов</t>
        </is>
      </c>
      <c r="C293" t="inlineStr">
        <is>
          <t xml:space="preserve">тождественно</t>
        </is>
      </c>
      <c r="D293" t="inlineStr">
        <is>
          <t xml:space="preserve">Поиск заказов — Действия специалиста по выявлению потенциальных клиентов и получению новых заказов на оказание услуг.</t>
        </is>
      </c>
      <c r="F293" t="inlineStr">
        <is>
          <t xml:space="preserve">понятие</t>
        </is>
      </c>
      <c r="G293" t="inlineStr">
        <is>
          <t xml:space="preserve">Действия специалиста по выявлению потенциальных клиентов и получению новых заказов на оказание услуг.</t>
        </is>
      </c>
      <c r="H293" t="inlineStr">
        <is>
          <t xml:space="preserve">согласовано</t>
        </is>
      </c>
      <c r="K293" t="inlineStr">
        <is>
          <t xml:space="preserve">для пользователя</t>
        </is>
      </c>
      <c r="L293" t="inlineStr">
        <is>
          <t xml:space="preserve">Завести в книге</t>
        </is>
      </c>
    </row>
    <row r="294">
      <c r="A294" t="inlineStr">
        <is>
          <t xml:space="preserve">229</t>
        </is>
      </c>
      <c r="B294" t="inlineStr">
        <is>
          <t xml:space="preserve">Полная стоимость часа работы</t>
        </is>
      </c>
      <c r="C294" t="inlineStr">
        <is>
          <t xml:space="preserve">тождественно</t>
        </is>
      </c>
      <c r="D294" t="inlineStr">
        <is>
          <t xml:space="preserve">Полная стоимость часа работы — 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c r="F294" t="inlineStr">
        <is>
          <t xml:space="preserve">понятие</t>
        </is>
      </c>
      <c r="G294" t="inlineStr">
        <is>
          <t xml:space="preserve">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c r="H294" t="inlineStr">
        <is>
          <t xml:space="preserve">согласовано</t>
        </is>
      </c>
      <c r="K294" t="inlineStr">
        <is>
          <t xml:space="preserve">для пользователя</t>
        </is>
      </c>
      <c r="L294" t="inlineStr">
        <is>
          <t xml:space="preserve">Завести в книге</t>
        </is>
      </c>
    </row>
    <row r="295">
      <c r="A295" t="inlineStr">
        <is>
          <t xml:space="preserve">230</t>
        </is>
      </c>
      <c r="B295" t="inlineStr">
        <is>
          <t xml:space="preserve">Прайс</t>
        </is>
      </c>
      <c r="C295" t="inlineStr">
        <is>
          <t xml:space="preserve">тождественно</t>
        </is>
      </c>
      <c r="D295" t="inlineStr">
        <is>
          <t xml:space="preserve">Прайс — Перечень услуг с указанием их стоимости и, при необходимости, основных условий их предоставления.</t>
        </is>
      </c>
      <c r="F295" t="inlineStr">
        <is>
          <t xml:space="preserve">понятие</t>
        </is>
      </c>
      <c r="G295" t="inlineStr">
        <is>
          <t xml:space="preserve">Перечень услуг с указанием их стоимости и, при необходимости, основных условий их предоставления.</t>
        </is>
      </c>
      <c r="H295" t="inlineStr">
        <is>
          <t xml:space="preserve">согласовано</t>
        </is>
      </c>
      <c r="K295" t="inlineStr">
        <is>
          <t xml:space="preserve">для пользователя</t>
        </is>
      </c>
      <c r="L295" t="inlineStr">
        <is>
          <t xml:space="preserve">Завести в книге</t>
        </is>
      </c>
    </row>
    <row r="296">
      <c r="A296" t="inlineStr">
        <is>
          <t xml:space="preserve">231</t>
        </is>
      </c>
      <c r="B296" t="inlineStr">
        <is>
          <t xml:space="preserve">Программа лояльности</t>
        </is>
      </c>
      <c r="C296" t="inlineStr">
        <is>
          <t xml:space="preserve">тождественно</t>
        </is>
      </c>
      <c r="D296" t="inlineStr">
        <is>
          <t xml:space="preserve">Программа лояльности — Система условий и поощрений, направленная на привлечение и удержание клиентов и стимулирование их повторных покупок или заказов.</t>
        </is>
      </c>
      <c r="F296" t="inlineStr">
        <is>
          <t xml:space="preserve">понятие</t>
        </is>
      </c>
      <c r="G296" t="inlineStr">
        <is>
          <t xml:space="preserve">Система условий и поощрений, направленная на привлечение и удержание клиентов и стимулирование их повторных покупок или заказов.</t>
        </is>
      </c>
      <c r="H296" t="inlineStr">
        <is>
          <t xml:space="preserve">согласовано</t>
        </is>
      </c>
      <c r="K296" t="inlineStr">
        <is>
          <t xml:space="preserve">для пользователя</t>
        </is>
      </c>
      <c r="L296" t="inlineStr">
        <is>
          <t xml:space="preserve">Завести в книге</t>
        </is>
      </c>
    </row>
    <row r="297">
      <c r="A297" t="inlineStr">
        <is>
          <t xml:space="preserve">232</t>
        </is>
      </c>
      <c r="B297" t="inlineStr">
        <is>
          <t xml:space="preserve">Продолжительность съёмки</t>
        </is>
      </c>
      <c r="C297" t="inlineStr">
        <is>
          <t xml:space="preserve">тождественно</t>
        </is>
      </c>
      <c r="D297" t="inlineStr">
        <is>
          <t xml:space="preserve">Продолжительность съёмки — Время, затрачиваемое специалистом непосредственно на проведение съёмочных работ, от начала до завершения съёмки.</t>
        </is>
      </c>
      <c r="F297" t="inlineStr">
        <is>
          <t xml:space="preserve">понятие</t>
        </is>
      </c>
      <c r="G297" t="inlineStr">
        <is>
          <t xml:space="preserve">Время, затрачиваемое специалистом непосредственно на проведение съёмочных работ, от начала до завершения съёмки.</t>
        </is>
      </c>
      <c r="H297" t="inlineStr">
        <is>
          <t xml:space="preserve">согласовано</t>
        </is>
      </c>
      <c r="K297" t="inlineStr">
        <is>
          <t xml:space="preserve">для пользователя</t>
        </is>
      </c>
      <c r="L297" t="inlineStr">
        <is>
          <t xml:space="preserve">Завести в книге</t>
        </is>
      </c>
    </row>
    <row r="298">
      <c r="A298" t="inlineStr">
        <is>
          <t xml:space="preserve">233</t>
        </is>
      </c>
      <c r="B298" t="inlineStr">
        <is>
          <t xml:space="preserve">Проектная работа с клиентами</t>
        </is>
      </c>
      <c r="C298" t="inlineStr">
        <is>
          <t xml:space="preserve">тождественно</t>
        </is>
      </c>
      <c r="D298" t="inlineStr">
        <is>
          <t xml:space="preserve">Проектная работа с клиентами — 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c r="F298" t="inlineStr">
        <is>
          <t xml:space="preserve">понятие</t>
        </is>
      </c>
      <c r="G298"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c r="H298" t="inlineStr">
        <is>
          <t xml:space="preserve">согласовано</t>
        </is>
      </c>
      <c r="K298" t="inlineStr">
        <is>
          <t xml:space="preserve">для пользователя</t>
        </is>
      </c>
      <c r="L298" t="inlineStr">
        <is>
          <t xml:space="preserve">Завести в книге</t>
        </is>
      </c>
    </row>
    <row r="299">
      <c r="A299" t="inlineStr">
        <is>
          <t xml:space="preserve">234</t>
        </is>
      </c>
      <c r="B299" t="inlineStr">
        <is>
          <t xml:space="preserve">Прямые расходы</t>
        </is>
      </c>
      <c r="C299" t="inlineStr">
        <is>
          <t xml:space="preserve">тождественно</t>
        </is>
      </c>
      <c r="D299" t="inlineStr">
        <is>
          <t xml:space="preserve">Прямые расходы — Расходы, непосредственно связанные с выполнением конкретного заказа или проекта и возникающие в процессе оказания услуги.</t>
        </is>
      </c>
      <c r="F299" t="inlineStr">
        <is>
          <t xml:space="preserve">понятие</t>
        </is>
      </c>
      <c r="G299" t="inlineStr">
        <is>
          <t xml:space="preserve">Расходы, непосредственно связанные с выполнением конкретного заказа или проекта и возникающие в процессе оказания услуги.</t>
        </is>
      </c>
      <c r="H299" t="inlineStr">
        <is>
          <t xml:space="preserve">согласовано</t>
        </is>
      </c>
      <c r="K299" t="inlineStr">
        <is>
          <t xml:space="preserve">для пользователя</t>
        </is>
      </c>
      <c r="L299" t="inlineStr">
        <is>
          <t xml:space="preserve">Завести в книге</t>
        </is>
      </c>
    </row>
    <row r="300">
      <c r="A300" t="inlineStr">
        <is>
          <t xml:space="preserve">235</t>
        </is>
      </c>
      <c r="B300" t="inlineStr">
        <is>
          <t xml:space="preserve">Работа с клиентами</t>
        </is>
      </c>
      <c r="C300" t="inlineStr">
        <is>
          <t xml:space="preserve">тождественно</t>
        </is>
      </c>
      <c r="D300" t="inlineStr">
        <is>
          <t xml:space="preserve">Работа с клиентами — Совокупность рабочих действий специалиста, связанных с привлечением, коммуникацией и сопровождением клиентов на разных этапах взаимодействия.</t>
        </is>
      </c>
      <c r="F300" t="inlineStr">
        <is>
          <t xml:space="preserve">понятие</t>
        </is>
      </c>
      <c r="G300"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c r="H300" t="inlineStr">
        <is>
          <t xml:space="preserve">согласовано</t>
        </is>
      </c>
      <c r="K300" t="inlineStr">
        <is>
          <t xml:space="preserve">для пользователя</t>
        </is>
      </c>
      <c r="L300" t="inlineStr">
        <is>
          <t xml:space="preserve">Завести в книге</t>
        </is>
      </c>
    </row>
    <row r="301">
      <c r="A301" t="inlineStr">
        <is>
          <t xml:space="preserve">236</t>
        </is>
      </c>
      <c r="B301" t="inlineStr">
        <is>
          <t xml:space="preserve">Рабочие паузы</t>
        </is>
      </c>
      <c r="C301" t="inlineStr">
        <is>
          <t xml:space="preserve">тождественно</t>
        </is>
      </c>
      <c r="D301" t="inlineStr">
        <is>
          <t xml:space="preserve">Рабочие паузы — Кратковременные перерывы в течение рабочего времени, связанные с отдыхом, личными потребностями и временным отвлечением от выполнения профессиональных задач.</t>
        </is>
      </c>
      <c r="F301" t="inlineStr">
        <is>
          <t xml:space="preserve">понятие</t>
        </is>
      </c>
      <c r="G301" t="inlineStr">
        <is>
          <t xml:space="preserve">Кратковременные перерывы в течение рабочего времени, связанные с отдыхом, личными потребностями и временным отвлечением от выполнения профессиональных задач.</t>
        </is>
      </c>
      <c r="H301" t="inlineStr">
        <is>
          <t xml:space="preserve">согласовано</t>
        </is>
      </c>
      <c r="K301" t="inlineStr">
        <is>
          <t xml:space="preserve">для пользователя</t>
        </is>
      </c>
      <c r="L301" t="inlineStr">
        <is>
          <t xml:space="preserve">Завести в книге</t>
        </is>
      </c>
    </row>
    <row r="302">
      <c r="A302" t="inlineStr">
        <is>
          <t xml:space="preserve">237</t>
        </is>
      </c>
      <c r="B302" t="inlineStr">
        <is>
          <t xml:space="preserve">Резерв времени на форс-мажоры</t>
        </is>
      </c>
      <c r="C302" t="inlineStr">
        <is>
          <t xml:space="preserve">тождественно</t>
        </is>
      </c>
      <c r="D302"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F302" t="inlineStr">
        <is>
          <t xml:space="preserve">понятие</t>
        </is>
      </c>
      <c r="G302" t="inlineStr">
        <is>
          <t xml:space="preserve">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c r="H302" t="inlineStr">
        <is>
          <t xml:space="preserve">согласовано</t>
        </is>
      </c>
      <c r="K302" t="inlineStr">
        <is>
          <t xml:space="preserve">для пользователя</t>
        </is>
      </c>
      <c r="L302" t="inlineStr">
        <is>
          <t xml:space="preserve">Завести в книге</t>
        </is>
      </c>
    </row>
    <row r="303">
      <c r="A303" t="inlineStr">
        <is>
          <t xml:space="preserve">238</t>
        </is>
      </c>
      <c r="B303" t="inlineStr">
        <is>
          <t xml:space="preserve">Резерв на программу лояльности</t>
        </is>
      </c>
      <c r="C303" t="inlineStr">
        <is>
          <t xml:space="preserve">тождественно</t>
        </is>
      </c>
      <c r="D303" t="inlineStr">
        <is>
          <t xml:space="preserve">Резерв на программу лояльности — Часть дохода, которую специалист заранее закладывает на предоставление скидок, бонусов, подарков и других поощрений клиентам в рамках программы лояльности.</t>
        </is>
      </c>
      <c r="F303" t="inlineStr">
        <is>
          <t xml:space="preserve">понятие</t>
        </is>
      </c>
      <c r="G303" t="inlineStr">
        <is>
          <t xml:space="preserve">Часть дохода, которую специалист заранее закладывает на предоставление скидок, бонусов, подарков и других поощрений клиентам в рамках программы лояльности.</t>
        </is>
      </c>
      <c r="H303" t="inlineStr">
        <is>
          <t xml:space="preserve">согласовано</t>
        </is>
      </c>
      <c r="K303" t="inlineStr">
        <is>
          <t xml:space="preserve">для пользователя</t>
        </is>
      </c>
      <c r="L303" t="inlineStr">
        <is>
          <t xml:space="preserve">Завести в книге</t>
        </is>
      </c>
    </row>
    <row r="304">
      <c r="A304" t="inlineStr">
        <is>
          <t xml:space="preserve">239</t>
        </is>
      </c>
      <c r="B304" t="inlineStr">
        <is>
          <t xml:space="preserve">Резерв на развитие</t>
        </is>
      </c>
      <c r="C304" t="inlineStr">
        <is>
          <t xml:space="preserve">тождественно</t>
        </is>
      </c>
      <c r="D304" t="inlineStr">
        <is>
          <t xml:space="preserve">Резерв на развитие — Часть дохода, которую специалист или бизнес заранее откладывает для финансирования будущего развития, улучшения профессиональной деятельности и реализации новых возможностей.</t>
        </is>
      </c>
      <c r="F304" t="inlineStr">
        <is>
          <t xml:space="preserve">понятие</t>
        </is>
      </c>
      <c r="G304" t="inlineStr">
        <is>
          <t xml:space="preserve">Часть дохода, которую специалист или бизнес заранее откладывает для финансирования будущего развития, улучшения профессиональной деятельности и реализации новых возможностей.</t>
        </is>
      </c>
      <c r="H304" t="inlineStr">
        <is>
          <t xml:space="preserve">согласовано</t>
        </is>
      </c>
      <c r="K304" t="inlineStr">
        <is>
          <t xml:space="preserve">для пользователя</t>
        </is>
      </c>
      <c r="L304" t="inlineStr">
        <is>
          <t xml:space="preserve">Завести в книге</t>
        </is>
      </c>
    </row>
    <row r="305">
      <c r="A305" t="inlineStr">
        <is>
          <t xml:space="preserve">240</t>
        </is>
      </c>
      <c r="B305" t="inlineStr">
        <is>
          <t xml:space="preserve">Реклама</t>
        </is>
      </c>
      <c r="C305" t="inlineStr">
        <is>
          <t xml:space="preserve">тождественно</t>
        </is>
      </c>
      <c r="D305" t="inlineStr">
        <is>
          <t xml:space="preserve">Реклама — Распространение информации о специалисте, его услугах или продуктах с целью привлечения внимания потенциальных клиентов и стимулирования спроса.</t>
        </is>
      </c>
      <c r="F305" t="inlineStr">
        <is>
          <t xml:space="preserve">понятие</t>
        </is>
      </c>
      <c r="G305"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c r="H305" t="inlineStr">
        <is>
          <t xml:space="preserve">согласовано</t>
        </is>
      </c>
      <c r="K305" t="inlineStr">
        <is>
          <t xml:space="preserve">для пользователя</t>
        </is>
      </c>
      <c r="L305" t="inlineStr">
        <is>
          <t xml:space="preserve">Завести в книге</t>
        </is>
      </c>
    </row>
    <row r="306">
      <c r="A306" t="inlineStr">
        <is>
          <t xml:space="preserve">241</t>
        </is>
      </c>
      <c r="B306" t="inlineStr">
        <is>
          <t xml:space="preserve">Ресурс затвора</t>
        </is>
      </c>
      <c r="C306" t="inlineStr">
        <is>
          <t xml:space="preserve">тождественно</t>
        </is>
      </c>
      <c r="D306" t="inlineStr">
        <is>
          <t xml:space="preserve">Ресурс затвора — 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c r="F306" t="inlineStr">
        <is>
          <t xml:space="preserve">понятие</t>
        </is>
      </c>
      <c r="G306"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c r="H306" t="inlineStr">
        <is>
          <t xml:space="preserve">согласовано</t>
        </is>
      </c>
      <c r="K306" t="inlineStr">
        <is>
          <t xml:space="preserve">для пользователя</t>
        </is>
      </c>
      <c r="L306" t="inlineStr">
        <is>
          <t xml:space="preserve">Завести в книге</t>
        </is>
      </c>
    </row>
    <row r="307">
      <c r="A307" t="inlineStr">
        <is>
          <t xml:space="preserve">242</t>
        </is>
      </c>
      <c r="B307" t="inlineStr">
        <is>
          <t xml:space="preserve">Себестоимость часа съёмки</t>
        </is>
      </c>
      <c r="C307" t="inlineStr">
        <is>
          <t xml:space="preserve">тождественно</t>
        </is>
      </c>
      <c r="D307" t="inlineStr">
        <is>
          <t xml:space="preserve">Себестоимость часа съёмки — 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c r="F307" t="inlineStr">
        <is>
          <t xml:space="preserve">понятие</t>
        </is>
      </c>
      <c r="G307"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c r="H307" t="inlineStr">
        <is>
          <t xml:space="preserve">согласовано</t>
        </is>
      </c>
      <c r="K307" t="inlineStr">
        <is>
          <t xml:space="preserve">для пользователя</t>
        </is>
      </c>
      <c r="L307" t="inlineStr">
        <is>
          <t xml:space="preserve">Завести в книге</t>
        </is>
      </c>
    </row>
    <row r="308">
      <c r="A308" t="inlineStr">
        <is>
          <t xml:space="preserve">243</t>
        </is>
      </c>
      <c r="B308" t="inlineStr">
        <is>
          <t xml:space="preserve">Скидка за объём</t>
        </is>
      </c>
      <c r="C308" t="inlineStr">
        <is>
          <t xml:space="preserve">тождественно</t>
        </is>
      </c>
      <c r="D308" t="inlineStr">
        <is>
          <t xml:space="preserve">Скидка за объём — Снижение стоимости единицы услуги при увеличении объёма заказа или количества приобретаемых услуг.</t>
        </is>
      </c>
      <c r="F308" t="inlineStr">
        <is>
          <t xml:space="preserve">понятие</t>
        </is>
      </c>
      <c r="G308" t="inlineStr">
        <is>
          <t xml:space="preserve">Снижение стоимости единицы услуги при увеличении объёма заказа или количества приобретаемых услуг.</t>
        </is>
      </c>
      <c r="H308" t="inlineStr">
        <is>
          <t xml:space="preserve">согласовано</t>
        </is>
      </c>
      <c r="K308" t="inlineStr">
        <is>
          <t xml:space="preserve">для пользователя</t>
        </is>
      </c>
      <c r="L308" t="inlineStr">
        <is>
          <t xml:space="preserve">Завести в книге</t>
        </is>
      </c>
    </row>
    <row r="309">
      <c r="A309" t="inlineStr">
        <is>
          <t xml:space="preserve">244</t>
        </is>
      </c>
      <c r="B309" t="inlineStr">
        <is>
          <t xml:space="preserve">Срабатывание затвора</t>
        </is>
      </c>
      <c r="C309" t="inlineStr">
        <is>
          <t xml:space="preserve">тождественно</t>
        </is>
      </c>
      <c r="D309" t="inlineStr">
        <is>
          <t xml:space="preserve">Срабатывание затвора — Однократный цикл работы затвора камеры, происходящий при создании снимка и учитываемый при определении выработки ресурса затвора.</t>
        </is>
      </c>
      <c r="F309" t="inlineStr">
        <is>
          <t xml:space="preserve">понятие</t>
        </is>
      </c>
      <c r="G309" t="inlineStr">
        <is>
          <t xml:space="preserve">Однократный цикл работы затвора камеры, происходящий при создании снимка и учитываемый при определении выработки ресурса затвора.</t>
        </is>
      </c>
      <c r="H309" t="inlineStr">
        <is>
          <t xml:space="preserve">согласовано</t>
        </is>
      </c>
      <c r="K309" t="inlineStr">
        <is>
          <t xml:space="preserve">для пользователя</t>
        </is>
      </c>
      <c r="L309" t="inlineStr">
        <is>
          <t xml:space="preserve">Завести в книге</t>
        </is>
      </c>
    </row>
    <row r="310">
      <c r="A310" t="inlineStr">
        <is>
          <t xml:space="preserve">245</t>
        </is>
      </c>
      <c r="B310" t="inlineStr">
        <is>
          <t xml:space="preserve">Средний чек съёмки</t>
        </is>
      </c>
      <c r="C310" t="inlineStr">
        <is>
          <t xml:space="preserve">тождественно</t>
        </is>
      </c>
      <c r="D310" t="inlineStr">
        <is>
          <t xml:space="preserve">Средний чек съёмки — Средняя стоимость одной съёмки, рассчитанная на основе общей выручки от съёмок и их количества за определённый период.</t>
        </is>
      </c>
      <c r="F310" t="inlineStr">
        <is>
          <t xml:space="preserve">понятие</t>
        </is>
      </c>
      <c r="G310" t="inlineStr">
        <is>
          <t xml:space="preserve">Средняя стоимость одной съёмки, рассчитанная на основе общей выручки от съёмок и их количества за определённый период.</t>
        </is>
      </c>
      <c r="H310" t="inlineStr">
        <is>
          <t xml:space="preserve">согласовано</t>
        </is>
      </c>
      <c r="K310" t="inlineStr">
        <is>
          <t xml:space="preserve">для пользователя</t>
        </is>
      </c>
      <c r="L310" t="inlineStr">
        <is>
          <t xml:space="preserve">Завести в книге</t>
        </is>
      </c>
    </row>
    <row r="311">
      <c r="A311" t="inlineStr">
        <is>
          <t xml:space="preserve">246</t>
        </is>
      </c>
      <c r="B311" t="inlineStr">
        <is>
          <t xml:space="preserve">Срок службы</t>
        </is>
      </c>
      <c r="C311" t="inlineStr">
        <is>
          <t xml:space="preserve">тождественно</t>
        </is>
      </c>
      <c r="D311" t="inlineStr">
        <is>
          <t xml:space="preserve">Срок службы — Период, в течение которого оборудование или другое имущество может использоваться по назначению при соблюдении установленных условий эксплуатации.</t>
        </is>
      </c>
      <c r="F311" t="inlineStr">
        <is>
          <t xml:space="preserve">понятие</t>
        </is>
      </c>
      <c r="G311"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c r="H311" t="inlineStr">
        <is>
          <t xml:space="preserve">согласовано</t>
        </is>
      </c>
      <c r="K311" t="inlineStr">
        <is>
          <t xml:space="preserve">для пользователя</t>
        </is>
      </c>
      <c r="L311" t="inlineStr">
        <is>
          <t xml:space="preserve">Завести в книге</t>
        </is>
      </c>
    </row>
    <row r="312">
      <c r="A312" t="inlineStr">
        <is>
          <t xml:space="preserve">247</t>
        </is>
      </c>
      <c r="B312" t="inlineStr">
        <is>
          <t xml:space="preserve">Ставка в ноль</t>
        </is>
      </c>
      <c r="C312" t="inlineStr">
        <is>
          <t xml:space="preserve">тождественно</t>
        </is>
      </c>
      <c r="D312" t="inlineStr">
        <is>
          <t xml:space="preserve">Ставка в ноль — Минимальная стоимость одного часа работы, при которой полученная выручка полностью покрывает все расходы специалиста, но не приносит ему прибыли.</t>
        </is>
      </c>
      <c r="F312" t="inlineStr">
        <is>
          <t xml:space="preserve">понятие</t>
        </is>
      </c>
      <c r="G312" t="inlineStr">
        <is>
          <t xml:space="preserve">Минимальная стоимость одного часа работы, при которой полученная выручка полностью покрывает все расходы специалиста, но не приносит ему прибыли.</t>
        </is>
      </c>
      <c r="H312" t="inlineStr">
        <is>
          <t xml:space="preserve">согласовано</t>
        </is>
      </c>
      <c r="K312" t="inlineStr">
        <is>
          <t xml:space="preserve">для пользователя</t>
        </is>
      </c>
      <c r="L312" t="inlineStr">
        <is>
          <t xml:space="preserve">Завести в книге</t>
        </is>
      </c>
    </row>
    <row r="313">
      <c r="A313" t="inlineStr">
        <is>
          <t xml:space="preserve">248</t>
        </is>
      </c>
      <c r="B313" t="inlineStr">
        <is>
          <t xml:space="preserve">Ставка часа съёмки (стоимость съёмочного часа)</t>
        </is>
      </c>
      <c r="C313" t="inlineStr">
        <is>
          <t xml:space="preserve">тождественно</t>
        </is>
      </c>
      <c r="D313" t="inlineStr">
        <is>
          <t xml:space="preserve">Ставка часа съёмки (стоимость съёмочного часа) — Стоимость одного часа съёмочных работ, установленная специалистом с учётом его дохода, затрат, налогов, взносов и других расходов, связанных с профессиональной деятельностью.</t>
        </is>
      </c>
      <c r="F313" t="inlineStr">
        <is>
          <t xml:space="preserve">понятие</t>
        </is>
      </c>
      <c r="G313" t="inlineStr">
        <is>
          <t xml:space="preserve">Стоимость одного часа съёмочных работ, установленная специалистом с учётом его дохода, затрат, налогов, взносов и других расходов, связанных с профессиональной деятельностью.</t>
        </is>
      </c>
      <c r="H313" t="inlineStr">
        <is>
          <t xml:space="preserve">согласовано</t>
        </is>
      </c>
      <c r="K313" t="inlineStr">
        <is>
          <t xml:space="preserve">для пользователя</t>
        </is>
      </c>
      <c r="L313" t="inlineStr">
        <is>
          <t xml:space="preserve">Завести в книге</t>
        </is>
      </c>
    </row>
    <row r="314">
      <c r="A314" t="inlineStr">
        <is>
          <t xml:space="preserve">249</t>
        </is>
      </c>
      <c r="B314" t="inlineStr">
        <is>
          <t xml:space="preserve">Стоимость клиентского часа</t>
        </is>
      </c>
      <c r="C314" t="inlineStr">
        <is>
          <t xml:space="preserve">тождественно</t>
        </is>
      </c>
      <c r="D314" t="inlineStr">
        <is>
          <t xml:space="preserve">Стоимость клиентского часа — 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c r="F314" t="inlineStr">
        <is>
          <t xml:space="preserve">понятие</t>
        </is>
      </c>
      <c r="G314" t="inlineStr">
        <is>
          <t xml:space="preserve">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c r="H314" t="inlineStr">
        <is>
          <t xml:space="preserve">согласовано</t>
        </is>
      </c>
      <c r="K314" t="inlineStr">
        <is>
          <t xml:space="preserve">для пользователя</t>
        </is>
      </c>
      <c r="L314" t="inlineStr">
        <is>
          <t xml:space="preserve">Завести в книге</t>
        </is>
      </c>
    </row>
    <row r="315">
      <c r="A315" t="inlineStr">
        <is>
          <t xml:space="preserve">250</t>
        </is>
      </c>
      <c r="B315" t="inlineStr">
        <is>
          <t xml:space="preserve">Страховые взносы</t>
        </is>
      </c>
      <c r="C315" t="inlineStr">
        <is>
          <t xml:space="preserve">тождественно</t>
        </is>
      </c>
      <c r="D315"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F315" t="inlineStr">
        <is>
          <t xml:space="preserve">понятие</t>
        </is>
      </c>
      <c r="G315"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c r="H315" t="inlineStr">
        <is>
          <t xml:space="preserve">согласовано</t>
        </is>
      </c>
      <c r="K315" t="inlineStr">
        <is>
          <t xml:space="preserve">для пользователя</t>
        </is>
      </c>
      <c r="L315" t="inlineStr">
        <is>
          <t xml:space="preserve">Завести в книге</t>
        </is>
      </c>
    </row>
    <row r="316">
      <c r="A316" t="inlineStr">
        <is>
          <t xml:space="preserve">251</t>
        </is>
      </c>
      <c r="B316" t="inlineStr">
        <is>
          <t xml:space="preserve">Съёмка</t>
        </is>
      </c>
      <c r="C316" t="inlineStr">
        <is>
          <t xml:space="preserve">тождественно</t>
        </is>
      </c>
      <c r="D316" t="inlineStr">
        <is>
          <t xml:space="preserve">Съёмка — Процесс создания фотоматериала с использованием фотооборудования в соответствии с поставленной задачей, условиями и сценарием съёмочного проекта.</t>
        </is>
      </c>
      <c r="F316" t="inlineStr">
        <is>
          <t xml:space="preserve">понятие</t>
        </is>
      </c>
      <c r="G316"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c r="H316" t="inlineStr">
        <is>
          <t xml:space="preserve">согласовано</t>
        </is>
      </c>
      <c r="K316" t="inlineStr">
        <is>
          <t xml:space="preserve">для пользователя</t>
        </is>
      </c>
      <c r="L316" t="inlineStr">
        <is>
          <t xml:space="preserve">Завести в книге</t>
        </is>
      </c>
    </row>
    <row r="317">
      <c r="A317" t="inlineStr">
        <is>
          <t xml:space="preserve">252</t>
        </is>
      </c>
      <c r="B317" t="inlineStr">
        <is>
          <t xml:space="preserve">Съёмочное оборудование</t>
        </is>
      </c>
      <c r="C317" t="inlineStr">
        <is>
          <t xml:space="preserve">тождественно</t>
        </is>
      </c>
      <c r="D317" t="inlineStr">
        <is>
          <t xml:space="preserve">Съёмочное оборудование — 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c r="F317" t="inlineStr">
        <is>
          <t xml:space="preserve">понятие</t>
        </is>
      </c>
      <c r="G317"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c r="H317" t="inlineStr">
        <is>
          <t xml:space="preserve">согласовано</t>
        </is>
      </c>
      <c r="K317" t="inlineStr">
        <is>
          <t xml:space="preserve">для пользователя</t>
        </is>
      </c>
      <c r="L317" t="inlineStr">
        <is>
          <t xml:space="preserve">Завести в книге</t>
        </is>
      </c>
    </row>
    <row r="318">
      <c r="A318" t="inlineStr">
        <is>
          <t xml:space="preserve">253</t>
        </is>
      </c>
      <c r="B318" t="inlineStr">
        <is>
          <t xml:space="preserve">Съёмочный проект</t>
        </is>
      </c>
      <c r="C318" t="inlineStr">
        <is>
          <t xml:space="preserve">тождественно</t>
        </is>
      </c>
      <c r="D318" t="inlineStr">
        <is>
          <t xml:space="preserve">Съёмочный проект — Отдельный заказ на проведение съёмочных работ, который может включать одну или несколько съёмок и несколько съёмочных часов, объединённых общей задачей, результатом и условиями выполнения.</t>
        </is>
      </c>
      <c r="F318" t="inlineStr">
        <is>
          <t xml:space="preserve">понятие</t>
        </is>
      </c>
      <c r="G318" t="inlineStr">
        <is>
          <t xml:space="preserve">Отдельный заказ на проведение съёмочных работ, который может включать одну или несколько съёмок и несколько съёмочных часов, объединённых общей задачей, результатом и условиями выполнения.</t>
        </is>
      </c>
      <c r="H318" t="inlineStr">
        <is>
          <t xml:space="preserve">согласовано</t>
        </is>
      </c>
      <c r="K318" t="inlineStr">
        <is>
          <t xml:space="preserve">для пользователя</t>
        </is>
      </c>
      <c r="L318" t="inlineStr">
        <is>
          <t xml:space="preserve">Завести в книге</t>
        </is>
      </c>
    </row>
    <row r="319">
      <c r="A319" t="inlineStr">
        <is>
          <t xml:space="preserve">254</t>
        </is>
      </c>
      <c r="B319" t="inlineStr">
        <is>
          <t xml:space="preserve">Съёмочный час</t>
        </is>
      </c>
      <c r="C319" t="inlineStr">
        <is>
          <t xml:space="preserve">тождественно</t>
        </is>
      </c>
      <c r="D319"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c r="F319" t="inlineStr">
        <is>
          <t xml:space="preserve">понятие</t>
        </is>
      </c>
      <c r="G319" t="inlineStr">
        <is>
          <t xml:space="preserve">Единица рабочего времени, в течение которой специалист непосредственно выполняет съёмочные работы в рамках одного заказа или проекта.</t>
        </is>
      </c>
      <c r="H319" t="inlineStr">
        <is>
          <t xml:space="preserve">согласовано</t>
        </is>
      </c>
      <c r="K319" t="inlineStr">
        <is>
          <t xml:space="preserve">для пользователя</t>
        </is>
      </c>
      <c r="L319" t="inlineStr">
        <is>
          <t xml:space="preserve">Завести в книге</t>
        </is>
      </c>
    </row>
    <row r="320">
      <c r="A320" t="inlineStr">
        <is>
          <t xml:space="preserve">255</t>
        </is>
      </c>
      <c r="B320" t="inlineStr">
        <is>
          <t xml:space="preserve">Текущие расходы</t>
        </is>
      </c>
      <c r="C320" t="inlineStr">
        <is>
          <t xml:space="preserve">тождественно</t>
        </is>
      </c>
      <c r="D320" t="inlineStr">
        <is>
          <t xml:space="preserve">Текущие расходы — Регулярные расходы специалиста, необходимые для поддержания профессиональной деятельности и выполнения работы в течение определённого периода.</t>
        </is>
      </c>
      <c r="F320" t="inlineStr">
        <is>
          <t xml:space="preserve">понятие</t>
        </is>
      </c>
      <c r="G320" t="inlineStr">
        <is>
          <t xml:space="preserve">Регулярные расходы специалиста, необходимые для поддержания профессиональной деятельности и выполнения работы в течение определённого периода.</t>
        </is>
      </c>
      <c r="H320" t="inlineStr">
        <is>
          <t xml:space="preserve">согласовано</t>
        </is>
      </c>
      <c r="K320" t="inlineStr">
        <is>
          <t xml:space="preserve">для пользователя</t>
        </is>
      </c>
      <c r="L320" t="inlineStr">
        <is>
          <t xml:space="preserve">Завести в книге</t>
        </is>
      </c>
    </row>
    <row r="321">
      <c r="A321" t="inlineStr">
        <is>
          <t xml:space="preserve">256</t>
        </is>
      </c>
      <c r="B321" t="inlineStr">
        <is>
          <t xml:space="preserve">Фактическая стоимость часа работы</t>
        </is>
      </c>
      <c r="C321" t="inlineStr">
        <is>
          <t xml:space="preserve">тождественно</t>
        </is>
      </c>
      <c r="D321" t="inlineStr">
        <is>
          <t xml:space="preserve">Фактическая стоимость часа работы — Сумма денежных средств, которую специалист получает за один час рабочего времени. Считается так: доход на руки за год делится на рабочее время — рабочие дни, умноженные на восемь часов. Нужна, чтобы понимать свой реальный заработок за час и сравнивать его с зарплатой наёмного сотрудника той же профессии.</t>
        </is>
      </c>
      <c r="F321" t="inlineStr">
        <is>
          <t xml:space="preserve">понятие</t>
        </is>
      </c>
      <c r="G321" t="inlineStr">
        <is>
          <t xml:space="preserve">Сумма денежных средств, которую специалист получает за один час рабочего времени. Считается так: доход на руки за год делится на рабочее время — рабочие дни, умноженные на восемь часов. Нужна, чтобы понимать свой реальный заработок за час и сравнивать его с зарплатой наёмного сотрудника той же профессии.</t>
        </is>
      </c>
      <c r="H321" t="inlineStr">
        <is>
          <t xml:space="preserve">согласовано</t>
        </is>
      </c>
      <c r="K321" t="inlineStr">
        <is>
          <t xml:space="preserve">для пользователя</t>
        </is>
      </c>
      <c r="L321" t="inlineStr">
        <is>
          <t xml:space="preserve">Завести в книге</t>
        </is>
      </c>
    </row>
    <row r="322">
      <c r="A322" t="inlineStr">
        <is>
          <t xml:space="preserve">257</t>
        </is>
      </c>
      <c r="B322" t="inlineStr">
        <is>
          <t xml:space="preserve">Фонд программы лояльности</t>
        </is>
      </c>
      <c r="C322" t="inlineStr">
        <is>
          <t xml:space="preserve">тождественно</t>
        </is>
      </c>
      <c r="D322" t="inlineStr">
        <is>
          <t xml:space="preserve">Фонд программы лояльности — 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c r="F322" t="inlineStr">
        <is>
          <t xml:space="preserve">понятие</t>
        </is>
      </c>
      <c r="G322"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c r="H322" t="inlineStr">
        <is>
          <t xml:space="preserve">согласовано</t>
        </is>
      </c>
      <c r="K322" t="inlineStr">
        <is>
          <t xml:space="preserve">для пользователя</t>
        </is>
      </c>
      <c r="L322" t="inlineStr">
        <is>
          <t xml:space="preserve">Завести в книге</t>
        </is>
      </c>
    </row>
    <row r="323">
      <c r="A323" t="inlineStr">
        <is>
          <t xml:space="preserve">258</t>
        </is>
      </c>
      <c r="B323" t="inlineStr">
        <is>
          <t xml:space="preserve">Фонд развития</t>
        </is>
      </c>
      <c r="C323" t="inlineStr">
        <is>
          <t xml:space="preserve">тождественно</t>
        </is>
      </c>
      <c r="D323" t="inlineStr">
        <is>
          <t xml:space="preserve">Фонд развития — 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c r="F323" t="inlineStr">
        <is>
          <t xml:space="preserve">понятие</t>
        </is>
      </c>
      <c r="G323"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c r="H323" t="inlineStr">
        <is>
          <t xml:space="preserve">согласовано</t>
        </is>
      </c>
      <c r="K323" t="inlineStr">
        <is>
          <t xml:space="preserve">для пользователя</t>
        </is>
      </c>
      <c r="L323" t="inlineStr">
        <is>
          <t xml:space="preserve">Завести в книге</t>
        </is>
      </c>
    </row>
    <row r="324">
      <c r="A324" t="inlineStr">
        <is>
          <t xml:space="preserve">259</t>
        </is>
      </c>
      <c r="B324" t="inlineStr">
        <is>
          <t xml:space="preserve">Эффективное рабочее время</t>
        </is>
      </c>
      <c r="C324" t="inlineStr">
        <is>
          <t xml:space="preserve">тождественно</t>
        </is>
      </c>
      <c r="D324"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F324" t="inlineStr">
        <is>
          <t xml:space="preserve">понятие</t>
        </is>
      </c>
      <c r="G324" t="inlineStr">
        <is>
          <t xml:space="preserve">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c r="H324" t="inlineStr">
        <is>
          <t xml:space="preserve">согласовано</t>
        </is>
      </c>
      <c r="K324" t="inlineStr">
        <is>
          <t xml:space="preserve">для пользователя</t>
        </is>
      </c>
      <c r="L324" t="inlineStr">
        <is>
          <t xml:space="preserve">Завести в книге</t>
        </is>
      </c>
    </row>
    <row r="325">
      <c r="A325" t="inlineStr">
        <is>
          <t xml:space="preserve">260</t>
        </is>
      </c>
      <c r="B325" t="inlineStr">
        <is>
          <t xml:space="preserve">Юнит-экономика</t>
        </is>
      </c>
      <c r="C325" t="inlineStr">
        <is>
          <t xml:space="preserve">тождественно</t>
        </is>
      </c>
      <c r="D325" t="inlineStr">
        <is>
          <t xml:space="preserve">Юнит-экономика — 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c r="F325" t="inlineStr">
        <is>
          <t xml:space="preserve">понятие</t>
        </is>
      </c>
      <c r="G325"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c r="H325" t="inlineStr">
        <is>
          <t xml:space="preserve">согласовано</t>
        </is>
      </c>
      <c r="K325" t="inlineStr">
        <is>
          <t xml:space="preserve">для пользователя</t>
        </is>
      </c>
      <c r="L325" t="inlineStr">
        <is>
          <t xml:space="preserve">Завести в книге</t>
        </is>
      </c>
    </row>
    <row r="326"/>
  </sheetData>
</worksheet>
</file>

<file path=xl/worksheets/sheet3.xml><?xml version="1.0" encoding="utf-8"?>
<worksheet xmlns="http://schemas.openxmlformats.org/spreadsheetml/2006/main">
  <sheetPr>
    <outlinePr summaryBelow="1" summaryRight="1"/>
    <pageSetUpPr/>
  </sheetPr>
  <dimension ref="A1:I143"/>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3"/>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 xml:space="preserve">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hour_pool</t>
        </is>
      </c>
      <c r="B46" s="28" t="inlineStr">
        <is>
          <t>Стоимость часа проектного времени</t>
        </is>
      </c>
      <c r="C46" s="36">
        <f>IF(project_pool=0,0,CHOOSE(regime_no,'05_Расчёт'!B4,'05_Расчёт'!C4,'05_Расчёт'!D4,'05_Расчёт'!E4,'05_Расчёт'!F4,'05_Расчёт'!G4,'05_Расчёт'!H4)/project_pool)</f>
        <v>1885.9972058598723</v>
      </c>
      <c r="D46" s="28" t="inlineStr">
        <is>
          <t>₽/ч</t>
        </is>
      </c>
      <c r="E46" s="30" t="inlineStr">
        <is>
          <t>IF(project_pool=0,0,CHOOSE(regime_no,'05_Расчёт'!B4,'05_Расчёт'!C4,'05_Расчёт'!D4,'05_Расчёт'!E4,'05_Расчёт'!F4,'05_Расчёт'!G4,'05_Расчёт'!H4)/project_pool)</t>
        </is>
      </c>
      <c r="F46" s="7" t="inlineStr">
        <is>
          <t>calc</t>
        </is>
      </c>
      <c r="G46" s="6" t="inlineStr">
        <is>
          <t>выручка, project_pool</t>
        </is>
      </c>
      <c r="H46" s="30" t="inlineStr">
        <is>
          <t>ПОСТОЯННАЯ. База для сетки объёмных скидок</t>
        </is>
      </c>
    </row>
    <row r="47">
      <c r="A47" s="27" t="inlineStr">
        <is>
          <t>projects_year</t>
        </is>
      </c>
      <c r="B47" s="28" t="inlineStr">
        <is>
          <t>Проектов в год</t>
        </is>
      </c>
      <c r="C47" s="31">
        <f>IF(project_time=0,0,project_pool/project_time)</f>
        <v>216.6</v>
      </c>
      <c r="D47" s="28" t="inlineStr">
        <is>
          <t>шт/год</t>
        </is>
      </c>
      <c r="E47" s="30" t="inlineStr">
        <is>
          <t>IF(project_time=0,0,project_pool/project_time)</t>
        </is>
      </c>
      <c r="F47" s="7" t="inlineStr">
        <is>
          <t>calc</t>
        </is>
      </c>
      <c r="G47" s="6" t="inlineStr">
        <is>
          <t>project_pool, project_time</t>
        </is>
      </c>
      <c r="H47" s="30" t="inlineStr"/>
    </row>
    <row r="48">
      <c r="A48" s="27" t="inlineStr">
        <is>
          <t>projects_month</t>
        </is>
      </c>
      <c r="B48" s="28" t="inlineStr">
        <is>
          <t>Проектов в месяц</t>
        </is>
      </c>
      <c r="C48" s="31">
        <f>projects_year/months</f>
        <v>18.05</v>
      </c>
      <c r="D48" s="28" t="inlineStr">
        <is>
          <t>шт/мес</t>
        </is>
      </c>
      <c r="E48" s="30" t="inlineStr">
        <is>
          <t>projects_year/months</t>
        </is>
      </c>
      <c r="F48" s="7" t="inlineStr">
        <is>
          <t>calc</t>
        </is>
      </c>
      <c r="G48" s="6" t="inlineStr">
        <is>
          <t>projects_year, months</t>
        </is>
      </c>
      <c r="H48" s="30" t="inlineStr"/>
    </row>
    <row r="49">
      <c r="A49" s="27" t="inlineStr">
        <is>
          <t>projects_week</t>
        </is>
      </c>
      <c r="B49" s="28" t="inlineStr">
        <is>
          <t>Проектов в неделю</t>
        </is>
      </c>
      <c r="C49" s="31">
        <f>projects_year/net_weeks</f>
        <v>4.945205479452055</v>
      </c>
      <c r="D49" s="28" t="inlineStr">
        <is>
          <t>шт/нед</t>
        </is>
      </c>
      <c r="E49" s="30" t="inlineStr">
        <is>
          <t>projects_year/net_weeks</t>
        </is>
      </c>
      <c r="F49" s="7" t="inlineStr">
        <is>
          <t>calc</t>
        </is>
      </c>
      <c r="G49" s="6" t="inlineStr">
        <is>
          <t>projects_year, net_weeks</t>
        </is>
      </c>
      <c r="H49" s="30" t="inlineStr">
        <is>
          <t>При авторежиме равно week_target</t>
        </is>
      </c>
    </row>
    <row r="50">
      <c r="A50" s="27" t="inlineStr">
        <is>
          <t>shooting_time</t>
        </is>
      </c>
      <c r="B50" s="28" t="inlineStr">
        <is>
          <t>СЪЁМОЧНОЕ время</t>
        </is>
      </c>
      <c r="C50" s="31">
        <f>projects_year*shoot_duration</f>
        <v>216.6</v>
      </c>
      <c r="D50" s="28" t="inlineStr">
        <is>
          <t>ч/год</t>
        </is>
      </c>
      <c r="E50" s="30" t="inlineStr">
        <is>
          <t>projects_year*shoot_duration</t>
        </is>
      </c>
      <c r="F50" s="7" t="inlineStr">
        <is>
          <t>calc</t>
        </is>
      </c>
      <c r="G50" s="6" t="inlineStr">
        <is>
          <t>projects_year, shoot_duration</t>
        </is>
      </c>
      <c r="H50" s="30" t="inlineStr">
        <is>
          <t>ЦЕЛЬ РАСЧЁТА — знаменатель ставки</t>
        </is>
      </c>
    </row>
    <row r="51">
      <c r="A51" s="27" t="inlineStr">
        <is>
          <t>shooting_month</t>
        </is>
      </c>
      <c r="B51" s="28" t="inlineStr">
        <is>
          <t>Съёмочное время в месяц</t>
        </is>
      </c>
      <c r="C51" s="31">
        <f>shooting_time/months</f>
        <v>18.05</v>
      </c>
      <c r="D51" s="28" t="inlineStr">
        <is>
          <t>ч/мес</t>
        </is>
      </c>
      <c r="E51" s="30" t="inlineStr">
        <is>
          <t>shooting_time/months</t>
        </is>
      </c>
      <c r="F51" s="7" t="inlineStr">
        <is>
          <t>calc</t>
        </is>
      </c>
      <c r="G51" s="6" t="inlineStr">
        <is>
          <t>shooting_time, months</t>
        </is>
      </c>
      <c r="H51" s="30" t="inlineStr"/>
    </row>
    <row r="52">
      <c r="A52" s="27" t="inlineStr">
        <is>
          <t>shooting_week</t>
        </is>
      </c>
      <c r="B52" s="28" t="inlineStr">
        <is>
          <t>Съёмочное время в неделю</t>
        </is>
      </c>
      <c r="C52" s="31">
        <f>shooting_time/net_weeks</f>
        <v>4.945205479452055</v>
      </c>
      <c r="D52" s="28" t="inlineStr">
        <is>
          <t>ч/нед</t>
        </is>
      </c>
      <c r="E52" s="30" t="inlineStr">
        <is>
          <t>shooting_time/net_weeks</t>
        </is>
      </c>
      <c r="F52" s="7" t="inlineStr">
        <is>
          <t>calc</t>
        </is>
      </c>
      <c r="G52" s="6" t="inlineStr">
        <is>
          <t>shooting_time, net_weeks</t>
        </is>
      </c>
      <c r="H52" s="30" t="inlineStr"/>
    </row>
    <row r="53">
      <c r="A53" s="27" t="inlineStr">
        <is>
          <t>post_time</t>
        </is>
      </c>
      <c r="B53" s="28" t="inlineStr">
        <is>
          <t>Постпродакшн за год</t>
        </is>
      </c>
      <c r="C53" s="31">
        <f>shooting_time*post_ratio</f>
        <v>649.8</v>
      </c>
      <c r="D53" s="28" t="inlineStr">
        <is>
          <t>ч/год</t>
        </is>
      </c>
      <c r="E53" s="30" t="inlineStr">
        <is>
          <t>shooting_time*post_ratio</t>
        </is>
      </c>
      <c r="F53" s="7" t="inlineStr">
        <is>
          <t>calc</t>
        </is>
      </c>
      <c r="G53" s="6" t="inlineStr">
        <is>
          <t>shooting_time, post_ratio</t>
        </is>
      </c>
      <c r="H53" s="30" t="inlineStr">
        <is>
          <t>S × коэффициент на каждый проект</t>
        </is>
      </c>
    </row>
    <row r="54">
      <c r="A54" s="27" t="inlineStr">
        <is>
          <t>core_time</t>
        </is>
      </c>
      <c r="B54" s="28" t="inlineStr">
        <is>
          <t>ПРОФИЛЬНОЕ время</t>
        </is>
      </c>
      <c r="C54" s="31">
        <f>shooting_time*profile_multiplier</f>
        <v>866.4</v>
      </c>
      <c r="D54" s="28" t="inlineStr">
        <is>
          <t>ч/год</t>
        </is>
      </c>
      <c r="E54" s="30" t="inlineStr">
        <is>
          <t>shooting_time*profile_multiplier</t>
        </is>
      </c>
      <c r="F54" s="7" t="inlineStr">
        <is>
          <t>calc</t>
        </is>
      </c>
      <c r="G54" s="6" t="inlineStr">
        <is>
          <t>shooting_time, profile_multiplier</t>
        </is>
      </c>
      <c r="H54" s="30" t="inlineStr">
        <is>
          <t>Съёмка + обработка = S × (1 + коэффициент). БЕЗ работы с клиентом</t>
        </is>
      </c>
    </row>
    <row r="55">
      <c r="A55" s="27" t="inlineStr">
        <is>
          <t>client_total</t>
        </is>
      </c>
      <c r="B55" s="28" t="inlineStr">
        <is>
          <t>Работа с клиентом за год</t>
        </is>
      </c>
      <c r="C55" s="31">
        <f>projects_year*client_time</f>
        <v>216.6</v>
      </c>
      <c r="D55" s="28" t="inlineStr">
        <is>
          <t>ч/год</t>
        </is>
      </c>
      <c r="E55" s="30" t="inlineStr">
        <is>
          <t>projects_year*client_time</t>
        </is>
      </c>
      <c r="F55" s="7" t="inlineStr">
        <is>
          <t>calc</t>
        </is>
      </c>
      <c r="G55" s="6" t="inlineStr">
        <is>
          <t>projects_year, client_time</t>
        </is>
      </c>
      <c r="H55" s="30" t="inlineStr"/>
    </row>
    <row r="56">
      <c r="A56" s="27" t="inlineStr">
        <is>
          <t>ops_per_shoot</t>
        </is>
      </c>
      <c r="B56" s="28" t="inlineStr">
        <is>
          <t>Операционных часов на час съёмки</t>
        </is>
      </c>
      <c r="C56" s="31">
        <f>IF(shooting_time=0,0,side_time/shooting_time)</f>
        <v>2.0775623268698062</v>
      </c>
      <c r="D56" s="28" t="inlineStr">
        <is>
          <t>ч</t>
        </is>
      </c>
      <c r="E56" s="30" t="inlineStr">
        <is>
          <t>IF(shooting_time=0,0,side_time/shooting_time)</t>
        </is>
      </c>
      <c r="F56" s="7" t="inlineStr">
        <is>
          <t>calc</t>
        </is>
      </c>
      <c r="G56" s="6" t="inlineStr">
        <is>
          <t>side_time, shooting_time</t>
        </is>
      </c>
      <c r="H56" s="30" t="inlineStr"/>
    </row>
    <row r="57">
      <c r="A57" s="3" t="inlineStr">
        <is>
          <t>4 · ДОХОД</t>
        </is>
      </c>
    </row>
    <row r="58" ht="26" customHeight="1">
      <c r="A58" s="26" t="inlineStr">
        <is>
          <t>ID</t>
        </is>
      </c>
      <c r="B58" s="26" t="inlineStr">
        <is>
          <t>Название</t>
        </is>
      </c>
      <c r="C58" s="26" t="inlineStr">
        <is>
          <t>Значение</t>
        </is>
      </c>
      <c r="D58" s="26" t="inlineStr">
        <is>
          <t>Ед.</t>
        </is>
      </c>
      <c r="E58" s="26" t="inlineStr">
        <is>
          <t>Формула / как получено</t>
        </is>
      </c>
      <c r="F58" s="26" t="inlineStr">
        <is>
          <t>Тип</t>
        </is>
      </c>
      <c r="G58" s="26" t="inlineStr">
        <is>
          <t>Зависит от</t>
        </is>
      </c>
      <c r="H58" s="26" t="inlineStr">
        <is>
          <t>Источник / форма</t>
        </is>
      </c>
    </row>
    <row r="59">
      <c r="A59" s="27" t="inlineStr">
        <is>
          <t>income_month</t>
        </is>
      </c>
      <c r="B59" s="28" t="inlineStr">
        <is>
          <t>Желаемый доход на руки</t>
        </is>
      </c>
      <c r="C59" s="37" t="n">
        <v>110216</v>
      </c>
      <c r="D59" s="28" t="inlineStr">
        <is>
          <t>₽/мес</t>
        </is>
      </c>
      <c r="E59" s="30" t="inlineStr"/>
      <c r="F59" s="7" t="inlineStr">
        <is>
          <t>default</t>
        </is>
      </c>
      <c r="G59" s="6" t="inlineStr"/>
      <c r="H59" s="30" t="inlineStr">
        <is>
          <t>Block1 · Росстат 2026</t>
        </is>
      </c>
    </row>
    <row r="60">
      <c r="A60" s="27" t="inlineStr">
        <is>
          <t>target_income</t>
        </is>
      </c>
      <c r="B60" s="28" t="inlineStr">
        <is>
          <t>Желаемый доход за год</t>
        </is>
      </c>
      <c r="C60" s="38">
        <f>income_month*months</f>
        <v>1322592.0</v>
      </c>
      <c r="D60" s="28" t="inlineStr">
        <is>
          <t>₽/год</t>
        </is>
      </c>
      <c r="E60" s="30" t="inlineStr">
        <is>
          <t>income_month*months</t>
        </is>
      </c>
      <c r="F60" s="7" t="inlineStr">
        <is>
          <t>calc</t>
        </is>
      </c>
      <c r="G60" s="6" t="inlineStr">
        <is>
          <t>income_month, months</t>
        </is>
      </c>
      <c r="H60" s="30" t="inlineStr">
        <is>
          <t>N — на руки после всех платежей</t>
        </is>
      </c>
    </row>
    <row r="61">
      <c r="A61" s="27" t="inlineStr">
        <is>
          <t>current_rate</t>
        </is>
      </c>
      <c r="B61" s="28" t="inlineStr">
        <is>
          <t>Текущая ставка часа</t>
        </is>
      </c>
      <c r="C61" s="37" t="n">
        <v>6000</v>
      </c>
      <c r="D61" s="28" t="inlineStr">
        <is>
          <t>₽/ч</t>
        </is>
      </c>
      <c r="E61" s="30" t="inlineStr"/>
      <c r="F61" s="7" t="inlineStr">
        <is>
          <t>default</t>
        </is>
      </c>
      <c r="G61" s="6" t="inlineStr"/>
      <c r="H61" s="30" t="inlineStr">
        <is>
          <t>Block2 · для сравнения</t>
        </is>
      </c>
    </row>
    <row r="62">
      <c r="A62" s="3" t="inlineStr">
        <is>
          <t>5 · РАБОЧЕЕ МЕСТО · ПЕРЕКЛЮЧАТЕЛЬ (Form005/013 · Block9)</t>
        </is>
      </c>
    </row>
    <row r="63" ht="26" customHeight="1">
      <c r="A63" s="26" t="inlineStr">
        <is>
          <t>ID</t>
        </is>
      </c>
      <c r="B63" s="26" t="inlineStr">
        <is>
          <t>Название</t>
        </is>
      </c>
      <c r="C63" s="26" t="inlineStr">
        <is>
          <t>Значение</t>
        </is>
      </c>
      <c r="D63" s="26" t="inlineStr">
        <is>
          <t>Ед.</t>
        </is>
      </c>
      <c r="E63" s="26" t="inlineStr">
        <is>
          <t>Формула / как получено</t>
        </is>
      </c>
      <c r="F63" s="26" t="inlineStr">
        <is>
          <t>Тип</t>
        </is>
      </c>
      <c r="G63" s="26" t="inlineStr">
        <is>
          <t>Зависит от</t>
        </is>
      </c>
      <c r="H63" s="26" t="inlineStr">
        <is>
          <t>Источник / форма</t>
        </is>
      </c>
    </row>
    <row r="64">
      <c r="A64" s="27" t="inlineStr">
        <is>
          <t>ws_mode</t>
        </is>
      </c>
      <c r="B64" s="28" t="inlineStr">
        <is>
          <t>ПЕРЕКЛЮЧАТЕЛЬ · рабочее место</t>
        </is>
      </c>
      <c r="C64" s="34" t="inlineStr">
        <is>
          <t>Работаю из дома</t>
        </is>
      </c>
      <c r="D64" s="28" t="inlineStr"/>
      <c r="E64" s="30" t="inlineStr"/>
      <c r="F64" s="7" t="inlineStr">
        <is>
          <t>default</t>
        </is>
      </c>
      <c r="G64" s="6" t="inlineStr"/>
      <c r="H64" s="30" t="inlineStr">
        <is>
          <t>Form005 · A111</t>
        </is>
      </c>
    </row>
    <row r="65">
      <c r="A65" s="27" t="inlineStr">
        <is>
          <t>own_home</t>
        </is>
      </c>
      <c r="B65" s="28" t="inlineStr">
        <is>
          <t>ДОМА · живу в своём, ипотеки нет</t>
        </is>
      </c>
      <c r="C65" s="34" t="inlineStr">
        <is>
          <t>нет</t>
        </is>
      </c>
      <c r="D65" s="28" t="inlineStr"/>
      <c r="E65" s="30" t="inlineStr"/>
      <c r="F65" s="7" t="inlineStr">
        <is>
          <t>default</t>
        </is>
      </c>
      <c r="G65" s="6" t="inlineStr"/>
      <c r="H65" s="30" t="inlineStr">
        <is>
          <t>Контекстная галочка: показывает рекомендацию, но не обнуляет стоимость жилья</t>
        </is>
      </c>
    </row>
    <row r="66">
      <c r="A66" s="27" t="inlineStr">
        <is>
          <t>home_rent</t>
        </is>
      </c>
      <c r="B66" s="28" t="inlineStr">
        <is>
          <t>ДОМА · аренда или ипотека</t>
        </is>
      </c>
      <c r="C66" s="37" t="n">
        <v>40000</v>
      </c>
      <c r="D66" s="28" t="inlineStr">
        <is>
          <t>₽/мес</t>
        </is>
      </c>
      <c r="E66" s="30" t="inlineStr"/>
      <c r="F66" s="7" t="inlineStr">
        <is>
          <t>default</t>
        </is>
      </c>
      <c r="G66" s="6" t="inlineStr"/>
      <c r="H66" s="30" t="inlineStr">
        <is>
          <t>По доле метров; поле остаётся активным при own_home = да</t>
        </is>
      </c>
    </row>
    <row r="67">
      <c r="A67" s="27" t="inlineStr">
        <is>
          <t>home_util</t>
        </is>
      </c>
      <c r="B67" s="28" t="inlineStr">
        <is>
          <t>ДОМА · коммунальные и связь</t>
        </is>
      </c>
      <c r="C67" s="37" t="n">
        <v>7000</v>
      </c>
      <c r="D67" s="28" t="inlineStr">
        <is>
          <t>₽/мес</t>
        </is>
      </c>
      <c r="E67" s="30" t="inlineStr"/>
      <c r="F67" s="7" t="inlineStr">
        <is>
          <t>default</t>
        </is>
      </c>
      <c r="G67" s="6" t="inlineStr"/>
      <c r="H67" s="30" t="inlineStr">
        <is>
          <t>По доле метров рабочего места</t>
        </is>
      </c>
    </row>
    <row r="68">
      <c r="A68" s="27" t="inlineStr">
        <is>
          <t>home_area</t>
        </is>
      </c>
      <c r="B68" s="28" t="inlineStr">
        <is>
          <t>ДОМА · общая площадь жилья</t>
        </is>
      </c>
      <c r="C68" s="33" t="n">
        <v>50</v>
      </c>
      <c r="D68" s="28" t="inlineStr">
        <is>
          <t>м²</t>
        </is>
      </c>
      <c r="E68" s="30" t="inlineStr"/>
      <c r="F68" s="7" t="inlineStr">
        <is>
          <t>default</t>
        </is>
      </c>
      <c r="G68" s="6" t="inlineStr"/>
      <c r="H68" s="30" t="inlineStr"/>
    </row>
    <row r="69">
      <c r="A69" s="27" t="inlineStr">
        <is>
          <t>cab_area</t>
        </is>
      </c>
      <c r="B69" s="28" t="inlineStr">
        <is>
          <t>ДОМА · площадь под кабинет</t>
        </is>
      </c>
      <c r="C69" s="33" t="n">
        <v>6</v>
      </c>
      <c r="D69" s="28" t="inlineStr">
        <is>
          <t>м²</t>
        </is>
      </c>
      <c r="E69" s="30" t="inlineStr"/>
      <c r="F69" s="7" t="inlineStr">
        <is>
          <t>default</t>
        </is>
      </c>
      <c r="G69" s="6" t="inlineStr"/>
      <c r="H69" s="30" t="inlineStr"/>
    </row>
    <row r="70">
      <c r="A70" s="27" t="inlineStr">
        <is>
          <t>cab_share</t>
        </is>
      </c>
      <c r="B70" s="28" t="inlineStr">
        <is>
          <t>ДОМА · доля кабинета</t>
        </is>
      </c>
      <c r="C70" s="39">
        <f>IF(home_area=0,0,cab_area/home_area)</f>
        <v>0.12</v>
      </c>
      <c r="D70" s="28" t="inlineStr">
        <is>
          <t>%</t>
        </is>
      </c>
      <c r="E70" s="30" t="inlineStr">
        <is>
          <t>IF(home_area=0,0,cab_area/home_area)</t>
        </is>
      </c>
      <c r="F70" s="7" t="inlineStr">
        <is>
          <t>calc</t>
        </is>
      </c>
      <c r="G70" s="6" t="inlineStr">
        <is>
          <t>cab_area, home_area</t>
        </is>
      </c>
      <c r="H70" s="30" t="inlineStr"/>
    </row>
    <row r="71">
      <c r="A71" s="27" t="inlineStr">
        <is>
          <t>office_rent</t>
        </is>
      </c>
      <c r="B71" s="28" t="inlineStr">
        <is>
          <t>АРЕНДА · стоимость помещения</t>
        </is>
      </c>
      <c r="C71" s="37" t="n">
        <v>15000</v>
      </c>
      <c r="D71" s="28" t="inlineStr">
        <is>
          <t>₽/мес</t>
        </is>
      </c>
      <c r="E71" s="30" t="inlineStr"/>
      <c r="F71" s="7" t="inlineStr">
        <is>
          <t>default</t>
        </is>
      </c>
      <c r="G71" s="6" t="inlineStr"/>
      <c r="H71" s="30" t="inlineStr">
        <is>
          <t>ЦЕЛИКОМ</t>
        </is>
      </c>
    </row>
    <row r="72">
      <c r="A72" s="27" t="inlineStr">
        <is>
          <t>office_util</t>
        </is>
      </c>
      <c r="B72" s="28" t="inlineStr">
        <is>
          <t>АРЕНДА · коммунальные и связь</t>
        </is>
      </c>
      <c r="C72" s="37" t="n">
        <v>7000</v>
      </c>
      <c r="D72" s="28" t="inlineStr">
        <is>
          <t>₽/мес</t>
        </is>
      </c>
      <c r="E72" s="30" t="inlineStr"/>
      <c r="F72" s="7" t="inlineStr">
        <is>
          <t>default</t>
        </is>
      </c>
      <c r="G72" s="6" t="inlineStr"/>
      <c r="H72" s="30" t="inlineStr">
        <is>
          <t>ЦЕЛИКОМ</t>
        </is>
      </c>
    </row>
    <row r="73">
      <c r="A73" s="27" t="inlineStr">
        <is>
          <t>var_workspace</t>
        </is>
      </c>
      <c r="B73" s="28" t="inlineStr">
        <is>
          <t>Содержание рабочего места</t>
        </is>
      </c>
      <c r="C73" s="36">
        <f>IF(ws_mode="Работаю из дома",(home_rent+home_util)*cab_share*months,(office_rent+office_util)*months)</f>
        <v>67680.0</v>
      </c>
      <c r="D73" s="28" t="inlineStr">
        <is>
          <t>₽/год</t>
        </is>
      </c>
      <c r="E73" s="30" t="inlineStr">
        <is>
          <t>IF(ws_mode="Работаю из дома",(home_rent+home_util)*cab_share*months,(office_rent+office_util)*months)</t>
        </is>
      </c>
      <c r="F73" s="7" t="inlineStr">
        <is>
          <t>calc</t>
        </is>
      </c>
      <c r="G73" s="6" t="inlineStr">
        <is>
          <t>ws_mode, home_rent, cab_share, home_util, office_rent, office_util</t>
        </is>
      </c>
      <c r="H73" s="30" t="inlineStr"/>
    </row>
    <row r="74">
      <c r="A74" s="3" t="inlineStr">
        <is>
          <t>6 · ОБУЧЕНИЕ И САЙТ · ПЕРЕКЛЮЧАТЕЛИ</t>
        </is>
      </c>
    </row>
    <row r="75" ht="26" customHeight="1">
      <c r="A75" s="26" t="inlineStr">
        <is>
          <t>ID</t>
        </is>
      </c>
      <c r="B75" s="26" t="inlineStr">
        <is>
          <t>Название</t>
        </is>
      </c>
      <c r="C75" s="26" t="inlineStr">
        <is>
          <t>Значение</t>
        </is>
      </c>
      <c r="D75" s="26" t="inlineStr">
        <is>
          <t>Ед.</t>
        </is>
      </c>
      <c r="E75" s="26" t="inlineStr">
        <is>
          <t>Формула / как получено</t>
        </is>
      </c>
      <c r="F75" s="26" t="inlineStr">
        <is>
          <t>Тип</t>
        </is>
      </c>
      <c r="G75" s="26" t="inlineStr">
        <is>
          <t>Зависит от</t>
        </is>
      </c>
      <c r="H75" s="26" t="inlineStr">
        <is>
          <t>Источник / форма</t>
        </is>
      </c>
    </row>
    <row r="76">
      <c r="A76" s="27" t="inlineStr">
        <is>
          <t>edu_cost</t>
        </is>
      </c>
      <c r="B76" s="28" t="inlineStr">
        <is>
          <t>Обучение · стоимость курса</t>
        </is>
      </c>
      <c r="C76" s="37" t="n">
        <v>80000</v>
      </c>
      <c r="D76" s="28" t="inlineStr">
        <is>
          <t>₽</t>
        </is>
      </c>
      <c r="E76" s="30" t="inlineStr"/>
      <c r="F76" s="7" t="inlineStr">
        <is>
          <t>default</t>
        </is>
      </c>
      <c r="G76" s="6" t="inlineStr"/>
      <c r="H76" s="30" t="inlineStr">
        <is>
          <t>Form006 · Block10</t>
        </is>
      </c>
    </row>
    <row r="77">
      <c r="A77" s="27" t="inlineStr">
        <is>
          <t>edu_months</t>
        </is>
      </c>
      <c r="B77" s="28" t="inlineStr">
        <is>
          <t>Обучение · месяцев без дохода</t>
        </is>
      </c>
      <c r="C77" s="40" t="n">
        <v>4</v>
      </c>
      <c r="D77" s="28" t="inlineStr">
        <is>
          <t>мес</t>
        </is>
      </c>
      <c r="E77" s="30" t="inlineStr"/>
      <c r="F77" s="7" t="inlineStr">
        <is>
          <t>default</t>
        </is>
      </c>
      <c r="G77" s="6" t="inlineStr"/>
      <c r="H77" s="30" t="inlineStr"/>
    </row>
    <row r="78">
      <c r="A78" s="27" t="inlineStr">
        <is>
          <t>edu_life</t>
        </is>
      </c>
      <c r="B78" s="28" t="inlineStr">
        <is>
          <t>Обучение · срок амортизации</t>
        </is>
      </c>
      <c r="C78" s="40" t="n">
        <v>7</v>
      </c>
      <c r="D78" s="28" t="inlineStr">
        <is>
          <t>лет</t>
        </is>
      </c>
      <c r="E78" s="30" t="inlineStr"/>
      <c r="F78" s="7" t="inlineStr">
        <is>
          <t>default</t>
        </is>
      </c>
      <c r="G78" s="6" t="inlineStr"/>
      <c r="H78" s="30" t="inlineStr"/>
    </row>
    <row r="79">
      <c r="A79" s="27" t="n"/>
      <c r="B79" s="28" t="n"/>
      <c r="C79" s="34" t="n"/>
      <c r="D79" s="28" t="n"/>
      <c r="E79" s="30" t="n"/>
      <c r="F79" s="7" t="n"/>
      <c r="G79" s="6" t="n"/>
      <c r="H79" s="30" t="n"/>
    </row>
    <row r="80">
      <c r="A80" s="27" t="inlineStr">
        <is>
          <t>edu_opportunity</t>
        </is>
      </c>
      <c r="B80" s="28" t="inlineStr">
        <is>
          <t>Обучение · упущенная выгода</t>
        </is>
      </c>
      <c r="C80" s="38">
        <f>edu_months*income_month</f>
        <v>440864.0</v>
      </c>
      <c r="D80" s="28" t="inlineStr">
        <is>
          <t>₽</t>
        </is>
      </c>
      <c r="E80" s="30" t="inlineStr">
        <is>
          <t>edu_months*income_month</t>
        </is>
      </c>
      <c r="F80" s="7" t="inlineStr">
        <is>
          <t>calc</t>
        </is>
      </c>
      <c r="G80" s="6" t="inlineStr">
        <is>
          <t>edu_months, income_month</t>
        </is>
      </c>
      <c r="H80" s="30" t="inlineStr"/>
    </row>
    <row r="81">
      <c r="A81" s="27" t="inlineStr">
        <is>
          <t>dep_education</t>
        </is>
      </c>
      <c r="B81" s="28" t="inlineStr">
        <is>
          <t>Амортизация · обучение</t>
        </is>
      </c>
      <c r="C81" s="36">
        <f>IF(edu_life=0,0,(edu_cost+edu_opportunity)/edu_life)</f>
        <v>74409.14285714286</v>
      </c>
      <c r="D81" s="28" t="inlineStr">
        <is>
          <t>₽/год</t>
        </is>
      </c>
      <c r="E81" s="30" t="inlineStr">
        <is>
          <t>IF(edu_life=0,0,(edu_cost+edu_opportunity)/edu_life)</t>
        </is>
      </c>
      <c r="F81" s="7" t="inlineStr">
        <is>
          <t>calc</t>
        </is>
      </c>
      <c r="G81" s="6" t="inlineStr">
        <is>
          <t>edu_cost, edu_opportunity, edu_life</t>
        </is>
      </c>
      <c r="H81" s="30" t="inlineStr"/>
    </row>
    <row r="82">
      <c r="A82" s="27" t="inlineStr">
        <is>
          <t>site_mode</t>
        </is>
      </c>
      <c r="B82" s="28" t="inlineStr">
        <is>
          <t>ПЕРЕКЛЮЧАТЕЛЬ · создание сайта</t>
        </is>
      </c>
      <c r="C82" s="34" t="inlineStr">
        <is>
          <t>Нанимал (а) специалиста</t>
        </is>
      </c>
      <c r="D82" s="28" t="inlineStr"/>
      <c r="E82" s="30" t="inlineStr"/>
      <c r="F82" s="7" t="inlineStr">
        <is>
          <t>default</t>
        </is>
      </c>
      <c r="G82" s="6" t="inlineStr"/>
      <c r="H82" s="30" t="inlineStr">
        <is>
          <t>Form014 · A123 · Block12</t>
        </is>
      </c>
    </row>
    <row r="83">
      <c r="A83" s="27" t="inlineStr">
        <is>
          <t>site_cost</t>
        </is>
      </c>
      <c r="B83" s="28" t="inlineStr">
        <is>
          <t>Сайт · стоимость подрядчика</t>
        </is>
      </c>
      <c r="C83" s="37" t="n">
        <v>70000</v>
      </c>
      <c r="D83" s="28" t="inlineStr">
        <is>
          <t>₽</t>
        </is>
      </c>
      <c r="E83" s="30" t="inlineStr"/>
      <c r="F83" s="7" t="inlineStr">
        <is>
          <t>default</t>
        </is>
      </c>
      <c r="G83" s="6" t="inlineStr"/>
      <c r="H83" s="30" t="inlineStr"/>
    </row>
    <row r="84">
      <c r="A84" s="27" t="inlineStr">
        <is>
          <t>site_hours</t>
        </is>
      </c>
      <c r="B84" s="28" t="inlineStr">
        <is>
          <t>Сайт · часов своими руками</t>
        </is>
      </c>
      <c r="C84" s="33" t="n">
        <v>80</v>
      </c>
      <c r="D84" s="28" t="inlineStr">
        <is>
          <t>ч</t>
        </is>
      </c>
      <c r="E84" s="30" t="inlineStr"/>
      <c r="F84" s="7" t="inlineStr">
        <is>
          <t>default</t>
        </is>
      </c>
      <c r="G84" s="6" t="inlineStr"/>
      <c r="H84" s="30" t="inlineStr">
        <is>
          <t>при варианте «делал сам»</t>
        </is>
      </c>
    </row>
    <row r="85">
      <c r="A85" s="27" t="inlineStr">
        <is>
          <t>site_life</t>
        </is>
      </c>
      <c r="B85" s="28" t="inlineStr">
        <is>
          <t>Сайт · срок амортизации</t>
        </is>
      </c>
      <c r="C85" s="40" t="n">
        <v>7</v>
      </c>
      <c r="D85" s="28" t="inlineStr">
        <is>
          <t>лет</t>
        </is>
      </c>
      <c r="E85" s="30" t="inlineStr"/>
      <c r="F85" s="7" t="inlineStr">
        <is>
          <t>default</t>
        </is>
      </c>
      <c r="G85" s="6" t="inlineStr"/>
      <c r="H85" s="30" t="inlineStr"/>
    </row>
    <row r="86">
      <c r="A86" s="27" t="inlineStr">
        <is>
          <t>dep_website</t>
        </is>
      </c>
      <c r="B86" s="28" t="inlineStr">
        <is>
          <t>Амортизация · сайт</t>
        </is>
      </c>
      <c r="C86" s="36">
        <f>IF(site_mode="Нанимал (а) специалиста",IF(site_life=0,0,site_cost/site_life),0)</f>
        <v>10000.0</v>
      </c>
      <c r="D86" s="28" t="inlineStr">
        <is>
          <t>₽/год</t>
        </is>
      </c>
      <c r="E86" s="30" t="inlineStr">
        <is>
          <t>IF(site_mode="Нанимал (а) специалиста",IF(site_life=0,0,site_cost/site_life),0)</t>
        </is>
      </c>
      <c r="F86" s="7" t="inlineStr">
        <is>
          <t>calc</t>
        </is>
      </c>
      <c r="G86" s="6" t="inlineStr">
        <is>
          <t>site_mode, site_cost, site_life</t>
        </is>
      </c>
      <c r="H86" s="30" t="inlineStr">
        <is>
          <t>при «делал сам» уходит в site_divisor</t>
        </is>
      </c>
    </row>
    <row r="87">
      <c r="A87" s="27" t="inlineStr">
        <is>
          <t>site_divisor</t>
        </is>
      </c>
      <c r="B87" s="28" t="inlineStr">
        <is>
          <t>Сайт · поправка знаменателя</t>
        </is>
      </c>
      <c r="C87" s="41">
        <f>IF(site_mode="Нанимал (а) специалиста",0,IF(site_life*net_time=0,0,site_hours/(site_life*net_time)))</f>
        <v>0.0</v>
      </c>
      <c r="D87" s="28" t="inlineStr"/>
      <c r="E87" s="30" t="inlineStr">
        <is>
          <t>IF(site_mode="Нанимал (а) специалиста",0,IF(site_life*net_time=0,0,site_hours/(site_life*net_time)))</t>
        </is>
      </c>
      <c r="F87" s="7" t="inlineStr">
        <is>
          <t>calc</t>
        </is>
      </c>
      <c r="G87" s="6" t="inlineStr">
        <is>
          <t>site_mode, site_hours, site_life, net_time</t>
        </is>
      </c>
      <c r="H87" s="30" t="inlineStr">
        <is>
          <t>Свой труд по ПОЛНОЙ ставке рабочего часа (выручка / чистое время), а не по съёмочной</t>
        </is>
      </c>
    </row>
    <row r="88">
      <c r="A88" s="3" t="inlineStr">
        <is>
          <t>7 · РАСХОДЫ · итоги из 03_Каталоги по КОДУ ФОРМЫ</t>
        </is>
      </c>
    </row>
    <row r="89" ht="26" customHeight="1">
      <c r="A89" s="26" t="inlineStr">
        <is>
          <t>ID</t>
        </is>
      </c>
      <c r="B89" s="26" t="inlineStr">
        <is>
          <t>Название</t>
        </is>
      </c>
      <c r="C89" s="26" t="inlineStr">
        <is>
          <t>Значение</t>
        </is>
      </c>
      <c r="D89" s="26" t="inlineStr">
        <is>
          <t>Ед.</t>
        </is>
      </c>
      <c r="E89" s="26" t="inlineStr">
        <is>
          <t>Формула / как получено</t>
        </is>
      </c>
      <c r="F89" s="26" t="inlineStr">
        <is>
          <t>Тип</t>
        </is>
      </c>
      <c r="G89" s="26" t="inlineStr">
        <is>
          <t>Зависит от</t>
        </is>
      </c>
      <c r="H89" s="26" t="inlineStr">
        <is>
          <t>Источник / форма</t>
        </is>
      </c>
    </row>
    <row r="90">
      <c r="A90" s="27" t="inlineStr">
        <is>
          <t>dep_shoot</t>
        </is>
      </c>
      <c r="B90" s="28" t="inlineStr">
        <is>
          <t>Амортизация · съёмочное оборудование</t>
        </is>
      </c>
      <c r="C90" s="36">
        <f>SUMIF(cat_form,"Form001",cat_year)</f>
        <v>107759.99047619046</v>
      </c>
      <c r="D90" s="28" t="inlineStr">
        <is>
          <t>₽/год</t>
        </is>
      </c>
      <c r="E90" s="30" t="inlineStr">
        <is>
          <t>SUMIF(cat_form,"Form001",cat_year)</t>
        </is>
      </c>
      <c r="F90" s="7" t="inlineStr">
        <is>
          <t>calc</t>
        </is>
      </c>
      <c r="G90" s="6" t="inlineStr">
        <is>
          <t>Form001</t>
        </is>
      </c>
      <c r="H90" s="30" t="inlineStr">
        <is>
          <t>Block6</t>
        </is>
      </c>
    </row>
    <row r="91">
      <c r="A91" s="27" t="inlineStr">
        <is>
          <t>dep_office</t>
        </is>
      </c>
      <c r="B91" s="28" t="inlineStr">
        <is>
          <t>Амортизация · офисное оборудование</t>
        </is>
      </c>
      <c r="C91" s="36">
        <f>SUMIF(cat_form,"Form002",cat_year)</f>
        <v>65732.93333333333</v>
      </c>
      <c r="D91" s="28" t="inlineStr">
        <is>
          <t>₽/год</t>
        </is>
      </c>
      <c r="E91" s="30" t="inlineStr">
        <is>
          <t>SUMIF(cat_form,"Form002",cat_year)</t>
        </is>
      </c>
      <c r="F91" s="7" t="inlineStr">
        <is>
          <t>calc</t>
        </is>
      </c>
      <c r="G91" s="6" t="inlineStr">
        <is>
          <t>Form002</t>
        </is>
      </c>
      <c r="H91" s="30" t="inlineStr">
        <is>
          <t>Block7</t>
        </is>
      </c>
    </row>
    <row r="92">
      <c r="A92" s="27" t="inlineStr">
        <is>
          <t>dep_software</t>
        </is>
      </c>
      <c r="B92" s="28" t="inlineStr">
        <is>
          <t>Амортизация · ПО разовые покупки</t>
        </is>
      </c>
      <c r="C92" s="36">
        <f>SUMIF(cat_form,"Form004",cat_year)</f>
        <v>11500.0</v>
      </c>
      <c r="D92" s="28" t="inlineStr">
        <is>
          <t>₽/год</t>
        </is>
      </c>
      <c r="E92" s="30" t="inlineStr">
        <is>
          <t>SUMIF(cat_form,"Form004",cat_year)</t>
        </is>
      </c>
      <c r="F92" s="7" t="inlineStr">
        <is>
          <t>calc</t>
        </is>
      </c>
      <c r="G92" s="6" t="inlineStr">
        <is>
          <t>Form004</t>
        </is>
      </c>
      <c r="H92" s="30" t="inlineStr">
        <is>
          <t>Block8</t>
        </is>
      </c>
    </row>
    <row r="93">
      <c r="A93" s="27" t="inlineStr">
        <is>
          <t>dep_workspace</t>
        </is>
      </c>
      <c r="B93" s="28" t="inlineStr">
        <is>
          <t>Амортизация · обустройство места</t>
        </is>
      </c>
      <c r="C93" s="36">
        <f>SUMIF(cat_form,"Form013",cat_year)</f>
        <v>9285.714285714286</v>
      </c>
      <c r="D93" s="28" t="inlineStr">
        <is>
          <t>₽/год</t>
        </is>
      </c>
      <c r="E93" s="30" t="inlineStr">
        <is>
          <t>SUMIF(cat_form,"Form013",cat_year)</t>
        </is>
      </c>
      <c r="F93" s="7" t="inlineStr">
        <is>
          <t>calc</t>
        </is>
      </c>
      <c r="G93" s="6" t="inlineStr">
        <is>
          <t>Form013</t>
        </is>
      </c>
      <c r="H93" s="30" t="inlineStr">
        <is>
          <t>Block9</t>
        </is>
      </c>
    </row>
    <row r="94">
      <c r="A94" s="27" t="inlineStr">
        <is>
          <t>investment</t>
        </is>
      </c>
      <c r="B94" s="28" t="inlineStr">
        <is>
          <t>ИТОГО амортизация</t>
        </is>
      </c>
      <c r="C94" s="36">
        <f>dep_shoot+dep_office+dep_software+dep_workspace+dep_education+dep_website</f>
        <v>278687.78095238097</v>
      </c>
      <c r="D94" s="28" t="inlineStr">
        <is>
          <t>₽/год</t>
        </is>
      </c>
      <c r="E94" s="30" t="inlineStr">
        <is>
          <t>dep_shoot+dep_office+dep_software+dep_workspace+dep_education+dep_website</t>
        </is>
      </c>
      <c r="F94" s="7" t="inlineStr">
        <is>
          <t>calc</t>
        </is>
      </c>
      <c r="G94" s="6" t="inlineStr">
        <is>
          <t>dep_*</t>
        </is>
      </c>
      <c r="H94" s="30" t="inlineStr"/>
    </row>
    <row r="95">
      <c r="A95" s="27" t="inlineStr">
        <is>
          <t>var_software</t>
        </is>
      </c>
      <c r="B95" s="28" t="inlineStr">
        <is>
          <t>Переменные · подписки ПО</t>
        </is>
      </c>
      <c r="C95" s="36">
        <f>SUMIF(cat_form,"Form003",cat_year)</f>
        <v>27000.0</v>
      </c>
      <c r="D95" s="28" t="inlineStr">
        <is>
          <t>₽/год</t>
        </is>
      </c>
      <c r="E95" s="30" t="inlineStr">
        <is>
          <t>SUMIF(cat_form,"Form003",cat_year)</t>
        </is>
      </c>
      <c r="F95" s="7" t="inlineStr">
        <is>
          <t>calc</t>
        </is>
      </c>
      <c r="G95" s="6" t="inlineStr">
        <is>
          <t>Form003</t>
        </is>
      </c>
      <c r="H95" s="30" t="inlineStr">
        <is>
          <t>Block8</t>
        </is>
      </c>
    </row>
    <row r="96">
      <c r="A96" s="27" t="inlineStr">
        <is>
          <t>var_ads</t>
        </is>
      </c>
      <c r="B96" s="28" t="inlineStr">
        <is>
          <t>Переменные · реклама и продвижение</t>
        </is>
      </c>
      <c r="C96" s="36">
        <f>SUMIF(cat_form,"Form010",cat_year)</f>
        <v>187500.0</v>
      </c>
      <c r="D96" s="28" t="inlineStr">
        <is>
          <t>₽/год</t>
        </is>
      </c>
      <c r="E96" s="30" t="inlineStr">
        <is>
          <t>SUMIF(cat_form,"Form010",cat_year)</t>
        </is>
      </c>
      <c r="F96" s="7" t="inlineStr">
        <is>
          <t>calc</t>
        </is>
      </c>
      <c r="G96" s="6" t="inlineStr">
        <is>
          <t>Form010</t>
        </is>
      </c>
      <c r="H96" s="30" t="inlineStr">
        <is>
          <t>Block11</t>
        </is>
      </c>
    </row>
    <row r="97">
      <c r="A97" s="27" t="inlineStr">
        <is>
          <t>var_bank</t>
        </is>
      </c>
      <c r="B97" s="28" t="inlineStr">
        <is>
          <t>Переменные · банк РКО и СМС</t>
        </is>
      </c>
      <c r="C97" s="36">
        <f>SUMIF(cat_form,"Form007",cat_year)</f>
        <v>1800.0</v>
      </c>
      <c r="D97" s="28" t="inlineStr">
        <is>
          <t>₽/год</t>
        </is>
      </c>
      <c r="E97" s="30" t="inlineStr">
        <is>
          <t>SUMIF(cat_form,"Form007",cat_year)</t>
        </is>
      </c>
      <c r="F97" s="7" t="inlineStr">
        <is>
          <t>calc</t>
        </is>
      </c>
      <c r="G97" s="6" t="inlineStr">
        <is>
          <t>Form007</t>
        </is>
      </c>
      <c r="H97" s="30" t="inlineStr">
        <is>
          <t>Block15</t>
        </is>
      </c>
    </row>
    <row r="98">
      <c r="A98" s="27" t="inlineStr">
        <is>
          <t>acc_cost_month</t>
        </is>
      </c>
      <c r="B98" s="28" t="inlineStr">
        <is>
          <t>Специалист по учёту · стоимость в месяц</t>
        </is>
      </c>
      <c r="C98" s="37" t="n">
        <v>10000</v>
      </c>
      <c r="D98" s="28" t="inlineStr">
        <is>
          <t>₽/мес</t>
        </is>
      </c>
      <c r="E98" s="30" t="inlineStr"/>
      <c r="F98" s="7" t="inlineStr">
        <is>
          <t>default</t>
        </is>
      </c>
      <c r="G98" s="6" t="inlineStr"/>
      <c r="H98" s="30" t="inlineStr">
        <is>
          <t>Form011</t>
        </is>
      </c>
    </row>
    <row r="99">
      <c r="A99" s="27" t="inlineStr">
        <is>
          <t>var_accounting</t>
        </is>
      </c>
      <c r="B99" s="28" t="inlineStr">
        <is>
          <t>Переменные · специалист по учёту</t>
        </is>
      </c>
      <c r="C99" s="36">
        <f>IF(acc_mode="Нанимаю специалиста",acc_cost_month*months,0)</f>
        <v>0.0</v>
      </c>
      <c r="D99" s="28" t="inlineStr">
        <is>
          <t>₽/год</t>
        </is>
      </c>
      <c r="E99" s="30" t="inlineStr">
        <is>
          <t>IF(acc_mode="Нанимаю специалиста",acc_cost_month*months,0)</t>
        </is>
      </c>
      <c r="F99" s="7" t="inlineStr">
        <is>
          <t>calc</t>
        </is>
      </c>
      <c r="G99" s="6" t="inlineStr">
        <is>
          <t>acc_mode, acc_cost_month, months</t>
        </is>
      </c>
      <c r="H99" s="30" t="inlineStr">
        <is>
          <t>Если веду сам — 0, но растёт время</t>
        </is>
      </c>
    </row>
    <row r="100">
      <c r="A100" s="27" t="inlineStr">
        <is>
          <t>variable_costs</t>
        </is>
      </c>
      <c r="B100" s="28" t="inlineStr">
        <is>
          <t>ИТОГО переменные</t>
        </is>
      </c>
      <c r="C100" s="36">
        <f>var_software+var_ads+var_bank+var_accounting+var_workspace</f>
        <v>283980.0</v>
      </c>
      <c r="D100" s="28" t="inlineStr">
        <is>
          <t>₽/год</t>
        </is>
      </c>
      <c r="E100" s="30" t="inlineStr">
        <is>
          <t>var_software+var_ads+var_bank+var_accounting+var_workspace</t>
        </is>
      </c>
      <c r="F100" s="7" t="inlineStr">
        <is>
          <t>calc</t>
        </is>
      </c>
      <c r="G100" s="6" t="inlineStr">
        <is>
          <t>var_*</t>
        </is>
      </c>
      <c r="H100" s="30" t="inlineStr"/>
    </row>
    <row r="101">
      <c r="A101" s="27" t="inlineStr">
        <is>
          <t>total_costs</t>
        </is>
      </c>
      <c r="B101" s="28" t="inlineStr">
        <is>
          <t>ВСЕГО РАСХОДОВ (C)</t>
        </is>
      </c>
      <c r="C101" s="36">
        <f>investment+variable_costs</f>
        <v>562667.780952381</v>
      </c>
      <c r="D101" s="28" t="inlineStr">
        <is>
          <t>₽/год</t>
        </is>
      </c>
      <c r="E101" s="30" t="inlineStr">
        <is>
          <t>investment+variable_costs</t>
        </is>
      </c>
      <c r="F101" s="7" t="inlineStr">
        <is>
          <t>calc</t>
        </is>
      </c>
      <c r="G101" s="6" t="inlineStr">
        <is>
          <t>investment, variable_costs</t>
        </is>
      </c>
      <c r="H101" s="30" t="inlineStr">
        <is>
          <t>Без эквайринга</t>
        </is>
      </c>
    </row>
    <row r="102">
      <c r="A102" s="27" t="inlineStr">
        <is>
          <t>revenue_base</t>
        </is>
      </c>
      <c r="B102" s="28" t="inlineStr">
        <is>
          <t>База для выручки</t>
        </is>
      </c>
      <c r="C102" s="38">
        <f>target_income+total_costs</f>
        <v>1885259.780952381</v>
      </c>
      <c r="D102" s="28" t="inlineStr">
        <is>
          <t>₽/год</t>
        </is>
      </c>
      <c r="E102" s="30" t="inlineStr">
        <is>
          <t>target_income+total_costs</t>
        </is>
      </c>
      <c r="F102" s="7" t="inlineStr">
        <is>
          <t>calc</t>
        </is>
      </c>
      <c r="G102" s="6" t="inlineStr">
        <is>
          <t>target_income, total_costs</t>
        </is>
      </c>
      <c r="H102" s="30" t="inlineStr">
        <is>
          <t>N + C</t>
        </is>
      </c>
    </row>
    <row r="103">
      <c r="A103" s="3" t="inlineStr">
        <is>
          <t>8 · НАЛОГИ И ВЗНОСЫ 2026</t>
        </is>
      </c>
    </row>
    <row r="104" ht="26" customHeight="1">
      <c r="A104" s="26" t="inlineStr">
        <is>
          <t>ID</t>
        </is>
      </c>
      <c r="B104" s="26" t="inlineStr">
        <is>
          <t>Название</t>
        </is>
      </c>
      <c r="C104" s="26" t="inlineStr">
        <is>
          <t>Значение</t>
        </is>
      </c>
      <c r="D104" s="26" t="inlineStr">
        <is>
          <t>Ед.</t>
        </is>
      </c>
      <c r="E104" s="26" t="inlineStr">
        <is>
          <t>Формула / как получено</t>
        </is>
      </c>
      <c r="F104" s="26" t="inlineStr">
        <is>
          <t>Тип</t>
        </is>
      </c>
      <c r="G104" s="26" t="inlineStr">
        <is>
          <t>Зависит от</t>
        </is>
      </c>
      <c r="H104" s="26" t="inlineStr">
        <is>
          <t>Источник / форма</t>
        </is>
      </c>
    </row>
    <row r="105">
      <c r="A105" s="27" t="inlineStr">
        <is>
          <t>regime</t>
        </is>
      </c>
      <c r="B105" s="28" t="inlineStr">
        <is>
          <t>ПЕРЕКЛЮЧАТЕЛЬ · режим налогообложения</t>
        </is>
      </c>
      <c r="C105" s="34" t="inlineStr">
        <is>
          <t>Самозанятый (НПД), средняя ставка</t>
        </is>
      </c>
      <c r="D105" s="28" t="inlineStr"/>
      <c r="E105" s="30" t="inlineStr"/>
      <c r="F105" s="7" t="inlineStr">
        <is>
          <t>default</t>
        </is>
      </c>
      <c r="G105" s="6" t="inlineStr"/>
      <c r="H105" s="30" t="inlineStr">
        <is>
          <t>Form015 · A137 · Block4</t>
        </is>
      </c>
    </row>
    <row r="106">
      <c r="A106" s="27" t="inlineStr">
        <is>
          <t>rate_npd_avg</t>
        </is>
      </c>
      <c r="B106" s="28" t="inlineStr">
        <is>
          <t>НПД · средняя ставка</t>
        </is>
      </c>
      <c r="C106" s="35" t="n">
        <v>0.05</v>
      </c>
      <c r="D106" s="28" t="inlineStr">
        <is>
          <t>%</t>
        </is>
      </c>
      <c r="E106" s="30" t="inlineStr"/>
      <c r="F106" s="7" t="inlineStr">
        <is>
          <t>default</t>
        </is>
      </c>
      <c r="G106" s="6" t="inlineStr"/>
      <c r="H106" s="30" t="inlineStr">
        <is>
          <t>и физлица, и юрлица</t>
        </is>
      </c>
    </row>
    <row r="107">
      <c r="A107" s="27" t="inlineStr">
        <is>
          <t>rate_npd_fiz</t>
        </is>
      </c>
      <c r="B107" s="28" t="inlineStr">
        <is>
          <t>НПД · физлица</t>
        </is>
      </c>
      <c r="C107" s="42" t="n">
        <v>0.04</v>
      </c>
      <c r="D107" s="28" t="inlineStr">
        <is>
          <t>%</t>
        </is>
      </c>
      <c r="E107" s="30" t="inlineStr"/>
      <c r="F107" s="7" t="inlineStr">
        <is>
          <t>const</t>
        </is>
      </c>
      <c r="G107" s="6" t="inlineStr"/>
      <c r="H107" s="30" t="inlineStr">
        <is>
          <t>ФЗ-422</t>
        </is>
      </c>
    </row>
    <row r="108">
      <c r="A108" s="27" t="inlineStr">
        <is>
          <t>rate_npd_ur</t>
        </is>
      </c>
      <c r="B108" s="28" t="inlineStr">
        <is>
          <t>НПД · юрлица</t>
        </is>
      </c>
      <c r="C108" s="42" t="n">
        <v>0.06</v>
      </c>
      <c r="D108" s="28" t="inlineStr">
        <is>
          <t>%</t>
        </is>
      </c>
      <c r="E108" s="30" t="inlineStr"/>
      <c r="F108" s="7" t="inlineStr">
        <is>
          <t>const</t>
        </is>
      </c>
      <c r="G108" s="6" t="inlineStr"/>
      <c r="H108" s="30" t="inlineStr">
        <is>
          <t>ФЗ-422</t>
        </is>
      </c>
    </row>
    <row r="109">
      <c r="A109" s="27" t="inlineStr">
        <is>
          <t>rate_usn_inc</t>
        </is>
      </c>
      <c r="B109" s="28" t="inlineStr">
        <is>
          <t>УСН доходы</t>
        </is>
      </c>
      <c r="C109" s="35" t="n">
        <v>0.06</v>
      </c>
      <c r="D109" s="28" t="inlineStr">
        <is>
          <t>%</t>
        </is>
      </c>
      <c r="E109" s="30" t="inlineStr"/>
      <c r="F109" s="7" t="inlineStr">
        <is>
          <t>default</t>
        </is>
      </c>
      <c r="G109" s="6" t="inlineStr"/>
      <c r="H109" s="30" t="inlineStr">
        <is>
          <t>регион до 1%</t>
        </is>
      </c>
    </row>
    <row r="110">
      <c r="A110" s="27" t="inlineStr">
        <is>
          <t>rate_usn_prof</t>
        </is>
      </c>
      <c r="B110" s="28" t="inlineStr">
        <is>
          <t>УСН доходы минус расходы</t>
        </is>
      </c>
      <c r="C110" s="35" t="n">
        <v>0.15</v>
      </c>
      <c r="D110" s="28" t="inlineStr">
        <is>
          <t>%</t>
        </is>
      </c>
      <c r="E110" s="30" t="inlineStr"/>
      <c r="F110" s="7" t="inlineStr">
        <is>
          <t>default</t>
        </is>
      </c>
      <c r="G110" s="6" t="inlineStr"/>
      <c r="H110" s="30" t="inlineStr">
        <is>
          <t>регион до 5%</t>
        </is>
      </c>
    </row>
    <row r="111">
      <c r="A111" s="27" t="inlineStr">
        <is>
          <t>rate_ausn_inc</t>
        </is>
      </c>
      <c r="B111" s="28" t="inlineStr">
        <is>
          <t>АУСН доходы</t>
        </is>
      </c>
      <c r="C111" s="42" t="n">
        <v>0.08</v>
      </c>
      <c r="D111" s="28" t="inlineStr">
        <is>
          <t>%</t>
        </is>
      </c>
      <c r="E111" s="30" t="inlineStr"/>
      <c r="F111" s="7" t="inlineStr">
        <is>
          <t>const</t>
        </is>
      </c>
      <c r="G111" s="6" t="inlineStr"/>
      <c r="H111" s="30" t="inlineStr">
        <is>
          <t>ФЗ-17</t>
        </is>
      </c>
    </row>
    <row r="112">
      <c r="A112" s="27" t="inlineStr">
        <is>
          <t>rate_ausn_prof</t>
        </is>
      </c>
      <c r="B112" s="28" t="inlineStr">
        <is>
          <t>АУСН доходы минус расходы</t>
        </is>
      </c>
      <c r="C112" s="42" t="n">
        <v>0.2</v>
      </c>
      <c r="D112" s="28" t="inlineStr">
        <is>
          <t>%</t>
        </is>
      </c>
      <c r="E112" s="30" t="inlineStr"/>
      <c r="F112" s="7" t="inlineStr">
        <is>
          <t>const</t>
        </is>
      </c>
      <c r="G112" s="6" t="inlineStr"/>
      <c r="H112" s="30" t="inlineStr">
        <is>
          <t>ФЗ-17</t>
        </is>
      </c>
    </row>
    <row r="113">
      <c r="A113" s="27" t="inlineStr">
        <is>
          <t>regime_no</t>
        </is>
      </c>
      <c r="B113" s="28" t="inlineStr">
        <is>
          <t>Номер режима (1–7)</t>
        </is>
      </c>
      <c r="C113"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3" s="28" t="inlineStr">
        <is>
          <t>№</t>
        </is>
      </c>
      <c r="E113"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3" s="7" t="inlineStr">
        <is>
          <t>calc</t>
        </is>
      </c>
      <c r="G113" s="6" t="inlineStr">
        <is>
          <t>regime</t>
        </is>
      </c>
      <c r="H113" s="30" t="inlineStr"/>
    </row>
    <row r="114">
      <c r="A114" s="27" t="inlineStr">
        <is>
          <t>rate_current</t>
        </is>
      </c>
      <c r="B114" s="28" t="inlineStr">
        <is>
          <t>Ставка выбранного режима</t>
        </is>
      </c>
      <c r="C114" s="39">
        <f>CHOOSE(regime_no,rate_npd_avg,rate_npd_fiz,rate_npd_ur,rate_usn_inc,rate_usn_prof,rate_ausn_inc,rate_ausn_prof)</f>
        <v>0.05</v>
      </c>
      <c r="D114" s="28" t="inlineStr">
        <is>
          <t>%</t>
        </is>
      </c>
      <c r="E114" s="30" t="inlineStr">
        <is>
          <t>CHOOSE(regime_no,rate_npd_avg,rate_npd_fiz,rate_npd_ur,rate_usn_inc,rate_usn_prof,rate_ausn_inc,rate_ausn_prof)</t>
        </is>
      </c>
      <c r="F114" s="7" t="inlineStr">
        <is>
          <t>calc</t>
        </is>
      </c>
      <c r="G114" s="6" t="inlineStr">
        <is>
          <t>regime_no</t>
        </is>
      </c>
      <c r="H114" s="30" t="inlineStr"/>
    </row>
    <row r="115">
      <c r="A115" s="27" t="inlineStr">
        <is>
          <t>fixed_contrib</t>
        </is>
      </c>
      <c r="B115" s="28" t="inlineStr">
        <is>
          <t>Фиксированные взносы ИП</t>
        </is>
      </c>
      <c r="C115" s="43" t="n">
        <v>57390</v>
      </c>
      <c r="D115" s="28" t="inlineStr">
        <is>
          <t>₽/год</t>
        </is>
      </c>
      <c r="E115" s="30" t="inlineStr"/>
      <c r="F115" s="7" t="inlineStr">
        <is>
          <t>const</t>
        </is>
      </c>
      <c r="G115" s="6" t="inlineStr"/>
      <c r="H115" s="30" t="inlineStr">
        <is>
          <t>п. 1.2 ст. 430 НК</t>
        </is>
      </c>
    </row>
    <row r="116">
      <c r="A116" s="27" t="inlineStr">
        <is>
          <t>extra_contrib</t>
        </is>
      </c>
      <c r="B116" s="28" t="inlineStr">
        <is>
          <t>Дополнительный взнос</t>
        </is>
      </c>
      <c r="C116" s="42" t="n">
        <v>0.01</v>
      </c>
      <c r="D116" s="28" t="inlineStr">
        <is>
          <t>%</t>
        </is>
      </c>
      <c r="E116" s="30" t="inlineStr"/>
      <c r="F116" s="7" t="inlineStr">
        <is>
          <t>const</t>
        </is>
      </c>
      <c r="G116" s="6" t="inlineStr"/>
      <c r="H116" s="30" t="inlineStr">
        <is>
          <t>п. 1.2 ст. 430 НК</t>
        </is>
      </c>
    </row>
    <row r="117">
      <c r="A117" s="27" t="inlineStr">
        <is>
          <t>contrib_threshold</t>
        </is>
      </c>
      <c r="B117" s="28" t="inlineStr">
        <is>
          <t>Предельная величина дохода</t>
        </is>
      </c>
      <c r="C117" s="43" t="n">
        <v>300000</v>
      </c>
      <c r="D117" s="28" t="inlineStr">
        <is>
          <t>₽/год</t>
        </is>
      </c>
      <c r="E117" s="30" t="inlineStr"/>
      <c r="F117" s="7" t="inlineStr">
        <is>
          <t>const</t>
        </is>
      </c>
      <c r="G117" s="6" t="inlineStr"/>
      <c r="H117" s="30" t="inlineStr">
        <is>
          <t>ЗА ГОД</t>
        </is>
      </c>
    </row>
    <row r="118">
      <c r="A118" s="27" t="inlineStr">
        <is>
          <t>contrib_cap</t>
        </is>
      </c>
      <c r="B118" s="28" t="inlineStr">
        <is>
          <t>Максимум допвзноса</t>
        </is>
      </c>
      <c r="C118" s="43" t="n">
        <v>321818</v>
      </c>
      <c r="D118" s="28" t="inlineStr">
        <is>
          <t>₽/год</t>
        </is>
      </c>
      <c r="E118" s="30" t="inlineStr"/>
      <c r="F118" s="7" t="inlineStr">
        <is>
          <t>const</t>
        </is>
      </c>
      <c r="G118" s="6" t="inlineStr"/>
      <c r="H118" s="30" t="inlineStr">
        <is>
          <t>п. 1.2 ст. 430 НК</t>
        </is>
      </c>
    </row>
    <row r="119">
      <c r="A119" s="27" t="inlineStr">
        <is>
          <t>threshold_credit</t>
        </is>
      </c>
      <c r="B119" s="28" t="inlineStr">
        <is>
          <t>Поправка на порог</t>
        </is>
      </c>
      <c r="C119" s="38">
        <f>contrib_threshold*extra_contrib</f>
        <v>3000.0</v>
      </c>
      <c r="D119" s="28" t="inlineStr">
        <is>
          <t>₽</t>
        </is>
      </c>
      <c r="E119" s="30" t="inlineStr">
        <is>
          <t>contrib_threshold*extra_contrib</t>
        </is>
      </c>
      <c r="F119" s="7" t="inlineStr">
        <is>
          <t>calc</t>
        </is>
      </c>
      <c r="G119" s="6" t="inlineStr">
        <is>
          <t>contrib_threshold, extra_contrib</t>
        </is>
      </c>
      <c r="H119" s="30" t="inlineStr">
        <is>
          <t>300 000 × 1% = 3 000</t>
        </is>
      </c>
    </row>
    <row r="120">
      <c r="A120" s="27" t="inlineStr">
        <is>
          <t>min_tax_usn</t>
        </is>
      </c>
      <c r="B120" s="28" t="inlineStr">
        <is>
          <t>Минимальный налог УСН Д−Р</t>
        </is>
      </c>
      <c r="C120" s="42" t="n">
        <v>0.01</v>
      </c>
      <c r="D120" s="28" t="inlineStr">
        <is>
          <t>%</t>
        </is>
      </c>
      <c r="E120" s="30" t="inlineStr"/>
      <c r="F120" s="7" t="inlineStr">
        <is>
          <t>const</t>
        </is>
      </c>
      <c r="G120" s="6" t="inlineStr"/>
      <c r="H120" s="30" t="inlineStr">
        <is>
          <t>ст. 346.18 НК</t>
        </is>
      </c>
    </row>
    <row r="121">
      <c r="A121" s="27" t="inlineStr">
        <is>
          <t>min_tax_ausn</t>
        </is>
      </c>
      <c r="B121" s="28" t="inlineStr">
        <is>
          <t>Минимальный налог АУСН Д−Р</t>
        </is>
      </c>
      <c r="C121" s="42" t="n">
        <v>0.03</v>
      </c>
      <c r="D121" s="28" t="inlineStr">
        <is>
          <t>%</t>
        </is>
      </c>
      <c r="E121" s="30" t="inlineStr"/>
      <c r="F121" s="7" t="inlineStr">
        <is>
          <t>const</t>
        </is>
      </c>
      <c r="G121" s="6" t="inlineStr"/>
      <c r="H121" s="30" t="inlineStr">
        <is>
          <t>ФЗ-17</t>
        </is>
      </c>
    </row>
    <row r="122">
      <c r="A122" s="27" t="inlineStr">
        <is>
          <t>injury_contrib</t>
        </is>
      </c>
      <c r="B122" s="28" t="inlineStr">
        <is>
          <t>Взнос на травматизм (АУСН)</t>
        </is>
      </c>
      <c r="C122" s="37" t="n">
        <v>0</v>
      </c>
      <c r="D122" s="28" t="inlineStr">
        <is>
          <t>₽/год</t>
        </is>
      </c>
      <c r="E122" s="30" t="inlineStr"/>
      <c r="F122" s="7" t="inlineStr">
        <is>
          <t>default</t>
        </is>
      </c>
      <c r="G122" s="6" t="inlineStr"/>
      <c r="H122" s="30" t="inlineStr">
        <is>
          <t>соло — 0</t>
        </is>
      </c>
    </row>
    <row r="123">
      <c r="A123" s="27" t="inlineStr">
        <is>
          <t>acq_rate</t>
        </is>
      </c>
      <c r="B123" s="28" t="inlineStr">
        <is>
          <t>Эквайринг · ставка</t>
        </is>
      </c>
      <c r="C123" s="35" t="n">
        <v>0.027</v>
      </c>
      <c r="D123" s="28" t="inlineStr">
        <is>
          <t>%</t>
        </is>
      </c>
      <c r="E123" s="30" t="inlineStr"/>
      <c r="F123" s="7" t="inlineStr">
        <is>
          <t>default</t>
        </is>
      </c>
      <c r="G123" s="6" t="inlineStr"/>
      <c r="H123" s="30" t="inlineStr">
        <is>
          <t>Базовая 2,7%; добавленные банковские проценты учитываются отдельно</t>
        </is>
      </c>
    </row>
    <row r="124">
      <c r="A124" s="27" t="inlineStr">
        <is>
          <t>acq_share</t>
        </is>
      </c>
      <c r="B124" s="28" t="inlineStr">
        <is>
          <t>Эквайринг · доля безналичных оплат</t>
        </is>
      </c>
      <c r="C124" s="35" t="n">
        <v>1</v>
      </c>
      <c r="D124" s="28" t="inlineStr">
        <is>
          <t>%</t>
        </is>
      </c>
      <c r="E124" s="30" t="inlineStr"/>
      <c r="F124" s="7" t="inlineStr">
        <is>
          <t>default</t>
        </is>
      </c>
      <c r="G124" s="6" t="inlineStr"/>
      <c r="H124" s="30" t="inlineStr"/>
    </row>
    <row r="125">
      <c r="A125" s="27" t="inlineStr">
        <is>
          <t>acquiring</t>
        </is>
      </c>
      <c r="B125" s="28" t="inlineStr">
        <is>
          <t>Эквайринг · эффективно</t>
        </is>
      </c>
      <c r="C125" s="39">
        <f>acq_rate*acq_share</f>
        <v>0.027</v>
      </c>
      <c r="D125" s="28" t="inlineStr">
        <is>
          <t>%</t>
        </is>
      </c>
      <c r="E125" s="30" t="inlineStr">
        <is>
          <t>acq_rate*acq_share</t>
        </is>
      </c>
      <c r="F125" s="7" t="inlineStr">
        <is>
          <t>calc</t>
        </is>
      </c>
      <c r="G125" s="6" t="inlineStr">
        <is>
          <t>acq_rate, acq_share</t>
        </is>
      </c>
      <c r="H125" s="30" t="inlineStr">
        <is>
          <t>В ЗНАМЕНАТЕЛЬ, не в расходы</t>
        </is>
      </c>
    </row>
    <row r="126">
      <c r="A126" s="27" t="inlineStr">
        <is>
          <t>vat_threshold</t>
        </is>
      </c>
      <c r="B126" s="28" t="inlineStr">
        <is>
          <t>Порог освобождения от НДС</t>
        </is>
      </c>
      <c r="C126" s="43" t="n">
        <v>20000000</v>
      </c>
      <c r="D126" s="28" t="inlineStr">
        <is>
          <t>₽/год</t>
        </is>
      </c>
      <c r="E126" s="30" t="inlineStr"/>
      <c r="F126" s="7" t="inlineStr">
        <is>
          <t>const</t>
        </is>
      </c>
      <c r="G126" s="6" t="inlineStr"/>
      <c r="H126" s="30" t="inlineStr">
        <is>
          <t>ФЗ-228</t>
        </is>
      </c>
    </row>
    <row r="127">
      <c r="A127" s="27" t="inlineStr">
        <is>
          <t>limit_npd</t>
        </is>
      </c>
      <c r="B127" s="28" t="inlineStr">
        <is>
          <t>Лимит НПД</t>
        </is>
      </c>
      <c r="C127" s="43" t="n">
        <v>2400000</v>
      </c>
      <c r="D127" s="28" t="inlineStr">
        <is>
          <t>₽/год</t>
        </is>
      </c>
      <c r="E127" s="30" t="inlineStr"/>
      <c r="F127" s="7" t="inlineStr">
        <is>
          <t>const</t>
        </is>
      </c>
      <c r="G127" s="6" t="inlineStr"/>
      <c r="H127" s="30" t="inlineStr">
        <is>
          <t>ФЗ-422</t>
        </is>
      </c>
    </row>
    <row r="128">
      <c r="A128" s="27" t="inlineStr">
        <is>
          <t>limit_ausn</t>
        </is>
      </c>
      <c r="B128" s="28" t="inlineStr">
        <is>
          <t>Лимит АУСН</t>
        </is>
      </c>
      <c r="C128" s="43" t="n">
        <v>60000000</v>
      </c>
      <c r="D128" s="28" t="inlineStr">
        <is>
          <t>₽/год</t>
        </is>
      </c>
      <c r="E128" s="30" t="inlineStr"/>
      <c r="F128" s="7" t="inlineStr">
        <is>
          <t>const</t>
        </is>
      </c>
      <c r="G128" s="6" t="inlineStr"/>
      <c r="H128" s="30" t="inlineStr">
        <is>
          <t>ФЗ-17</t>
        </is>
      </c>
    </row>
    <row r="129">
      <c r="A129" s="3" t="inlineStr">
        <is>
          <t>9 · СПРАВОЧНЫЕ СТАВКИ</t>
        </is>
      </c>
    </row>
    <row r="130" ht="26" customHeight="1">
      <c r="A130" s="26" t="inlineStr">
        <is>
          <t>ID</t>
        </is>
      </c>
      <c r="B130" s="26" t="inlineStr">
        <is>
          <t>Название</t>
        </is>
      </c>
      <c r="C130" s="26" t="inlineStr">
        <is>
          <t>Значение</t>
        </is>
      </c>
      <c r="D130" s="26" t="inlineStr">
        <is>
          <t>Ед.</t>
        </is>
      </c>
      <c r="E130" s="26" t="inlineStr">
        <is>
          <t>Формула / как получено</t>
        </is>
      </c>
      <c r="F130" s="26" t="inlineStr">
        <is>
          <t>Тип</t>
        </is>
      </c>
      <c r="G130" s="26" t="inlineStr">
        <is>
          <t>Зависит от</t>
        </is>
      </c>
      <c r="H130" s="26" t="inlineStr">
        <is>
          <t>Источник / форма</t>
        </is>
      </c>
    </row>
    <row r="131">
      <c r="A131" s="27" t="inlineStr">
        <is>
          <t>naive_rate</t>
        </is>
      </c>
      <c r="B131" s="28" t="inlineStr">
        <is>
          <t>Наивная ставка</t>
        </is>
      </c>
      <c r="C131" s="38">
        <f>IF(shooting_time=0,0,target_income/shooting_time)</f>
        <v>6106.149584487534</v>
      </c>
      <c r="D131" s="28" t="inlineStr">
        <is>
          <t>₽/ч</t>
        </is>
      </c>
      <c r="E131" s="30" t="inlineStr">
        <is>
          <t>IF(shooting_time=0,0,target_income/shooting_time)</t>
        </is>
      </c>
      <c r="F131" s="7" t="inlineStr">
        <is>
          <t>calc</t>
        </is>
      </c>
      <c r="G131" s="6" t="inlineStr">
        <is>
          <t>target_income, shooting_time</t>
        </is>
      </c>
      <c r="H131" s="30" t="inlineStr">
        <is>
          <t>Без расходов и налогов — типичная ошибка</t>
        </is>
      </c>
    </row>
    <row r="132">
      <c r="A132" s="27" t="inlineStr">
        <is>
          <t>base_rate</t>
        </is>
      </c>
      <c r="B132" s="28" t="inlineStr">
        <is>
          <t>Базовая ставка часа</t>
        </is>
      </c>
      <c r="C132" s="36">
        <f>target_income/net_time</f>
        <v>862.747553816047</v>
      </c>
      <c r="D132" s="28" t="inlineStr">
        <is>
          <t>₽/ч</t>
        </is>
      </c>
      <c r="E132" s="30" t="inlineStr">
        <is>
          <t>target_income/net_time</t>
        </is>
      </c>
      <c r="F132" s="7" t="inlineStr">
        <is>
          <t>calc</t>
        </is>
      </c>
      <c r="G132" s="6" t="inlineStr">
        <is>
          <t>target_income, net_time</t>
        </is>
      </c>
      <c r="H132" s="30" t="inlineStr">
        <is>
          <t>Доход / чистое время</t>
        </is>
      </c>
    </row>
    <row r="133">
      <c r="A133" s="27" t="inlineStr">
        <is>
          <t>ops_rate</t>
        </is>
      </c>
      <c r="B133" s="28" t="inlineStr">
        <is>
          <t>Операционная ставка часа</t>
        </is>
      </c>
      <c r="C133" s="38">
        <f>IF(shooting_time=0,0,revenue_base/shooting_time)</f>
        <v>8703.87710504331</v>
      </c>
      <c r="D133" s="28" t="inlineStr">
        <is>
          <t>₽/ч</t>
        </is>
      </c>
      <c r="E133" s="30" t="inlineStr">
        <is>
          <t>IF(shooting_time=0,0,revenue_base/shooting_time)</t>
        </is>
      </c>
      <c r="F133" s="7" t="inlineStr">
        <is>
          <t>calc</t>
        </is>
      </c>
      <c r="G133" s="6" t="inlineStr">
        <is>
          <t>revenue_base, shooting_time</t>
        </is>
      </c>
      <c r="H133" s="30" t="inlineStr">
        <is>
          <t>Без налога и эквайринга</t>
        </is>
      </c>
    </row>
    <row r="134">
      <c r="A134" s="27" t="inlineStr">
        <is>
          <t>full_hour_rate</t>
        </is>
      </c>
      <c r="B134" s="28" t="inlineStr">
        <is>
          <t>ПОЛНАЯ ставка рабочего часа</t>
        </is>
      </c>
      <c r="C134" s="36">
        <f>IF(net_time=0,0,CHOOSE(regime_no,'05_Расчёт'!B4,'05_Расчёт'!C4,'05_Расчёт'!D4,'05_Расчёт'!E4,'05_Расчёт'!F4,'05_Расчёт'!G4,'05_Расчёт'!H4)/net_time)</f>
        <v>1332.3776738070721</v>
      </c>
      <c r="D134" s="28" t="inlineStr">
        <is>
          <t>₽/ч</t>
        </is>
      </c>
      <c r="E134" s="30" t="inlineStr">
        <is>
          <t>IF(net_time=0,0,CHOOSE(regime_no,'05_Расчёт'!B4,'05_Расчёт'!C4,'05_Расчёт'!D4,'05_Расчёт'!E4,'05_Расчёт'!F4,'05_Расчёт'!G4,'05_Расчёт'!H4)/net_time)</t>
        </is>
      </c>
      <c r="F134" s="7" t="inlineStr">
        <is>
          <t>calc</t>
        </is>
      </c>
      <c r="G134" s="6" t="inlineStr">
        <is>
          <t>выручка, net_time</t>
        </is>
      </c>
      <c r="H134" s="30" t="inlineStr">
        <is>
          <t>Выручка / чистое время. Реальная цена ЛЮБОГО рабочего часа, с налогами и расходами</t>
        </is>
      </c>
    </row>
    <row r="135">
      <c r="A135" s="27" t="inlineStr">
        <is>
          <t>site_value</t>
        </is>
      </c>
      <c r="B135" s="28" t="inlineStr">
        <is>
          <t>Сайт · оценка своего труда</t>
        </is>
      </c>
      <c r="C135" s="38">
        <f>IF(site_mode="Нанимал (а) специалиста",site_cost,site_hours*full_hour_rate)</f>
        <v>70000.0</v>
      </c>
      <c r="D135" s="28" t="inlineStr">
        <is>
          <t>₽</t>
        </is>
      </c>
      <c r="E135" s="30" t="inlineStr">
        <is>
          <t>IF(site_mode="Нанимал (а) специалиста",site_cost,site_hours*full_hour_rate)</t>
        </is>
      </c>
      <c r="F135" s="7" t="inlineStr">
        <is>
          <t>calc</t>
        </is>
      </c>
      <c r="G135" s="6" t="inlineStr">
        <is>
          <t>site_mode, site_cost, site_hours, full_hour_rate</t>
        </is>
      </c>
      <c r="H135" s="30" t="inlineStr">
        <is>
          <t>Цена подрядчика или ваши часы по полной ставке</t>
        </is>
      </c>
    </row>
    <row r="136">
      <c r="A136" s="3" t="inlineStr">
        <is>
          <t>10 · ДОБАВЛЕНО ПОД HTML-ОТЧЁТ</t>
        </is>
      </c>
    </row>
    <row r="137">
      <c r="A137" s="26" t="inlineStr">
        <is>
          <t>ID</t>
        </is>
      </c>
      <c r="B137" s="26" t="inlineStr">
        <is>
          <t>Название</t>
        </is>
      </c>
      <c r="C137" s="26" t="inlineStr">
        <is>
          <t>Значение</t>
        </is>
      </c>
      <c r="D137" s="26" t="inlineStr">
        <is>
          <t>Ед.</t>
        </is>
      </c>
      <c r="E137" s="26" t="inlineStr">
        <is>
          <t>Формула / как получено</t>
        </is>
      </c>
      <c r="F137" s="26" t="inlineStr">
        <is>
          <t>Тип</t>
        </is>
      </c>
      <c r="G137" s="26" t="inlineStr">
        <is>
          <t>Зависит от</t>
        </is>
      </c>
    </row>
    <row r="138">
      <c r="A138" s="27" t="inlineStr">
        <is>
          <t>idle_time</t>
        </is>
      </c>
      <c r="B138" s="28" t="inlineStr">
        <is>
          <t>РАБОЧИЕ ПАУЗЫ за год</t>
        </is>
      </c>
      <c r="C138" s="36">
        <f>net_days*(nominal_hours-eff_hours)</f>
        <v>219.0</v>
      </c>
      <c r="D138" s="28" t="inlineStr">
        <is>
          <t>ч/год</t>
        </is>
      </c>
      <c r="E138" s="30" t="inlineStr">
        <is>
          <t>1 час в день: подготовка и уборка места, зарядка техники, размяться, отойти</t>
        </is>
      </c>
      <c r="F138" s="7" t="inlineStr">
        <is>
          <t>calc</t>
        </is>
      </c>
      <c r="G138" s="6" t="inlineStr">
        <is>
          <t>net_days, nominal_hours, eff_hours</t>
        </is>
      </c>
    </row>
    <row r="139">
      <c r="A139" s="27" t="inlineStr">
        <is>
          <t>idle_week</t>
        </is>
      </c>
      <c r="B139" s="28" t="inlineStr">
        <is>
          <t>Рабочие паузы в неделю</t>
        </is>
      </c>
      <c r="C139" s="36">
        <f>IF(net_weeks=0,0,idle_time/net_weeks)</f>
        <v>5.0</v>
      </c>
      <c r="D139" s="28" t="inlineStr">
        <is>
          <t>ч/нед</t>
        </is>
      </c>
      <c r="E139" s="30" t="inlineStr"/>
      <c r="F139" s="7" t="inlineStr">
        <is>
          <t>calc</t>
        </is>
      </c>
      <c r="G139" s="6" t="inlineStr">
        <is>
          <t>idle_time, net_weeks</t>
        </is>
      </c>
    </row>
    <row r="140">
      <c r="A140" s="27" t="inlineStr">
        <is>
          <t>hour_all</t>
        </is>
      </c>
      <c r="B140" s="28" t="inlineStr">
        <is>
          <t>Час вашего времени (блок 09)</t>
        </is>
      </c>
      <c r="C140" s="36">
        <f>IF(net_time+idle_time=0,0,target_income/(net_time+idle_time))</f>
        <v>754.9041095890411</v>
      </c>
      <c r="D140" s="28" t="inlineStr">
        <is>
          <t>₽/ч</t>
        </is>
      </c>
      <c r="E140" s="30" t="inlineStr">
        <is>
          <t>Доход на ВСЁ рабочее время, включая паузы</t>
        </is>
      </c>
      <c r="F140" s="7" t="inlineStr">
        <is>
          <t>calc</t>
        </is>
      </c>
      <c r="G140" s="6" t="inlineStr">
        <is>
          <t>target_income, net_time, idle_time</t>
        </is>
      </c>
    </row>
    <row r="141">
      <c r="A141" s="27" t="inlineStr">
        <is>
          <t>frames_out</t>
        </is>
      </c>
      <c r="B141" s="28" t="inlineStr">
        <is>
          <t>Обработанных кадров с часа съёмки</t>
        </is>
      </c>
      <c r="C141" s="33" t="n">
        <v>80</v>
      </c>
      <c r="D141" s="28" t="inlineStr">
        <is>
          <t>шт/ч</t>
        </is>
      </c>
      <c r="E141" s="30" t="inlineStr">
        <is>
          <t>Задаёт пользователь в форме</t>
        </is>
      </c>
      <c r="F141" s="7" t="inlineStr">
        <is>
          <t>default</t>
        </is>
      </c>
      <c r="G141" s="6" t="inlineStr"/>
    </row>
    <row r="142">
      <c r="A142" s="27" t="inlineStr">
        <is>
          <t>frames_total</t>
        </is>
      </c>
      <c r="B142" s="28" t="inlineStr">
        <is>
          <t>Кадров за одну съёмку</t>
        </is>
      </c>
      <c r="C142" s="36">
        <f>frames_out*shoot_duration</f>
        <v>80.0</v>
      </c>
      <c r="D142" s="28" t="inlineStr">
        <is>
          <t>шт</t>
        </is>
      </c>
      <c r="E142" s="30" t="inlineStr"/>
      <c r="F142" s="7" t="inlineStr">
        <is>
          <t>calc</t>
        </is>
      </c>
      <c r="G142" s="6" t="inlineStr">
        <is>
          <t>frames_out, shoot_duration</t>
        </is>
      </c>
    </row>
    <row r="143">
      <c r="A143" s="27" t="inlineStr">
        <is>
          <t>equip_only</t>
        </is>
      </c>
      <c r="B143" s="28" t="inlineStr">
        <is>
          <t>Оборудование и ПО без обучения</t>
        </is>
      </c>
      <c r="C143" s="36">
        <f>dep_shoot+dep_office+dep_software</f>
        <v>184992.9238095238</v>
      </c>
      <c r="D143" s="28" t="inlineStr">
        <is>
          <t>₽/год</t>
        </is>
      </c>
      <c r="E143" s="30" t="inlineStr">
        <is>
          <t>Только железо и ПО, для блока 09</t>
        </is>
      </c>
      <c r="F143" s="7" t="inlineStr">
        <is>
          <t>calc</t>
        </is>
      </c>
      <c r="G143" s="6" t="inlineStr">
        <is>
          <t>dep_shoot, dep_office, dep_software</t>
        </is>
      </c>
    </row>
  </sheetData>
  <mergeCells count="11">
    <mergeCell ref="A4:H4"/>
    <mergeCell ref="A62:H62"/>
    <mergeCell ref="A57:H57"/>
    <mergeCell ref="A2:H2"/>
    <mergeCell ref="A129:H129"/>
    <mergeCell ref="A103:H103"/>
    <mergeCell ref="A19:H19"/>
    <mergeCell ref="A1:H1"/>
    <mergeCell ref="A37:H37"/>
    <mergeCell ref="A74:H74"/>
    <mergeCell ref="A88:H88"/>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4" showDropDown="0" showInputMessage="0" showErrorMessage="0" allowBlank="1" type="list">
      <formula1>"Работаю из дома,Арендую помещение"</formula1>
    </dataValidation>
    <dataValidation sqref="C65" showDropDown="0" showInputMessage="0" showErrorMessage="0" allowBlank="1" type="list">
      <formula1>"нет,да"</formula1>
    </dataValidation>
    <dataValidation sqref="C79" showDropDown="0" showInputMessage="0" showErrorMessage="0" allowBlank="1" type="list">
      <formula1>"Учитывать упущенную выгоду,Учитывать только стоимость обучения"</formula1>
    </dataValidation>
    <dataValidation sqref="C82" showDropDown="0" showInputMessage="0" showErrorMessage="0" allowBlank="1" type="list">
      <formula1>"Нанимал (а) специалиста,Делал (а) самостоятельно"</formula1>
    </dataValidation>
    <dataValidation sqref="C105"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02_Параметры → regime</t>
        </is>
      </c>
    </row>
    <row r="5">
      <c r="A5" s="2" t="inlineStr">
        <is>
          <t>ПОЛНАЯ СТАВКА ЧАСА,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Полная ставка РАБОЧЕГО часа, ₽/час</t>
        </is>
      </c>
      <c r="B7" s="49">
        <f>full_hour_rate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9">
      <c r="A39" s="3" t="inlineStr">
        <is>
          <t>СКОЛЬКО ВЫ ТЕРЯЕТЕ</t>
        </is>
      </c>
    </row>
    <row r="41">
      <c r="B41" s="54">
        <f>B38-B37</f>
        <v>-0.027</v>
      </c>
    </row>
    <row r="42">
      <c r="B42" s="55">
        <f>B5</f>
        <v>9429.986029299362</v>
      </c>
    </row>
    <row r="43">
      <c r="A43" t="inlineStr">
        <is>
          <t>Разница с текущей, ₽/час</t>
        </is>
      </c>
    </row>
    <row r="44">
      <c r="A44" t="inlineStr">
        <is>
          <t>Недополучено за год, ₽</t>
        </is>
      </c>
      <c r="B44" s="54">
        <f>B43*shooting_time</f>
        <v>0.0</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Час проектного времени положителен</t>
        </is>
      </c>
      <c r="B55" s="53" t="str">
        <f>IF(hour_pool&gt;0,"OK","ПРОВЕРЬТЕ")</f>
        <v>OK</v>
      </c>
    </row>
    <row r="56">
      <c r="A56" t="inlineStr">
        <is>
          <t>Резерв на форс-мажоры не больше 30%</t>
        </is>
      </c>
      <c r="B56" s="53" t="str">
        <f>IF(fm_pct&lt;=0.3,"OK","СЛИШКОМ БОЛЬШОЙ")</f>
        <v>OK</v>
      </c>
    </row>
    <row r="57">
      <c r="A57" t="inlineStr">
        <is>
          <t>Сайт: либо сумма, либо часы</t>
        </is>
      </c>
      <c r="B57"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02_Параметры</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выезд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выезд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7" customWidth="1" min="1" max="1"/>
    <col width="13" customWidth="1" min="2" max="2"/>
    <col width="30" customWidth="1" min="3" max="3"/>
    <col width="17" customWidth="1" min="4" max="4"/>
    <col width="13" customWidth="1" min="5" max="5"/>
    <col width="40" customWidth="1" min="6" max="6"/>
    <col width="30" customWidth="1" min="7" max="7"/>
  </cols>
  <sheetData>
    <row r="1">
      <c r="A1" s="1" t="inlineStr">
        <is>
          <t>08b · UI-МАТРИЦА ОТЧЁТА — что видно бесплатно, что после оплаты</t>
        </is>
      </c>
    </row>
    <row r="2">
      <c r="A2" s="25" t="inlineStr">
        <is>
          <t>Зелёный — открыто всем. Жёлтый — под размытием до оплаты.</t>
        </is>
      </c>
    </row>
    <row r="4" ht="28" customHeight="1">
      <c r="A4" s="44" t="inlineStr">
        <is>
          <t>№</t>
        </is>
      </c>
      <c r="B4" s="44" t="inlineStr">
        <is>
          <t>Доступ</t>
        </is>
      </c>
      <c r="C4" s="44" t="inlineStr">
        <is>
          <t>Заголовок / элемент</t>
        </is>
      </c>
      <c r="D4" s="44" t="inlineStr">
        <is>
          <t>Тип</t>
        </is>
      </c>
      <c r="E4" s="44" t="inlineStr">
        <is>
          <t>Ширина</t>
        </is>
      </c>
      <c r="F4" s="44" t="inlineStr">
        <is>
          <t>Что показывает</t>
        </is>
      </c>
      <c r="G4" s="44" t="inlineStr">
        <is>
          <t>Параметры</t>
        </is>
      </c>
    </row>
    <row r="5">
      <c r="A5" s="3" t="inlineStr">
        <is>
          <t>ПРЕДВАРИТЕЛЬНЫЙ ОТЧЁТ — видят все</t>
        </is>
      </c>
    </row>
    <row r="6">
      <c r="A6" s="110" t="inlineStr">
        <is>
          <t>П1</t>
        </is>
      </c>
      <c r="B6" s="108" t="inlineStr">
        <is>
          <t>открыто</t>
        </is>
      </c>
      <c r="C6" s="5" t="inlineStr">
        <is>
          <t>Ваша расчётная ставка</t>
        </is>
      </c>
      <c r="D6" s="5" t="inlineStr">
        <is>
          <t>report_hero</t>
        </is>
      </c>
      <c r="E6" s="5" t="inlineStr">
        <is>
          <t>100%</t>
        </is>
      </c>
      <c r="F6" s="5" t="inlineStr">
        <is>
          <t>Крупная цифра ₽/час на зелёном градиенте</t>
        </is>
      </c>
      <c r="G6" s="6" t="inlineStr">
        <is>
          <t>real_rate</t>
        </is>
      </c>
    </row>
    <row r="7">
      <c r="A7" s="110" t="inlineStr">
        <is>
          <t>П2</t>
        </is>
      </c>
      <c r="B7" s="108" t="inlineStr">
        <is>
          <t>открыто</t>
        </is>
      </c>
      <c r="C7" s="5" t="inlineStr">
        <is>
          <t>За одну съёмку · выручка в месяц · съёмок в месяц</t>
        </is>
      </c>
      <c r="D7" s="5" t="inlineStr">
        <is>
          <t>report_row</t>
        </is>
      </c>
      <c r="E7" s="5" t="inlineStr">
        <is>
          <t>3 колонки</t>
        </is>
      </c>
      <c r="F7" s="5" t="inlineStr">
        <is>
          <t>Три показателя в строку под главной цифрой</t>
        </is>
      </c>
      <c r="G7" s="6" t="inlineStr">
        <is>
          <t>R/projects_year, R/12, projects_year/12</t>
        </is>
      </c>
    </row>
    <row r="8">
      <c r="A8" s="110" t="inlineStr">
        <is>
          <t>П3</t>
        </is>
      </c>
      <c r="B8" s="108" t="inlineStr">
        <is>
          <t>открыто</t>
        </is>
      </c>
      <c r="C8" s="5" t="inlineStr">
        <is>
          <t>Куда уходит каждый час съёмки</t>
        </is>
      </c>
      <c r="D8" s="5" t="inlineStr">
        <is>
          <t>chart_donut</t>
        </is>
      </c>
      <c r="E8" s="5" t="inlineStr">
        <is>
          <t>100%</t>
        </is>
      </c>
      <c r="F8" s="5" t="inlineStr">
        <is>
          <t>Одна кольцевая диаграмма, 11 сегментов, легенда справа двумя группами</t>
        </is>
      </c>
      <c r="G8" s="6" t="inlineStr">
        <is>
          <t>parts(d)</t>
        </is>
      </c>
    </row>
    <row r="9">
      <c r="A9" s="110" t="inlineStr">
        <is>
          <t>П4</t>
        </is>
      </c>
      <c r="B9" s="108" t="inlineStr">
        <is>
          <t>открыто</t>
        </is>
      </c>
      <c r="C9" s="5" t="inlineStr">
        <is>
          <t>А теперь сравните со своей зарплатой</t>
        </is>
      </c>
      <c r="D9" s="5" t="inlineStr">
        <is>
          <t>compare_box</t>
        </is>
      </c>
      <c r="E9" s="5" t="inlineStr">
        <is>
          <t>2 колонки</t>
        </is>
      </c>
      <c r="F9" s="5" t="inlineStr">
        <is>
          <t>Хотите получать / Получаете сейчас, полоса-индикатор, разница в месяц и за год</t>
        </is>
      </c>
      <c r="G9" s="6" t="inlineStr">
        <is>
          <t>target_income/12, leftC/12</t>
        </is>
      </c>
    </row>
    <row r="10">
      <c r="A10" s="110" t="inlineStr">
        <is>
          <t>П5</t>
        </is>
      </c>
      <c r="B10" s="108" t="inlineStr">
        <is>
          <t>открыто</t>
        </is>
      </c>
      <c r="C10" s="5" t="inlineStr">
        <is>
          <t>Блок оплаты</t>
        </is>
      </c>
      <c r="D10" s="5" t="inlineStr">
        <is>
          <t>paywall</t>
        </is>
      </c>
      <c r="E10" s="5" t="inlineStr">
        <is>
          <t>100%</t>
        </is>
      </c>
      <c r="F10" s="5" t="inlineStr">
        <is>
          <t>Иконка, заголовок, цена, две кнопки, способы оплаты, список содержимого</t>
        </is>
      </c>
      <c r="G10" s="6" t="inlineStr">
        <is>
          <t>PRICE_REF, PRICE_FULL</t>
        </is>
      </c>
    </row>
    <row r="12">
      <c r="A12" s="3" t="inlineStr">
        <is>
          <t>ПОЛНЫЙ ОТЧЁТ — после оплаты</t>
        </is>
      </c>
    </row>
    <row r="13">
      <c r="A13" s="124" t="inlineStr">
        <is>
          <t>О1</t>
        </is>
      </c>
      <c r="B13" s="113" t="inlineStr">
        <is>
          <t>закрыто</t>
        </is>
      </c>
      <c r="C13" s="5" t="inlineStr">
        <is>
          <t>Три кольцевые диаграммы</t>
        </is>
      </c>
      <c r="D13" s="5" t="inlineStr">
        <is>
          <t>chart_donut × 3</t>
        </is>
      </c>
      <c r="E13" s="5" t="inlineStr">
        <is>
          <t>3 колонки</t>
        </is>
      </c>
      <c r="F13" s="5" t="inlineStr">
        <is>
          <t>Расчётная · Текущая · Работа в ноль. Одинаковые сегменты и цвета</t>
        </is>
      </c>
      <c r="G13" s="6" t="inlineStr">
        <is>
          <t>parts, Pc, Pb</t>
        </is>
      </c>
    </row>
    <row r="14">
      <c r="A14" s="124" t="inlineStr">
        <is>
          <t>О2</t>
        </is>
      </c>
      <c r="B14" s="113" t="inlineStr">
        <is>
          <t>закрыто</t>
        </is>
      </c>
      <c r="C14" s="5" t="inlineStr">
        <is>
          <t>За какие роли вы это заработали</t>
        </is>
      </c>
      <c r="D14" s="5" t="inlineStr">
        <is>
          <t>report_table</t>
        </is>
      </c>
      <c r="E14" s="5" t="inlineStr">
        <is>
          <t>100%</t>
        </is>
      </c>
      <c r="F14" s="5" t="inlineStr">
        <is>
          <t>6 строк: фотограф, ретушёр, менеджер, маркетолог, бухгалтер, компенсация. Колонки: часов в год, часов на проект, ₽ в год, ₽ с часа съёмки</t>
        </is>
      </c>
      <c r="G14" s="6" t="inlineStr">
        <is>
          <t>hr × время роли</t>
        </is>
      </c>
    </row>
    <row r="15">
      <c r="A15" s="124" t="inlineStr">
        <is>
          <t>О3</t>
        </is>
      </c>
      <c r="B15" s="113" t="inlineStr">
        <is>
          <t>закрыто</t>
        </is>
      </c>
      <c r="C15" s="5" t="inlineStr">
        <is>
          <t>Чипы над таблицей</t>
        </is>
      </c>
      <c r="D15" s="5" t="inlineStr">
        <is>
          <t>chips</t>
        </is>
      </c>
      <c r="E15" s="5" t="inlineStr">
        <is>
          <t>авто</t>
        </is>
      </c>
      <c r="F15" s="5" t="inlineStr">
        <is>
          <t>Съёмка · Проект · Съёмочных часов в год · Занято в неделю</t>
        </is>
      </c>
      <c r="G15" s="6" t="inlineStr">
        <is>
          <t>S, project_time, shooting_time</t>
        </is>
      </c>
    </row>
    <row r="16">
      <c r="A16" s="124" t="inlineStr">
        <is>
          <t>О4</t>
        </is>
      </c>
      <c r="B16" s="113" t="inlineStr">
        <is>
          <t>закрыто</t>
        </is>
      </c>
      <c r="C16" s="5" t="inlineStr">
        <is>
          <t>Что это значит</t>
        </is>
      </c>
      <c r="D16" s="5" t="inlineStr">
        <is>
          <t>expl_list</t>
        </is>
      </c>
      <c r="E16" s="5" t="inlineStr">
        <is>
          <t>100%</t>
        </is>
      </c>
      <c r="F16" s="5" t="inlineStr">
        <is>
          <t>6 плашек с цветным маркером слева: вам заплатят, вы заработаете, отложите, заплатите, отдадите государству, отдадите банку</t>
        </is>
      </c>
      <c r="G16" s="6" t="inlineStr">
        <is>
          <t>CO[0,6,8,9,10]</t>
        </is>
      </c>
    </row>
    <row r="17">
      <c r="A17" s="124" t="inlineStr">
        <is>
          <t>О5</t>
        </is>
      </c>
      <c r="B17" s="113" t="inlineStr">
        <is>
          <t>закрыто</t>
        </is>
      </c>
      <c r="C17" s="5" t="inlineStr">
        <is>
          <t>Сколько вы теряете</t>
        </is>
      </c>
      <c r="D17" s="5" t="inlineStr">
        <is>
          <t>warn_box</t>
        </is>
      </c>
      <c r="E17" s="5" t="inlineStr">
        <is>
          <t>100%</t>
        </is>
      </c>
      <c r="F17" s="5" t="inlineStr">
        <is>
          <t>Красный блок: текущая ставка, остаётся на руки, крупная цифра недобора, недобор с часа, минимум без убытка</t>
        </is>
      </c>
      <c r="G17" s="6" t="inlineStr">
        <is>
          <t>miss, Rb</t>
        </is>
      </c>
    </row>
    <row r="18">
      <c r="A18" s="124" t="inlineStr">
        <is>
          <t>О6</t>
        </is>
      </c>
      <c r="B18" s="113" t="inlineStr">
        <is>
          <t>закрыто</t>
        </is>
      </c>
      <c r="C18" s="5" t="inlineStr">
        <is>
          <t>Ваша неделя</t>
        </is>
      </c>
      <c r="D18" s="5" t="inlineStr">
        <is>
          <t>chart_week</t>
        </is>
      </c>
      <c r="E18" s="5" t="inlineStr">
        <is>
          <t>100%</t>
        </is>
      </c>
      <c r="F18" s="5" t="inlineStr">
        <is>
          <t>Сетка 5 дней × 9 часов с 10:00 до 19:00. Обед серым. Легенда цветами диаграммы</t>
        </is>
      </c>
      <c r="G18" s="6" t="inlineStr">
        <is>
          <t>perDay, CO[0..5]</t>
        </is>
      </c>
    </row>
    <row r="20">
      <c r="A20" s="3" t="inlineStr">
        <is>
          <t>ПОСЛЕ ОПЛАТЫ</t>
        </is>
      </c>
    </row>
    <row r="21">
      <c r="A21" s="110" t="inlineStr">
        <is>
          <t>Б1</t>
        </is>
      </c>
      <c r="B21" s="108" t="inlineStr">
        <is>
          <t>открыто</t>
        </is>
      </c>
      <c r="C21" s="5" t="inlineStr">
        <is>
          <t>Спасибо за поддержку</t>
        </is>
      </c>
      <c r="D21" s="5" t="inlineStr">
        <is>
          <t>thanks_box</t>
        </is>
      </c>
      <c r="E21" s="5" t="inlineStr">
        <is>
          <t>100%</t>
        </is>
      </c>
      <c r="F21" s="5" t="inlineStr">
        <is>
          <t>Зелёный блок с галочкой, текст благодарности, кнопка «Скачать PDF»</t>
        </is>
      </c>
      <c r="G21" s="6" t="inlineStr">
        <is>
          <t>появляется при ?paid=1</t>
        </is>
      </c>
    </row>
    <row r="22">
      <c r="A22" s="110" t="inlineStr">
        <is>
          <t>Б2</t>
        </is>
      </c>
      <c r="B22" s="108" t="inlineStr">
        <is>
          <t>открыто</t>
        </is>
      </c>
      <c r="C22" s="5" t="inlineStr">
        <is>
          <t>Скачать PDF</t>
        </is>
      </c>
      <c r="D22" s="5" t="inlineStr">
        <is>
          <t>button_print</t>
        </is>
      </c>
      <c r="E22" s="5" t="inlineStr">
        <is>
          <t>420px</t>
        </is>
      </c>
      <c r="F22" s="5" t="inlineStr">
        <is>
          <t>Вызывает печать браузера. @media print скрывает форму и оставляет только отчёт</t>
        </is>
      </c>
      <c r="G22" s="6" t="inlineStr">
        <is>
          <t>window.print()</t>
        </is>
      </c>
    </row>
  </sheetData>
  <mergeCells count="5">
    <mergeCell ref="A1:G1"/>
    <mergeCell ref="A12:G12"/>
    <mergeCell ref="A20:G20"/>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02_Параметры</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02_Параметры.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Час вашего времени</t>
        </is>
      </c>
      <c r="C6" s="150" t="inlineStr">
        <is>
          <t>747 ₽/ч</t>
        </is>
      </c>
      <c r="D6" s="151" t="inlineStr">
        <is>
          <t>'=target_income/(net_time+idle_time)</t>
        </is>
      </c>
      <c r="E6" s="152" t="inlineStr">
        <is>
          <t>Желаемый доход за год делится на ВСЁ рабочее время, включая рабочие паузы: 1 307 988 / (1533+219) = 747 ₽. Не путать со ставкой часа съёмки — это то, сколько стоит любой ваш час: и с камерой, и за компьютером.</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Решается уравнение V − costY − V×0,028 −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V = 722 371 ₽ = расходы 666 026 + эквайринг 20 226 + налог 36 119. Невязка нетто 1e-10 ₽. Ставка 3 335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 xml:space="preserve">--c-ig-4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Полная цепочка расчёта по шагам — ровно так, как считает калькулятор. Все ID в колонке «Формула» ссылаются на лист 02_Параметры. Цифры в колонке «Результат» — для демо-набора (доход 108 999 ₽/мес, съёмка 2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1083 × 5% = 54,15 ч
1083 − 54,15 =
1 028,85 часа</t>
        </is>
      </c>
    </row>
    <row r="9" ht="92" customHeight="1">
      <c r="A9" s="236" t="inlineStr">
        <is>
          <t>5</t>
        </is>
      </c>
      <c r="B9" s="149" t="inlineStr">
        <is>
          <t>Считаем, сколько часов съедает один заказ</t>
        </is>
      </c>
      <c r="C9" s="152" t="inlineStr">
        <is>
          <t>Пользователь задаёт три величины: типовая длительность съёмки (2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2 × (1+3) + 1 =
9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1028,85 / 9 =
114,32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114,32 × 2 =
228,63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1 307 988 ₽ доход
666 026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(1 307 988 + 666 026)
/ (1 − 0,028 − 0,06) =
2 164 489 ₽</t>
        </is>
      </c>
    </row>
    <row r="14" ht="66" customHeight="1">
      <c r="A14" s="236" t="inlineStr">
        <is>
          <t>10</t>
        </is>
      </c>
      <c r="B14" s="149" t="inlineStr">
        <is>
          <t>Делим выручку на оплачиваемые часы</t>
        </is>
      </c>
      <c r="C14" s="152" t="inlineStr">
        <is>
          <t>Вся годовая выручка должна собраться с тех самых 229 съёмочных часов, потому что больше клиент ничего не покупает. Это и есть ставка часа.</t>
        </is>
      </c>
      <c r="D14" s="237" t="inlineStr">
        <is>
          <t>СТАВКА = R / shooting_time</t>
        </is>
      </c>
      <c r="E14" s="238" t="inlineStr">
        <is>
          <t>2 164 489 / 228,63 =
9 467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2 164 489 − 666 026 расходов − 60 606 эквайринга − 129 869 налога</t>
        </is>
      </c>
      <c r="D17" s="240" t="inlineStr">
        <is>
          <t>'= 1 307 988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9 467 ₽</t>
        </is>
      </c>
      <c r="E18" s="152" t="inlineStr">
        <is>
          <t>совпало со ставкой часа</t>
        </is>
      </c>
    </row>
    <row r="19" ht="30" customHeight="1">
      <c r="B19" s="149" t="inlineStr">
        <is>
          <t>Шапка отчёта</t>
        </is>
      </c>
      <c r="C19" s="152" t="inlineStr">
        <is>
          <t>108 999 доход + 71 375 расходы</t>
        </is>
      </c>
      <c r="D19" s="240" t="inlineStr">
        <is>
          <t>'= 180 374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9 467 ₽</t>
        </is>
      </c>
    </row>
    <row r="23" ht="42" customHeight="1">
      <c r="B23" s="149" t="inlineStr">
        <is>
          <t>Фактическая стоимость часа</t>
        </is>
      </c>
      <c r="C23" s="152" t="inlineStr">
        <is>
          <t>Сколько вы реально зарабатываете за час ЛЮБОЙ работы — с камерой или за компьютером.</t>
        </is>
      </c>
      <c r="D23" s="237" t="inlineStr">
        <is>
          <t>target_income / (net_time + idle_time)</t>
        </is>
      </c>
      <c r="E23" s="238" t="inlineStr">
        <is>
          <t>747 ₽</t>
        </is>
      </c>
    </row>
    <row r="24" ht="30" customHeight="1">
      <c r="B24" s="241" t="inlineStr">
        <is>
          <t>Разница в 12,7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2 164 489</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выезд»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54"/>
  <sheetViews>
    <sheetView workbookViewId="0">
      <pane ySplit="4" topLeftCell="A5" activePane="bottomLeft" state="frozen"/>
      <selection pane="bottomLeft" activeCell="A1" sqref="A1"/>
    </sheetView>
  </sheetViews>
  <sheetFormatPr baseColWidth="8" defaultRowHeight="15"/>
  <cols>
    <col width="32" customWidth="1" min="1" max="1"/>
    <col width="104" customWidth="1" min="2" max="2"/>
  </cols>
  <sheetData>
    <row r="1">
      <c r="A1" s="1" t="inlineStr">
        <is>
          <t>09i · СПРАВОЧНИК: ТЕРМИНЫ И ОПРЕДЕЛЕНИЯ</t>
        </is>
      </c>
    </row>
    <row r="2">
      <c r="A2" s="250" t="inlineStr">
        <is>
          <t>Плоский список по алфавиту, без разделов. Только те термины, которые человек встречает в анкете и в отчёте. Внутренние термины методики сюда не входят.</t>
        </is>
      </c>
    </row>
    <row r="4">
      <c r="A4" s="257" t="inlineStr">
        <is>
          <t>Термин</t>
        </is>
      </c>
      <c r="B4" s="257" t="inlineStr">
        <is>
          <t>Определение</t>
        </is>
      </c>
    </row>
    <row r="5">
      <c r="A5" s="294" t="inlineStr">
        <is>
          <t>Амортизация</t>
        </is>
      </c>
      <c r="B5" s="229" t="inlineStr">
        <is>
          <t>способ распределения стоимости разовой покупки на весь её срок службы — ежегодные или ежемесячные расходы на износ оборудования.</t>
        </is>
      </c>
    </row>
    <row r="6">
      <c r="A6" s="294" t="inlineStr">
        <is>
          <t>Выручка</t>
        </is>
      </c>
      <c r="B6" s="229" t="inlineStr">
        <is>
          <t>общий объём денежных средств, которые необходимо получить от клиентов за год, чтобы после всех обязательных вычетов у вас остался желаемый чистый доход.</t>
        </is>
      </c>
    </row>
    <row r="7">
      <c r="A7" s="294" t="inlineStr">
        <is>
          <t>Готовые кадры</t>
        </is>
      </c>
      <c r="B7" s="229" t="inlineStr">
        <is>
          <t>среднее количество готовых снимков, получаемых клиентом с часа съёмки. Из этого рассчитывается цена одного кадра.</t>
        </is>
      </c>
    </row>
    <row r="8">
      <c r="A8" s="294" t="inlineStr">
        <is>
          <t>Доход на руки</t>
        </is>
      </c>
      <c r="B8" s="229" t="inlineStr">
        <is>
          <t>чистая сумма, которая остаётся у вас после вычета всех расходов и налогов. Это ключевая точка отсчёта для всех дальнейших расчётов.</t>
        </is>
      </c>
    </row>
    <row r="9">
      <c r="A9" s="294" t="inlineStr">
        <is>
          <t>Запас прочности</t>
        </is>
      </c>
      <c r="B9" s="229" t="inlineStr">
        <is>
          <t>финансовый резерв, формирующий фонд развития и запас на предоставление скидок. Не входит в обязательный базовый расчёт и может включаться по вашему усмотрению.</t>
        </is>
      </c>
    </row>
    <row r="10">
      <c r="A10" s="294" t="inlineStr">
        <is>
          <t>Налоги и взносы</t>
        </is>
      </c>
      <c r="B10" s="229" t="inlineStr">
        <is>
          <t>платежи в соответствии с вашим налоговым режимом. Для индивидуальных предпринимателей включают фиксированные страховые взносы, подлежащие уплате независимо от наличия дохода.</t>
        </is>
      </c>
    </row>
    <row r="11">
      <c r="A11" s="294" t="inlineStr">
        <is>
          <t>Обработка</t>
        </is>
      </c>
      <c r="B11" s="229" t="inlineStr">
        <is>
          <t>время, необходимое для обработки полученного контента за один час съёмки: скачивание и бэкап, отбор и отбраковка кадров, выгрузка и загрузка в ПО, кадрирование, устранение значимых артефактов, цветовая и тоновая коррекция, сведение к единому стилю, настройка чёткости кадра, сохранение в нужном формате, экспорт, загрузка в облако, правки при необходимости, а также формирование и хранение архива.</t>
        </is>
      </c>
    </row>
    <row r="12">
      <c r="A12" s="294" t="inlineStr">
        <is>
          <t>Обустройство места</t>
        </is>
      </c>
      <c r="B12" s="229" t="inlineStr">
        <is>
          <t>закупка необходимой для работы мебели, косметический ремонт помещения, предусмотренного под рабочую зону и хранение оборудования.</t>
        </is>
      </c>
    </row>
    <row r="13">
      <c r="A13" s="294" t="inlineStr">
        <is>
          <t>Обучение</t>
        </is>
      </c>
      <c r="B13" s="229" t="inlineStr">
        <is>
          <t>прохождение профессиональных курсов и работа с наставниками. Помимо прямой финансовой стоимости, учитывает периоды временного снижения или полного отсутствия дохода во время учёбы.</t>
        </is>
      </c>
    </row>
    <row r="14">
      <c r="A14" s="294" t="inlineStr">
        <is>
          <t>Офисное оборудование</t>
        </is>
      </c>
      <c r="B14" s="229" t="inlineStr">
        <is>
          <t>оборудование, необходимое для профессиональной деятельности фотографа и выполнения всего комплекса работ: от обработки заказов и решения текущих задач до поиска новых клиентов, ведения учёта и сопутствующей административной деятельности.</t>
        </is>
      </c>
    </row>
    <row r="15">
      <c r="A15" s="294" t="inlineStr">
        <is>
          <t>Подписки</t>
        </is>
      </c>
      <c r="B15" s="229" t="inlineStr">
        <is>
          <t>регулярные платежи за цифровые сервисы и инструменты, без которых невозможна ежедневная работа: Adobe Creative Cloud, облачные хранилища, хостинг, доменное имя и подобное.</t>
        </is>
      </c>
    </row>
    <row r="16">
      <c r="A16" s="294" t="inlineStr">
        <is>
          <t>Программное обеспечение</t>
        </is>
      </c>
      <c r="B16" s="229" t="inlineStr">
        <is>
          <t>специализированный профессиональный софт, необходимый фотографу для обработки изображений и подготовки материалов. Без этих программ выполнение качественной финальной обработки и передача готового заказа клиенту невозможны.</t>
        </is>
      </c>
    </row>
    <row r="17">
      <c r="A17" s="294" t="inlineStr">
        <is>
          <t>Продвижение и реклама</t>
        </is>
      </c>
      <c r="B17" s="229" t="inlineStr">
        <is>
          <t>комплекс мер, направленных на продвижение, популяризацию личного бренда и поиск новых клиентов.</t>
        </is>
      </c>
    </row>
    <row r="18">
      <c r="A18" s="294" t="inlineStr">
        <is>
          <t>Продолжительность съёмки</t>
        </is>
      </c>
      <c r="B18" s="229" t="inlineStr">
        <is>
          <t>привычный или средний формат заказа. Рассчитывается по формуле: общее количество съёмочных часов в месяц разделить на количество съёмок.</t>
        </is>
      </c>
    </row>
    <row r="19">
      <c r="A19" s="294" t="inlineStr">
        <is>
          <t>Работа с клиентом</t>
        </is>
      </c>
      <c r="B19" s="229" t="inlineStr">
        <is>
          <t>презентация личного бренда, демонстрация портфолио, согласование прайса, даты съёмки и референсов, заключение и коррекция договора, формирование и выставление счетов и актов, контроль оплаты, консультации в ходе работы и пр. Рассчитывается на один заказ.</t>
        </is>
      </c>
    </row>
    <row r="20">
      <c r="A20" s="294" t="inlineStr">
        <is>
          <t>Рабочие паузы</t>
        </is>
      </c>
      <c r="B20" s="229" t="inlineStr">
        <is>
          <t>время в течение дня на подготовку и уборку рабочего места, обслуживание и зарядку оборудования, разминку при работе за компьютером и личные надобности. В расчёт заложен один час ежедневно. Это опирается на нормативы Госкомтруда, где всем работающим независимо от вида труда полагается 10–15 минут в смену на личные надобности, и на санитарные рекомендации для работы за монитором: 10–15 минут перерыва каждый час. Обеденное время сюда не входит и в расчёте не учитывается.</t>
        </is>
      </c>
    </row>
    <row r="21">
      <c r="A21" s="294" t="inlineStr">
        <is>
          <t>Сайт</t>
        </is>
      </c>
      <c r="B21" s="229" t="inlineStr">
        <is>
          <t>персональный информационный ресурс в сети интернет, предназначенный для привлечения новых клиентов и поиска заказов. Может быть создан привлечённым специалистом — тогда учитываются прямые финансовые затраты — либо разработан фотографом самостоятельно. При самостоятельной разработке в качестве амортизируемого вложения учитывается время, затраченное на создание и настройку ресурса, пересчитанное по базовой ставке часа.</t>
        </is>
      </c>
    </row>
    <row r="22">
      <c r="A22" s="294" t="inlineStr">
        <is>
          <t>Содержание рабочего места</t>
        </is>
      </c>
      <c r="B22" s="229" t="inlineStr">
        <is>
          <t>регулярные текущие платежи, обеспечивающие функционирование рабочего пространства.</t>
        </is>
      </c>
    </row>
    <row r="23">
      <c r="A23" s="294" t="inlineStr">
        <is>
          <t>Срок службы</t>
        </is>
      </c>
      <c r="B23" s="229" t="inlineStr">
        <is>
          <t>количество лет, в течение которых вещь реально работает до замены. Учитывается не гарантия производителя, а ваш личный практический опыт.</t>
        </is>
      </c>
    </row>
    <row r="24">
      <c r="A24" s="294" t="inlineStr">
        <is>
          <t>Ставка часа съёмки</t>
        </is>
      </c>
      <c r="B24" s="229" t="inlineStr">
        <is>
          <t>стоимость одного часа работы непосредственно на съёмочной площадке для клиента. Покрывает ваш желаемый доход, все сопутствующие расходы, налоги и комиссии банков.</t>
        </is>
      </c>
    </row>
    <row r="25">
      <c r="A25" s="294" t="inlineStr">
        <is>
          <t>Стоимость часа вашей работы</t>
        </is>
      </c>
      <c r="B25" s="229" t="inlineStr">
        <is>
          <t>ваш итоговый доход, разделённый на абсолютно всё потраченное рабочее время. Показывает реальную стоимость любого вашего часа, включая обработку, общение с клиентами и прочие административные задачи.</t>
        </is>
      </c>
    </row>
    <row r="26">
      <c r="A26" s="294" t="inlineStr">
        <is>
          <t>Съёмка</t>
        </is>
      </c>
      <c r="B26" s="229" t="inlineStr">
        <is>
          <t>время, проведённое непосредственно на площадке. Единственное, за что клиент платит напрямую.</t>
        </is>
      </c>
    </row>
    <row r="27">
      <c r="A27" s="294" t="inlineStr">
        <is>
          <t>Съёмочное оборудование</t>
        </is>
      </c>
      <c r="B27" s="229" t="inlineStr">
        <is>
          <t>неизменный рабочий арсенал, который фотограф берёт с собой на каждую съёмку. Без этого минимума проведение съёмочного процесса физически невозможно либо критически усложняется. Узкоспециализированная техника для разовых или нестандартных проектов сюда не относится — она рассчитывается отдельно под конкретные задачи.</t>
        </is>
      </c>
    </row>
    <row r="28">
      <c r="A28" s="294" t="inlineStr">
        <is>
          <t>Учёт и отчётность</t>
        </is>
      </c>
      <c r="B28" s="229" t="inlineStr">
        <is>
          <t>формирование и сдача деклараций, уплата взносов по срокам, сверки, ведение КУДИР, ответы налоговым органам и пр. Учитывается как часы в квартал.</t>
        </is>
      </c>
    </row>
    <row r="29">
      <c r="A29" s="294" t="inlineStr">
        <is>
          <t>Форс-мажоры</t>
        </is>
      </c>
      <c r="B29" s="229" t="inlineStr">
        <is>
          <t>непредвиденные обстоятельства: внезапный перенос или отмена съёмок, срывы договорённостей по вине клиента, повторные выезды на площадку и прочие ситуации, когда рабочее время уже потрачено, но оплата труда не поступает.</t>
        </is>
      </c>
    </row>
    <row r="30">
      <c r="A30" s="294" t="inlineStr">
        <is>
          <t>Эквайринг</t>
        </is>
      </c>
      <c r="B30" s="229" t="inlineStr">
        <is>
          <t>банковская комиссия за приём платежей по картам или через QR-код. Рассчитывается со всей суммы поступлений, а не с чистой прибыли.</t>
        </is>
      </c>
    </row>
    <row r="32" ht="56" customHeight="1">
      <c r="A32" s="260" t="inlineStr">
        <is>
          <t>Нормативная основа «Рабочих пауз»: Межотраслевые методические рекомендации «Определение нормативов времени на отдых и личные надобности» (Госкомтруд СССР) — 10–15 минут в смену на личные надобности всем работающим; 3–5% оперативного времени на отдых при монотонной работе. Санитарные рекомендации для работы за монитором: 10–15 минут каждые 45–60 минут (СанПиН 2.2.2/2.4.1340-03 и ТОИ Р-45-084-01 утратили силу с 01.01.2021, цифры используются как ориентир). Обеденный перерыв не входит.</t>
        </is>
      </c>
    </row>
    <row r="34">
      <c r="A34" s="295" t="inlineStr">
        <is>
          <t>ЕДИНЫЕ НАЗВАНИЯ В ТАБЛИЦЕ ПОЛНОЙ ВЫГРУЗКИ — 06.08.2026</t>
        </is>
      </c>
    </row>
    <row r="35">
      <c r="A35" s="229" t="inlineStr">
        <is>
          <t>Было</t>
        </is>
      </c>
      <c r="B35" s="229" t="inlineStr">
        <is>
          <t>Стало</t>
        </is>
      </c>
    </row>
    <row r="36">
      <c r="A36" s="229" t="inlineStr">
        <is>
          <t>Съёмочная техника</t>
        </is>
      </c>
      <c r="B36" s="229" t="inlineStr">
        <is>
          <t>Съёмочное оборудование</t>
        </is>
      </c>
    </row>
    <row r="37">
      <c r="A37" s="229" t="inlineStr">
        <is>
          <t>Компьютер и периферия</t>
        </is>
      </c>
      <c r="B37" s="229" t="inlineStr">
        <is>
          <t>Офисное оборудование</t>
        </is>
      </c>
    </row>
    <row r="38">
      <c r="A38" s="229" t="inlineStr">
        <is>
          <t>Программы разово + Подписки и сервисы</t>
        </is>
      </c>
      <c r="B38" s="229" t="inlineStr">
        <is>
          <t>Программное обеспечение — одной строкой</t>
        </is>
      </c>
    </row>
    <row r="39">
      <c r="A39" s="229" t="inlineStr">
        <is>
          <t>Обустройство места</t>
        </is>
      </c>
      <c r="B39" s="229" t="inlineStr">
        <is>
          <t>Обустройство рабочего места</t>
        </is>
      </c>
    </row>
    <row r="40">
      <c r="A40" s="229" t="inlineStr">
        <is>
          <t>Реклама и продвижение</t>
        </is>
      </c>
      <c r="B40" s="229" t="inlineStr">
        <is>
          <t>Продвижение и реклама</t>
        </is>
      </c>
    </row>
    <row r="41">
      <c r="A41" s="229" t="inlineStr">
        <is>
          <t>Аренда и коммунальные</t>
        </is>
      </c>
      <c r="B41" s="229" t="inlineStr">
        <is>
          <t>Содержание рабочего места</t>
        </is>
      </c>
    </row>
    <row r="42">
      <c r="A42" s="229" t="inlineStr">
        <is>
          <t>Банк и РКО + Эквайринг</t>
        </is>
      </c>
      <c r="B42" s="229" t="inlineStr">
        <is>
          <t>Банк и РКО — эквайринг входит сюда, в налогах не дублируется</t>
        </is>
      </c>
    </row>
    <row r="43">
      <c r="A43" s="229" t="inlineStr">
        <is>
          <t>Съёмка на площадке</t>
        </is>
      </c>
      <c r="B43" s="229" t="inlineStr">
        <is>
          <t>Съёмочных часов</t>
        </is>
      </c>
    </row>
    <row r="44">
      <c r="A44" s="229" t="inlineStr">
        <is>
          <t>Обработка материала</t>
        </is>
      </c>
      <c r="B44" s="229" t="inlineStr">
        <is>
          <t>Часов на обработку</t>
        </is>
      </c>
    </row>
    <row r="45">
      <c r="A45" s="229" t="inlineStr">
        <is>
          <t>Продвижение</t>
        </is>
      </c>
      <c r="B45" s="229" t="inlineStr">
        <is>
          <t>Часов на продвижение и рекламу</t>
        </is>
      </c>
    </row>
    <row r="46">
      <c r="A46" s="229" t="inlineStr">
        <is>
          <t>Работа с клиентом</t>
        </is>
      </c>
      <c r="B46" s="229" t="inlineStr">
        <is>
          <t>Часов на работу с клиентом</t>
        </is>
      </c>
    </row>
    <row r="47">
      <c r="A47" s="229" t="inlineStr">
        <is>
          <t>Учёт и отчётность</t>
        </is>
      </c>
      <c r="B47" s="229" t="inlineStr">
        <is>
          <t>Часов на учёт и отчётность</t>
        </is>
      </c>
    </row>
    <row r="48">
      <c r="A48" s="229" t="inlineStr">
        <is>
          <t>Рабочие паузы</t>
        </is>
      </c>
      <c r="B48" s="229" t="inlineStr">
        <is>
          <t>Часов на рабочие паузы</t>
        </is>
      </c>
    </row>
    <row r="49">
      <c r="A49" s="229" t="inlineStr">
        <is>
          <t>Резерв на форс-мажоры</t>
        </is>
      </c>
      <c r="B49" s="229" t="inlineStr">
        <is>
          <t>Часов на форс-мажоры</t>
        </is>
      </c>
    </row>
    <row r="50">
      <c r="A50" s="229" t="inlineStr">
        <is>
          <t>Длительность съёмки</t>
        </is>
      </c>
      <c r="B50" s="229" t="inlineStr">
        <is>
          <t>Продолжительность съёмки</t>
        </is>
      </c>
    </row>
    <row r="51">
      <c r="A51" s="229" t="inlineStr">
        <is>
          <t>Время на один проект</t>
        </is>
      </c>
      <c r="B51" s="229" t="inlineStr">
        <is>
          <t>Время на один съёмочный проект</t>
        </is>
      </c>
    </row>
    <row r="52">
      <c r="A52" s="229" t="inlineStr">
        <is>
          <t>Кадров с часа съёмки</t>
        </is>
      </c>
      <c r="B52" s="229" t="inlineStr">
        <is>
          <t>Готовых кадров с часа съёмки</t>
        </is>
      </c>
    </row>
    <row r="53">
      <c r="A53" s="229" t="inlineStr">
        <is>
          <t>Стоимость одной съёмки</t>
        </is>
      </c>
      <c r="B53" s="229" t="inlineStr">
        <is>
          <t>Стоимость одного съёмочного проекта</t>
        </is>
      </c>
    </row>
    <row r="54">
      <c r="A54" s="229" t="inlineStr">
        <is>
          <t>Ваша текущая ставка</t>
        </is>
      </c>
      <c r="B54" s="229" t="inlineStr">
        <is>
          <t>УДАЛЕНА — заменена на «Стоимость одного готового кадра»</t>
        </is>
      </c>
    </row>
  </sheetData>
  <mergeCells count="4">
    <mergeCell ref="A32:B32"/>
    <mergeCell ref="A2:B2"/>
    <mergeCell ref="A1:B1"/>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02_Параметры</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FormatPr defaultRowHeight="15"/>
  <cols>
    <col min="1" max="1" width="14" customWidth="1"/>
    <col min="2" max="2" width="34" customWidth="1"/>
    <col min="3" max="6" width="46" customWidth="1"/>
  </cols>
  <sheetData>
    <row r="1">
      <c r="A1" t="inlineStr">
        <is>
          <t xml:space="preserve">Дата</t>
        </is>
      </c>
      <c r="B1" t="inlineStr">
        <is>
          <t xml:space="preserve">Что изменили</t>
        </is>
      </c>
      <c r="C1" t="inlineStr">
        <is>
          <t xml:space="preserve">Как считается теперь</t>
        </is>
      </c>
      <c r="D1" t="inlineStr">
        <is>
          <t xml:space="preserve">Почему</t>
        </is>
      </c>
      <c r="E1" t="inlineStr">
        <is>
          <t xml:space="preserve">Где отражено</t>
        </is>
      </c>
      <c r="F1" t="inlineStr">
        <is>
          <t xml:space="preserve">Статус</t>
        </is>
      </c>
    </row>
    <row r="2">
      <c r="A2" t="inlineStr">
        <is>
          <t xml:space="preserve">18.08.2026</t>
        </is>
      </c>
      <c r="B2" t="inlineStr">
        <is>
          <t xml:space="preserve">Окупаемость камеры</t>
        </is>
      </c>
      <c r="C2" t="inlineStr">
        <is>
          <t xml:space="preserve">Цена камеры ÷ ((доход на руки за год + амортизация камеры) ÷ проектов за год) = 166 999 ÷ 6 363 = 26,2 съёмки (1,5 мес)</t>
        </is>
      </c>
      <c r="D2" t="inlineStr">
        <is>
          <t xml:space="preserve">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 xml:space="preserve">Детализация, таблица 03; справочник — статьи «Окупаемость», «Денежный поток»</t>
        </is>
      </c>
      <c r="F2" t="inlineStr">
        <is>
          <t xml:space="preserve">в книгу не внесено</t>
        </is>
      </c>
    </row>
    <row r="3">
      <c r="A3" t="inlineStr">
        <is>
          <t xml:space="preserve">18.08.2026</t>
        </is>
      </c>
      <c r="B3" t="inlineStr">
        <is>
          <t xml:space="preserve">Цена камеры / выручка за съёмку</t>
        </is>
      </c>
      <c r="C3" t="inlineStr">
        <is>
          <t xml:space="preserve">Цена камеры ÷ (выручка ÷ проектов за год) = 17,7 съёмки</t>
        </is>
      </c>
      <c r="D3" t="inlineStr">
        <is>
          <t xml:space="preserve">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 xml:space="preserve">Детализация, таблица 03</t>
        </is>
      </c>
      <c r="F3" t="inlineStr">
        <is>
          <t xml:space="preserve">в книгу не внесено</t>
        </is>
      </c>
    </row>
    <row r="4">
      <c r="A4" t="inlineStr">
        <is>
          <t xml:space="preserve">18.08.2026</t>
        </is>
      </c>
      <c r="B4" t="inlineStr">
        <is>
          <t xml:space="preserve">Срабатываний затвора за 1 час</t>
        </is>
      </c>
      <c r="C4" t="inlineStr">
        <is>
          <t xml:space="preserve">Новое поле анкеты, по умолчанию 350 (Canon EOS R6 Mark II)</t>
        </is>
      </c>
      <c r="D4" t="inlineStr">
        <is>
          <t xml:space="preserve">Позволяет считать износ камеры и выработку ресурса затвора</t>
        </is>
      </c>
      <c r="E4" t="inlineStr">
        <is>
          <t xml:space="preserve">Анкета блок 04; детализация, таблицы 01 и 03</t>
        </is>
      </c>
      <c r="F4" t="inlineStr">
        <is>
          <t xml:space="preserve">в анкету не внесено</t>
        </is>
      </c>
    </row>
    <row r="5">
      <c r="A5" t="inlineStr">
        <is>
          <t xml:space="preserve">18.08.2026</t>
        </is>
      </c>
      <c r="B5" t="inlineStr">
        <is>
          <t xml:space="preserve">Ресурс затвора</t>
        </is>
      </c>
      <c r="C5" t="inlineStr">
        <is>
          <t xml:space="preserve">Новое поле анкеты, по умолчанию 300 000 срабатываний</t>
        </is>
      </c>
      <c r="D5" t="inlineStr">
        <is>
          <t xml:space="preserve">Заявленный ресурс у каждой камеры свой, зашивать в код нельзя</t>
        </is>
      </c>
      <c r="E5" t="inlineStr">
        <is>
          <t xml:space="preserve">Анкета блок 04; детализация, таблицы 01 и 03</t>
        </is>
      </c>
      <c r="F5" t="inlineStr">
        <is>
          <t xml:space="preserve">в анкету не внесено</t>
        </is>
      </c>
    </row>
    <row r="6">
      <c r="A6" t="inlineStr">
        <is>
          <t xml:space="preserve">18.08.2026</t>
        </is>
      </c>
      <c r="B6" t="inlineStr">
        <is>
          <t xml:space="preserve">Износ камеры</t>
        </is>
      </c>
      <c r="C6" t="inlineStr">
        <is>
          <t xml:space="preserve">Амортизация тушки за год ÷ срабатываний за год = 55 666 ÷ 75 810 = 0,73 ₽ за срабатывание; 257 ₽ за съёмку</t>
        </is>
      </c>
      <c r="D6" t="inlineStr">
        <is>
          <t xml:space="preserve">Показывает износ в деньгах на одну съёмку</t>
        </is>
      </c>
      <c r="E6" t="inlineStr">
        <is>
          <t xml:space="preserve">Детализация, таблица 03</t>
        </is>
      </c>
      <c r="F6" t="inlineStr">
        <is>
          <t xml:space="preserve">в книгу не внесено</t>
        </is>
      </c>
    </row>
    <row r="7">
      <c r="A7" t="inlineStr">
        <is>
          <t xml:space="preserve">18.08.2026</t>
        </is>
      </c>
      <c r="B7" t="inlineStr">
        <is>
          <t xml:space="preserve">Выработка ресурса затвора</t>
        </is>
      </c>
      <c r="C7" t="inlineStr">
        <is>
          <t xml:space="preserve">Срабатываний за год ÷ ресурс = 75 810 ÷ 300 000 = 25,3 % в год, ресурса хватит на 4 года</t>
        </is>
      </c>
      <c r="D7" t="inlineStr">
        <is>
          <t xml:space="preserve">Проверка срока амортизации камеры: разносим на 3 года, ресурс кончится через 4 — срок взят осторожно</t>
        </is>
      </c>
      <c r="E7" t="inlineStr">
        <is>
          <t xml:space="preserve">Детализация, таблица 03</t>
        </is>
      </c>
      <c r="F7" t="inlineStr">
        <is>
          <t xml:space="preserve">в книгу не внесено</t>
        </is>
      </c>
    </row>
    <row r="8">
      <c r="A8" t="inlineStr">
        <is>
          <t xml:space="preserve">18.08.2026</t>
        </is>
      </c>
      <c r="B8" t="inlineStr">
        <is>
          <t xml:space="preserve">Себестоимость часа съёмки</t>
        </is>
      </c>
      <c r="C8" t="inlineStr">
        <is>
          <t xml:space="preserve">(расходы дела + налог + комиссия) ÷ съёмочных часов = 3 324 ₽</t>
        </is>
      </c>
      <c r="D8" t="inlineStr">
        <is>
          <t xml:space="preserve">Нужна, чтобы показать наценку и границу цены</t>
        </is>
      </c>
      <c r="E8" t="inlineStr">
        <is>
          <t xml:space="preserve">Детализация, таблица 08</t>
        </is>
      </c>
      <c r="F8" t="inlineStr">
        <is>
          <t xml:space="preserve">в книгу не внесено</t>
        </is>
      </c>
    </row>
    <row r="9">
      <c r="A9" t="inlineStr">
        <is>
          <t xml:space="preserve">18.08.2026</t>
        </is>
      </c>
      <c r="B9" t="inlineStr">
        <is>
          <t xml:space="preserve">Наценка к себестоимости</t>
        </is>
      </c>
      <c r="C9" t="inlineStr">
        <is>
          <t xml:space="preserve">Ставка ÷ себестоимость − 1 = 183,7 %</t>
        </is>
      </c>
      <c r="D9" t="inlineStr">
        <is>
          <t xml:space="preserve">—</t>
        </is>
      </c>
      <c r="E9" t="inlineStr">
        <is>
          <t xml:space="preserve">Детализация, таблица 08</t>
        </is>
      </c>
      <c r="F9" t="inlineStr">
        <is>
          <t xml:space="preserve">в книгу не внесено</t>
        </is>
      </c>
    </row>
    <row r="10">
      <c r="A10" t="inlineStr">
        <is>
          <t xml:space="preserve">18.08.2026</t>
        </is>
      </c>
      <c r="B10" t="inlineStr">
        <is>
          <t xml:space="preserve">Запас прочности</t>
        </is>
      </c>
      <c r="C10" t="inlineStr">
        <is>
          <t xml:space="preserve">1 − выручка в ноль ÷ выручка = 70,2 %</t>
        </is>
      </c>
      <c r="D10" t="inlineStr">
        <is>
          <t xml:space="preserve">На столько может упасть выручка, прежде чем доход станет нулевым</t>
        </is>
      </c>
      <c r="E10" t="inlineStr">
        <is>
          <t xml:space="preserve">Детализация, таблица 08</t>
        </is>
      </c>
      <c r="F10" t="inlineStr">
        <is>
          <t xml:space="preserve">в книгу не внесено</t>
        </is>
      </c>
    </row>
    <row r="11">
      <c r="A11" t="inlineStr">
        <is>
          <t xml:space="preserve">18.08.2026</t>
        </is>
      </c>
      <c r="B11" t="inlineStr">
        <is>
          <t xml:space="preserve">Съёмок / выход в ноль</t>
        </is>
      </c>
      <c r="C11" t="inlineStr">
        <is>
          <t xml:space="preserve">Выручка в ноль ÷ цена проекта. При текущей ставке 101,6; при желаемой 64,6</t>
        </is>
      </c>
      <c r="D11" t="inlineStr">
        <is>
          <t xml:space="preserve">Понятнее, чем проценты: сколько съёмок уходит только на покрытие расходов</t>
        </is>
      </c>
      <c r="E11" t="inlineStr">
        <is>
          <t xml:space="preserve">Детализация, таблица 08</t>
        </is>
      </c>
      <c r="F11" t="inlineStr">
        <is>
          <t xml:space="preserve">в книгу не внесено</t>
        </is>
      </c>
    </row>
    <row r="12">
      <c r="A12" t="inlineStr">
        <is>
          <t xml:space="preserve">18.08.2026</t>
        </is>
      </c>
      <c r="B12" t="inlineStr">
        <is>
          <t xml:space="preserve">Календарь года развёрнут</t>
        </is>
      </c>
      <c r="C12" t="inlineStr">
        <is>
          <t xml:space="preserve">365 календарных = 104 выходных + 14 праздничных + 247 рабочих; 247 − 20 (отпуск) − 8 (больничные) = 219</t>
        </is>
      </c>
      <c r="D12" t="inlineStr">
        <is>
          <t xml:space="preserve">Раньше в отчёте было только 247/20/8, и цепочка не сходилась на глаз. Отпуск 28 календарных дней = 20 рабочих, больничные 10 = 8 рабочих</t>
        </is>
      </c>
      <c r="E12" t="inlineStr">
        <is>
          <t xml:space="preserve">Детализация, таблица 02</t>
        </is>
      </c>
      <c r="F12" t="inlineStr">
        <is>
          <t xml:space="preserve">в книгу не внесено</t>
        </is>
      </c>
    </row>
    <row r="13">
      <c r="A13" t="inlineStr">
        <is>
          <t xml:space="preserve">18.08.2026</t>
        </is>
      </c>
      <c r="B13" t="inlineStr">
        <is>
          <t xml:space="preserve">Демо-набор отчёта</t>
        </is>
      </c>
      <c r="C13" t="inlineStr">
        <is>
          <t xml:space="preserve">Пересобирается скриптом web/части/демо.py из настоящего calc()</t>
        </is>
      </c>
      <c r="D13" t="inlineStr">
        <is>
          <t xml:space="preserve">Вручную вписанные числа отстали от анкеты: ставка в ноль показывалась 3 331 ₽ вместо 2 814 ₽</t>
        </is>
      </c>
      <c r="E13" t="inlineStr">
        <is>
          <t xml:space="preserve">report.html, части/каркас.html, проверка в проверить.py</t>
        </is>
      </c>
      <c r="F13" t="inlineStr">
        <is>
          <t xml:space="preserve">сделано</t>
        </is>
      </c>
    </row>
    <row r="14">
      <c r="A14" t="inlineStr">
        <is>
          <t xml:space="preserve">18.08.2026</t>
        </is>
      </c>
      <c r="B14" t="inlineStr">
        <is>
          <t xml:space="preserve">Налоги внутри расходов</t>
        </is>
      </c>
      <c r="C14" t="inlineStr">
        <is>
          <t xml:space="preserve">Всего расходов = расходы дела + налог + взносы + комиссия = 719 943 ₽</t>
        </is>
      </c>
      <c r="D14" t="inlineStr">
        <is>
          <t xml:space="preserve">Налог и комиссия — такие же траты; выручка − расходы = доход на руки одной строкой</t>
        </is>
      </c>
      <c r="E14" t="inlineStr">
        <is>
          <t xml:space="preserve">Детализация, таблицы 04 и 05</t>
        </is>
      </c>
      <c r="F14" t="inlineStr">
        <is>
          <t xml:space="preserve">в книгу не внесено</t>
        </is>
      </c>
    </row>
  </sheetData>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Фактическая стоимость часа работы</t>
        </is>
      </c>
      <c r="E8" t="inlineStr">
        <is>
          <t xml:space="preserve">₽/ч</t>
        </is>
      </c>
      <c r="F8" t="inlineStr">
        <is>
          <t xml:space="preserve">Доход на руки за год делится на рабочее время: рабочие дни × 8 часов. в книге нет параметра — достроить.</t>
        </is>
      </c>
      <c r="G8">
        <v>754.9</v>
      </c>
    </row>
    <row r="9">
      <c r="A9" t="inlineStr">
        <is>
          <t xml:space="preserve">3</t>
        </is>
      </c>
      <c r="B9" t="inlineStr">
        <is>
          <t xml:space="preserve">Первый экран</t>
        </is>
      </c>
      <c r="C9" t="inlineStr">
        <is>
          <t xml:space="preserve">Полная стоимость часа работы</t>
        </is>
      </c>
      <c r="D9">
        <f>full_hour_rate</f>
        <v>1332.3776738070721</v>
      </c>
      <c r="E9" t="inlineStr">
        <is>
          <t xml:space="preserve">₽/ч</t>
        </is>
      </c>
      <c r="F9" t="inlineStr">
        <is>
          <t xml:space="preserve">Выручка за год делится на рабочее время. В книге сейчас делится на эффективное время (1 533 ч), в калькуляторе — на рабочее (1 752 ч). Расхождение, задача З-006.</t>
        </is>
      </c>
      <c r="G9">
        <v>1165.83</v>
      </c>
      <c r="H9" t="str">
        <f>IF(D9="","—",IF(ABS(D9-G9)&lt;1,"да","НЕТ"))</f>
        <v>НЕТ</v>
      </c>
    </row>
    <row r="10">
      <c r="A10" t="inlineStr">
        <is>
          <t xml:space="preserve">4</t>
        </is>
      </c>
      <c r="B10" t="inlineStr">
        <is>
          <t xml:space="preserve">Первый экран</t>
        </is>
      </c>
      <c r="C10" t="inlineStr">
        <is>
          <t xml:space="preserve">Стоимость клиентского часа</t>
        </is>
      </c>
      <c r="D10">
        <f>hour_pool</f>
        <v>1885.9972058598723</v>
      </c>
      <c r="E10" t="inlineStr">
        <is>
          <t xml:space="preserve">₽/ч</t>
        </is>
      </c>
      <c r="F10" t="inlineStr">
        <is>
          <t xml:space="preserve">Выручка за год делится на проектное время — часы, остающиеся на выполнение заказов.</t>
        </is>
      </c>
      <c r="G10">
        <v>1886.0</v>
      </c>
      <c r="H10" t="str">
        <f>IF(D10="","—",IF(ABS(D10-G10)&lt;1,"да","НЕТ"))</f>
        <v>да</v>
      </c>
    </row>
    <row r="11">
      <c r="A11" t="inlineStr">
        <is>
          <t xml:space="preserve">5</t>
        </is>
      </c>
      <c r="B11" t="inlineStr">
        <is>
          <t xml:space="preserve">Первый экран</t>
        </is>
      </c>
      <c r="C11" t="inlineStr">
        <is>
          <t xml:space="preserve">Доход на руки</t>
        </is>
      </c>
      <c r="D11">
        <f>target_income</f>
        <v>1322592.0</v>
      </c>
      <c r="E11" t="inlineStr">
        <is>
          <t xml:space="preserve">₽/год</t>
        </is>
      </c>
      <c r="F11" t="inlineStr">
        <is>
          <t xml:space="preserve">Желаемый доход в месяц × 12. Точка отсчёта всего расчёта.</t>
        </is>
      </c>
      <c r="G11">
        <v>1322592</v>
      </c>
      <c r="H11" t="str">
        <f>IF(D11="","—",IF(ABS(D11-G11)&lt;1,"да","НЕТ"))</f>
        <v>да</v>
      </c>
    </row>
    <row r="12">
      <c r="A12" t="inlineStr">
        <is>
          <t xml:space="preserve">6</t>
        </is>
      </c>
      <c r="B12" t="inlineStr">
        <is>
          <t xml:space="preserve">Первый экран</t>
        </is>
      </c>
      <c r="C12" t="inlineStr">
        <is>
          <t xml:space="preserve">Доход на руки</t>
        </is>
      </c>
      <c r="D12">
        <f>target_income/months</f>
        <v>110216.0</v>
      </c>
      <c r="E12" t="inlineStr">
        <is>
          <t xml:space="preserve">₽/мес</t>
        </is>
      </c>
      <c r="F12" t="inlineStr">
        <is>
          <t xml:space="preserve">Сумма, которую человек указал в анкете.</t>
        </is>
      </c>
      <c r="G12">
        <v>110216.0</v>
      </c>
      <c r="H12" t="str">
        <f>IF(D12="","—",IF(ABS(D12-G12)&lt;1,"да","НЕТ"))</f>
        <v>да</v>
      </c>
    </row>
    <row r="13">
      <c r="A13" t="inlineStr">
        <is>
          <t xml:space="preserve">7</t>
        </is>
      </c>
      <c r="B13" t="inlineStr">
        <is>
          <t xml:space="preserve">Первый экран</t>
        </is>
      </c>
      <c r="C13" t="inlineStr">
        <is>
          <t xml:space="preserve">Выручка</t>
        </is>
      </c>
      <c r="D13">
        <f>'04_Итог'!B8</f>
        <v>2042534.9739462417</v>
      </c>
      <c r="E13" t="inlineStr">
        <is>
          <t xml:space="preserve">₽/год</t>
        </is>
      </c>
      <c r="F13" t="inlineStr">
        <is>
          <t xml:space="preserve">Сколько нужно выставить клиентам, чтобы после расходов, налогов и эквайринга остался желаемый доход.</t>
        </is>
      </c>
      <c r="G13">
        <v>2042534.97</v>
      </c>
      <c r="H13" t="str">
        <f>IF(D13="","—",IF(ABS(D13-G13)&lt;1,"да","НЕТ"))</f>
        <v>да</v>
      </c>
    </row>
    <row r="14">
      <c r="A14" t="inlineStr">
        <is>
          <t xml:space="preserve">8</t>
        </is>
      </c>
      <c r="B14" t="inlineStr">
        <is>
          <t xml:space="preserve">Первый экран</t>
        </is>
      </c>
      <c r="C14" t="inlineStr">
        <is>
          <t xml:space="preserve">Выручка</t>
        </is>
      </c>
      <c r="D14">
        <f>'04_Итог'!B9</f>
        <v>170211.24782885346</v>
      </c>
      <c r="E14" t="inlineStr">
        <is>
          <t xml:space="preserve">₽/мес</t>
        </is>
      </c>
      <c r="F14" t="inlineStr">
        <is>
          <t xml:space="preserve">Выручка за год ÷ 12.</t>
        </is>
      </c>
      <c r="G14">
        <v>170211.25</v>
      </c>
      <c r="H14" t="str">
        <f>IF(D14="","—",IF(ABS(D14-G14)&lt;1,"да","НЕТ"))</f>
        <v>да</v>
      </c>
    </row>
    <row r="15">
      <c r="A15" t="inlineStr">
        <is>
          <t xml:space="preserve">9</t>
        </is>
      </c>
      <c r="B15" t="inlineStr">
        <is>
          <t xml:space="preserve">Первый экран</t>
        </is>
      </c>
      <c r="C15" t="inlineStr">
        <is>
          <t xml:space="preserve">Всего расходов</t>
        </is>
      </c>
      <c r="D15">
        <f>total_costs+CHOOSE(regime_no,'05_Расчёт'!B15,'05_Расчёт'!C15,'05_Расчёт'!D15,'05_Расчёт'!E15,'05_Расчёт'!F15,'05_Расчёт'!G15,'05_Расчёт'!H15)+'04_Итог'!B8*acquiring</f>
        <v>719942.9739462415</v>
      </c>
      <c r="E15" t="inlineStr">
        <is>
          <t xml:space="preserve">₽/год</t>
        </is>
      </c>
      <c r="F15" t="inlineStr">
        <is>
          <t xml:space="preserve">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5">
        <v>719942.97</v>
      </c>
      <c r="H15" t="str">
        <f>IF(D15="","—",IF(ABS(D15-G15)&lt;1,"да","НЕТ"))</f>
        <v>да</v>
      </c>
    </row>
    <row r="16"/>
    <row r="17">
      <c r="A17" t="inlineStr">
        <is>
          <t xml:space="preserve">ВРЕМЯ</t>
        </is>
      </c>
    </row>
    <row r="18">
      <c r="A18" t="inlineStr">
        <is>
          <t xml:space="preserve">10</t>
        </is>
      </c>
      <c r="B18" t="inlineStr">
        <is>
          <t xml:space="preserve">Время</t>
        </is>
      </c>
      <c r="C18" t="inlineStr">
        <is>
          <t xml:space="preserve">Рабочее время</t>
        </is>
      </c>
      <c r="D18">
        <f>work_days*nominal_hours</f>
        <v>1976.0</v>
      </c>
      <c r="E18" t="inlineStr">
        <is>
          <t xml:space="preserve">ч/год</t>
        </is>
      </c>
      <c r="F18" t="inlineStr">
        <is>
          <t xml:space="preserve">Рабочие дни производственного календаря × 8 часов. Верхняя граница: всё время, которое человек проводит в работе.</t>
        </is>
      </c>
      <c r="G18">
        <v>1752</v>
      </c>
      <c r="H18" t="str">
        <f>IF(D18="","—",IF(ABS(D18-G18)&lt;1,"да","НЕТ"))</f>
        <v>НЕТ</v>
      </c>
    </row>
    <row r="19">
      <c r="A19" t="inlineStr">
        <is>
          <t xml:space="preserve">11</t>
        </is>
      </c>
      <c r="B19" t="inlineStr">
        <is>
          <t xml:space="preserve">Время</t>
        </is>
      </c>
      <c r="C19" t="inlineStr">
        <is>
          <t xml:space="preserve">Эффективное рабочее время</t>
        </is>
      </c>
      <c r="D19">
        <f>net_time</f>
        <v>1533.0</v>
      </c>
      <c r="E19" t="inlineStr">
        <is>
          <t xml:space="preserve">ч/год</t>
        </is>
      </c>
      <c r="F19" t="inlineStr">
        <is>
          <t xml:space="preserve">Рабочие дни минус отпуск и больничный, умноженные на 7 эффективных часов.</t>
        </is>
      </c>
      <c r="G19">
        <v>1533</v>
      </c>
      <c r="H19" t="str">
        <f>IF(D19="","—",IF(ABS(D19-G19)&lt;1,"да","НЕТ"))</f>
        <v>да</v>
      </c>
    </row>
    <row r="20">
      <c r="A20" t="inlineStr">
        <is>
          <t xml:space="preserve">12</t>
        </is>
      </c>
      <c r="B20" t="inlineStr">
        <is>
          <t xml:space="preserve">Время</t>
        </is>
      </c>
      <c r="C20" t="inlineStr">
        <is>
          <t xml:space="preserve">Съёмка</t>
        </is>
      </c>
      <c r="D20">
        <f>shooting_time</f>
        <v>216.6</v>
      </c>
      <c r="E20" t="inlineStr">
        <is>
          <t xml:space="preserve">ч/год</t>
        </is>
      </c>
      <c r="F20" t="inlineStr">
        <is>
          <t xml:space="preserve">Проектов за год × продолжительность одной съёмки. Единственные часы, которые клиент оплачивает напрямую.</t>
        </is>
      </c>
      <c r="G20">
        <v>216.6</v>
      </c>
      <c r="H20" t="str">
        <f>IF(D20="","—",IF(ABS(D20-G20)&lt;1,"да","НЕТ"))</f>
        <v>да</v>
      </c>
    </row>
    <row r="21">
      <c r="A21" t="inlineStr">
        <is>
          <t xml:space="preserve">13</t>
        </is>
      </c>
      <c r="B21" t="inlineStr">
        <is>
          <t xml:space="preserve">Время</t>
        </is>
      </c>
      <c r="C21" t="inlineStr">
        <is>
          <t xml:space="preserve">Постпродакшн</t>
        </is>
      </c>
      <c r="D21">
        <f>post_time</f>
        <v>649.8</v>
      </c>
      <c r="E21" t="inlineStr">
        <is>
          <t xml:space="preserve">ч/год</t>
        </is>
      </c>
      <c r="F21" t="inlineStr">
        <is>
          <t xml:space="preserve">Съёмочные часы × коэффициент обработки.</t>
        </is>
      </c>
      <c r="G21">
        <v>649.8</v>
      </c>
      <c r="H21" t="str">
        <f>IF(D21="","—",IF(ABS(D21-G21)&lt;1,"да","НЕТ"))</f>
        <v>да</v>
      </c>
    </row>
    <row r="22">
      <c r="A22" t="inlineStr">
        <is>
          <t xml:space="preserve">14</t>
        </is>
      </c>
      <c r="B22" t="inlineStr">
        <is>
          <t xml:space="preserve">Время</t>
        </is>
      </c>
      <c r="C22" t="inlineStr">
        <is>
          <t xml:space="preserve">Проектная работа с клиентами</t>
        </is>
      </c>
      <c r="D22">
        <f>client_total</f>
        <v>216.6</v>
      </c>
      <c r="E22" t="inlineStr">
        <is>
          <t xml:space="preserve">ч/год</t>
        </is>
      </c>
      <c r="F22" t="inlineStr">
        <is>
          <t xml:space="preserve">Проектов за год × время на одного клиента: обсуждение задачи, согласование условий, подготовка, передача результата.</t>
        </is>
      </c>
      <c r="G22">
        <v>216.6</v>
      </c>
      <c r="H22" t="str">
        <f>IF(D22="","—",IF(ABS(D22-G22)&lt;1,"да","НЕТ"))</f>
        <v>да</v>
      </c>
    </row>
    <row r="23">
      <c r="A23" t="inlineStr">
        <is>
          <t xml:space="preserve">15</t>
        </is>
      </c>
      <c r="B23" t="inlineStr">
        <is>
          <t xml:space="preserve">Время</t>
        </is>
      </c>
      <c r="C23" t="inlineStr">
        <is>
          <t xml:space="preserve">Поиск заказов</t>
        </is>
      </c>
      <c r="D23">
        <f>promo_time</f>
        <v>438.0</v>
      </c>
      <c r="E23" t="inlineStr">
        <is>
          <t xml:space="preserve">ч/год</t>
        </is>
      </c>
      <c r="F23" t="inlineStr">
        <is>
          <t xml:space="preserve">Часов в день на поиск заказов × рабочие дни.</t>
        </is>
      </c>
      <c r="G23">
        <v>438</v>
      </c>
      <c r="H23" t="str">
        <f>IF(D23="","—",IF(ABS(D23-G23)&lt;1,"да","НЕТ"))</f>
        <v>да</v>
      </c>
    </row>
    <row r="24">
      <c r="A24" t="inlineStr">
        <is>
          <t xml:space="preserve">16</t>
        </is>
      </c>
      <c r="B24" t="inlineStr">
        <is>
          <t xml:space="preserve">Время</t>
        </is>
      </c>
      <c r="C24" t="inlineStr">
        <is>
          <t xml:space="preserve">Учёт</t>
        </is>
      </c>
      <c r="D24">
        <f>accounting_time</f>
        <v>12.0</v>
      </c>
      <c r="E24" t="inlineStr">
        <is>
          <t xml:space="preserve">ч/год</t>
        </is>
      </c>
      <c r="F24" t="inlineStr">
        <is>
          <t xml:space="preserve">Часов в квартал × 4. Если нанят специалист — ноль, вместо часов появляются деньги.</t>
        </is>
      </c>
      <c r="G24">
        <v>12</v>
      </c>
      <c r="H24" t="str">
        <f>IF(D24="","—",IF(ABS(D24-G24)&lt;1,"да","НЕТ"))</f>
        <v>да</v>
      </c>
    </row>
    <row r="25">
      <c r="A25" t="inlineStr">
        <is>
          <t xml:space="preserve">17</t>
        </is>
      </c>
      <c r="B25" t="inlineStr">
        <is>
          <t xml:space="preserve">Время</t>
        </is>
      </c>
      <c r="C25" t="inlineStr">
        <is>
          <t xml:space="preserve">Рабочие паузы</t>
        </is>
      </c>
      <c r="D25">
        <f>idle_time</f>
        <v>219.0</v>
      </c>
      <c r="E25" t="inlineStr">
        <is>
          <t xml:space="preserve">ч/год</t>
        </is>
      </c>
      <c r="F25" t="inlineStr">
        <is>
          <t xml:space="preserve">Разница между рабочим днём и эффективным: рабочие дни × 1 час.</t>
        </is>
      </c>
      <c r="G25">
        <v>219</v>
      </c>
      <c r="H25" t="str">
        <f>IF(D25="","—",IF(ABS(D25-G25)&lt;1,"да","НЕТ"))</f>
        <v>да</v>
      </c>
    </row>
    <row r="26">
      <c r="A26" t="inlineStr">
        <is>
          <t xml:space="preserve">18</t>
        </is>
      </c>
      <c r="B26" t="inlineStr">
        <is>
          <t xml:space="preserve">Время</t>
        </is>
      </c>
      <c r="C26" t="inlineStr">
        <is>
          <t xml:space="preserve">Резерв времени на форс-мажоры</t>
        </is>
      </c>
      <c r="D26">
        <f>fm_time</f>
        <v>0.0</v>
      </c>
      <c r="E26" t="inlineStr">
        <is>
          <t xml:space="preserve">ч/год</t>
        </is>
      </c>
      <c r="F26" t="inlineStr">
        <is>
          <t xml:space="preserve">Процент от времени на заказы. По умолчанию выключен.</t>
        </is>
      </c>
      <c r="G26">
        <v>0</v>
      </c>
      <c r="H26" t="str">
        <f>IF(D26="","—",IF(ABS(D26-G26)&lt;1,"да","НЕТ"))</f>
        <v>да</v>
      </c>
    </row>
    <row r="27">
      <c r="A27" t="inlineStr">
        <is>
          <t xml:space="preserve">19</t>
        </is>
      </c>
      <c r="B27" t="inlineStr">
        <is>
          <t xml:space="preserve">Время</t>
        </is>
      </c>
      <c r="C27" t="inlineStr">
        <is>
          <t xml:space="preserve">Проектное время</t>
        </is>
      </c>
      <c r="D27">
        <f>project_pool</f>
        <v>1083.0</v>
      </c>
      <c r="E27" t="inlineStr">
        <is>
          <t xml:space="preserve">ч/год</t>
        </is>
      </c>
      <c r="F27" t="inlineStr">
        <is>
          <t xml:space="preserve">Эффективное рабочее время минус операционное время и резерв на форс-мажоры.</t>
        </is>
      </c>
      <c r="G27">
        <v>1083</v>
      </c>
      <c r="H27" t="str">
        <f>IF(D27="","—",IF(ABS(D27-G27)&lt;1,"да","НЕТ"))</f>
        <v>да</v>
      </c>
    </row>
    <row r="28">
      <c r="A28" t="inlineStr">
        <is>
          <t xml:space="preserve">20</t>
        </is>
      </c>
      <c r="B28" t="inlineStr">
        <is>
          <t xml:space="preserve">Время</t>
        </is>
      </c>
      <c r="C28" t="inlineStr">
        <is>
          <t xml:space="preserve">Съёмочных проектов</t>
        </is>
      </c>
      <c r="D28">
        <f>projects_year</f>
        <v>216.6</v>
      </c>
      <c r="E28" t="inlineStr">
        <is>
          <t xml:space="preserve">шт/год</t>
        </is>
      </c>
      <c r="F28" t="inlineStr">
        <is>
          <t xml:space="preserve">Проектное время ÷ время на один проект.</t>
        </is>
      </c>
      <c r="G28">
        <v>216.6</v>
      </c>
      <c r="H28" t="str">
        <f>IF(D28="","—",IF(ABS(D28-G28)&lt;1,"да","НЕТ"))</f>
        <v>да</v>
      </c>
    </row>
    <row r="29"/>
    <row r="30">
      <c r="A30" t="inlineStr">
        <is>
          <t xml:space="preserve">ДЕНЬГИ</t>
        </is>
      </c>
    </row>
    <row r="31">
      <c r="A31" t="inlineStr">
        <is>
          <t xml:space="preserve">21</t>
        </is>
      </c>
      <c r="B31" t="inlineStr">
        <is>
          <t xml:space="preserve">Деньги</t>
        </is>
      </c>
      <c r="C31" t="inlineStr">
        <is>
          <t xml:space="preserve">Амортизация</t>
        </is>
      </c>
      <c r="D31">
        <f>investment</f>
        <v>278687.78095238097</v>
      </c>
      <c r="E31" t="inlineStr">
        <is>
          <t xml:space="preserve">₽/год</t>
        </is>
      </c>
      <c r="F31" t="inlineStr">
        <is>
          <t xml:space="preserve">Сумма годовых долей всех разовых покупок: оборудование, ПО, рабочее место, обучение, сайт.</t>
        </is>
      </c>
      <c r="G31">
        <v>278687.78</v>
      </c>
      <c r="H31" t="str">
        <f>IF(D31="","—",IF(ABS(D31-G31)&lt;1,"да","НЕТ"))</f>
        <v>да</v>
      </c>
    </row>
    <row r="32">
      <c r="A32" t="inlineStr">
        <is>
          <t xml:space="preserve">22</t>
        </is>
      </c>
      <c r="B32" t="inlineStr">
        <is>
          <t xml:space="preserve">Деньги</t>
        </is>
      </c>
      <c r="C32" t="inlineStr">
        <is>
          <t xml:space="preserve">Текущие расходы</t>
        </is>
      </c>
      <c r="D32">
        <f>variable_costs</f>
        <v>283980.0</v>
      </c>
      <c r="E32" t="inlineStr">
        <is>
          <t xml:space="preserve">₽/год</t>
        </is>
      </c>
      <c r="F32" t="inlineStr">
        <is>
          <t xml:space="preserve">Регулярные платежи за год: подписки, реклама, банк, содержание рабочего места.</t>
        </is>
      </c>
      <c r="G32">
        <v>283980</v>
      </c>
      <c r="H32" t="str">
        <f>IF(D32="","—",IF(ABS(D32-G32)&lt;1,"да","НЕТ"))</f>
        <v>да</v>
      </c>
    </row>
    <row r="33">
      <c r="A33" t="inlineStr">
        <is>
          <t xml:space="preserve">23</t>
        </is>
      </c>
      <c r="B33" t="inlineStr">
        <is>
          <t xml:space="preserve">Деньги</t>
        </is>
      </c>
      <c r="C33" t="inlineStr">
        <is>
          <t xml:space="preserve">Расходы дела</t>
        </is>
      </c>
      <c r="D33">
        <f>total_costs</f>
        <v>562667.780952381</v>
      </c>
      <c r="E33" t="inlineStr">
        <is>
          <t xml:space="preserve">₽/год</t>
        </is>
      </c>
      <c r="F33" t="inlineStr">
        <is>
          <t xml:space="preserve">Амортизация плюс текущие расходы. Без налогов и эквайринга.</t>
        </is>
      </c>
      <c r="G33">
        <v>562667.78</v>
      </c>
      <c r="H33" t="str">
        <f>IF(D33="","—",IF(ABS(D33-G33)&lt;1,"да","НЕТ"))</f>
        <v>да</v>
      </c>
    </row>
    <row r="34">
      <c r="A34" t="inlineStr">
        <is>
          <t xml:space="preserve">24</t>
        </is>
      </c>
      <c r="B34" t="inlineStr">
        <is>
          <t xml:space="preserve">Деньги</t>
        </is>
      </c>
      <c r="C34" t="inlineStr">
        <is>
          <t xml:space="preserve">Налоги и взносы</t>
        </is>
      </c>
      <c r="D34">
        <f>CHOOSE(regime_no,'05_Расчёт'!B15,'05_Расчёт'!C15,'05_Расчёт'!D15,'05_Расчёт'!E15,'05_Расчёт'!F15,'05_Расчёт'!G15,'05_Расчёт'!H15)</f>
        <v>102126.74869731208</v>
      </c>
      <c r="E34" t="inlineStr">
        <is>
          <t xml:space="preserve">₽/год</t>
        </is>
      </c>
      <c r="F34" t="inlineStr">
        <is>
          <t xml:space="preserve">По выбранному режиму: налог плюс страховые взносы.</t>
        </is>
      </c>
      <c r="G34">
        <v>102126.75</v>
      </c>
      <c r="H34" t="str">
        <f>IF(D34="","—",IF(ABS(D34-G34)&lt;1,"да","НЕТ"))</f>
        <v>да</v>
      </c>
    </row>
    <row r="35">
      <c r="A35" t="inlineStr">
        <is>
          <t xml:space="preserve">25</t>
        </is>
      </c>
      <c r="B35" t="inlineStr">
        <is>
          <t xml:space="preserve">Деньги</t>
        </is>
      </c>
      <c r="C35" t="inlineStr">
        <is>
          <t xml:space="preserve">Эквайринг</t>
        </is>
      </c>
      <c r="D35">
        <f>'04_Итог'!B8*acquiring</f>
        <v>55148.44429654852</v>
      </c>
      <c r="E35" t="inlineStr">
        <is>
          <t xml:space="preserve">₽/год</t>
        </is>
      </c>
      <c r="F35" t="inlineStr">
        <is>
          <t xml:space="preserve">Ставка эквайринга × доля безналичных платежей × выручка.</t>
        </is>
      </c>
      <c r="G35">
        <v>55148.44</v>
      </c>
      <c r="H35" t="str">
        <f>IF(D35="","—",IF(ABS(D35-G35)&lt;1,"да","НЕТ"))</f>
        <v>да</v>
      </c>
    </row>
    <row r="36">
      <c r="A36" t="inlineStr">
        <is>
          <t xml:space="preserve">26</t>
        </is>
      </c>
      <c r="B36" t="inlineStr">
        <is>
          <t xml:space="preserve">Деньги</t>
        </is>
      </c>
      <c r="C36" t="inlineStr">
        <is>
          <t xml:space="preserve">Себестоимость часа съёмки</t>
        </is>
      </c>
      <c r="E36" t="inlineStr">
        <is>
          <t xml:space="preserve">₽/ч</t>
        </is>
      </c>
      <c r="F36" t="inlineStr">
        <is>
          <t xml:space="preserve">Все затраты дела, налоги и эквайринг ÷ съёмочные часы. в книге нет параметра — достроить.</t>
        </is>
      </c>
      <c r="G36">
        <v>3323.84</v>
      </c>
    </row>
    <row r="37">
      <c r="A37" t="inlineStr">
        <is>
          <t xml:space="preserve">27</t>
        </is>
      </c>
      <c r="B37" t="inlineStr">
        <is>
          <t xml:space="preserve">Деньги</t>
        </is>
      </c>
      <c r="C37" t="inlineStr">
        <is>
          <t xml:space="preserve">Наценка к себестоимости</t>
        </is>
      </c>
      <c r="E37" t="inlineStr">
        <is>
          <t xml:space="preserve">%</t>
        </is>
      </c>
      <c r="F37" t="inlineStr">
        <is>
          <t xml:space="preserve">На сколько процентов ставка часа выше себестоимости часа. в книге нет параметра — достроить.</t>
        </is>
      </c>
      <c r="G37">
        <v>183.71</v>
      </c>
    </row>
    <row r="38">
      <c r="A38" t="inlineStr">
        <is>
          <t xml:space="preserve">28</t>
        </is>
      </c>
      <c r="B38" t="inlineStr">
        <is>
          <t xml:space="preserve">Деньги</t>
        </is>
      </c>
      <c r="C38" t="inlineStr">
        <is>
          <t xml:space="preserve">Точка безубыточности</t>
        </is>
      </c>
      <c r="D38">
        <f>'04_Итог'!B12</f>
        <v>609607.5633286901</v>
      </c>
      <c r="E38" t="inlineStr">
        <is>
          <t xml:space="preserve">₽/год</t>
        </is>
      </c>
      <c r="F38" t="inlineStr">
        <is>
          <t xml:space="preserve">Выручка, при которой доход на руки равен нулю: покрыты только расходы и налоги.</t>
        </is>
      </c>
      <c r="G38">
        <v>609607.56</v>
      </c>
      <c r="H38" t="str">
        <f>IF(D38="","—",IF(ABS(D38-G38)&lt;1,"да","НЕТ"))</f>
        <v>да</v>
      </c>
    </row>
    <row r="39">
      <c r="A39" t="inlineStr">
        <is>
          <t xml:space="preserve">29</t>
        </is>
      </c>
      <c r="B39" t="inlineStr">
        <is>
          <t xml:space="preserve">Деньги</t>
        </is>
      </c>
      <c r="C39" t="inlineStr">
        <is>
          <t xml:space="preserve">Ставка в ноль</t>
        </is>
      </c>
      <c r="E39" t="inlineStr">
        <is>
          <t xml:space="preserve">₽/ч</t>
        </is>
      </c>
      <c r="F39" t="inlineStr">
        <is>
          <t xml:space="preserve">Точка безубыточности ÷ съёмочные часы. в книге нет параметра — достроить.</t>
        </is>
      </c>
      <c r="G39">
        <v>2814.44</v>
      </c>
    </row>
    <row r="40">
      <c r="A40" t="inlineStr">
        <is>
          <t xml:space="preserve">30</t>
        </is>
      </c>
      <c r="B40" t="inlineStr">
        <is>
          <t xml:space="preserve">Деньги</t>
        </is>
      </c>
      <c r="C40" t="inlineStr">
        <is>
          <t xml:space="preserve">Фонд развития</t>
        </is>
      </c>
      <c r="E40" t="inlineStr">
        <is>
          <t xml:space="preserve">₽/год</t>
        </is>
      </c>
      <c r="F40" t="inlineStr">
        <is>
          <t xml:space="preserve">Процент от выручки, откладываемый на развитие. в книге нет параметра — достроить.</t>
        </is>
      </c>
      <c r="G40">
        <v>0</v>
      </c>
    </row>
    <row r="41">
      <c r="A41" t="inlineStr">
        <is>
          <t xml:space="preserve">31</t>
        </is>
      </c>
      <c r="B41" t="inlineStr">
        <is>
          <t xml:space="preserve">Деньги</t>
        </is>
      </c>
      <c r="C41" t="inlineStr">
        <is>
          <t xml:space="preserve">Фонд программы лояльности</t>
        </is>
      </c>
      <c r="E41" t="inlineStr">
        <is>
          <t xml:space="preserve">₽/год</t>
        </is>
      </c>
      <c r="F41" t="inlineStr">
        <is>
          <t xml:space="preserve">Процент от выручки, заложенный на скидки и подарки клиентам. в книге нет параметра — достроить.</t>
        </is>
      </c>
      <c r="G41">
        <v>0</v>
      </c>
    </row>
    <row r="42"/>
    <row r="43">
      <c r="A43" t="inlineStr">
        <is>
          <t xml:space="preserve">ИЗНОС КАМЕРЫ</t>
        </is>
      </c>
    </row>
    <row r="44">
      <c r="A44" t="inlineStr">
        <is>
          <t xml:space="preserve">32</t>
        </is>
      </c>
      <c r="B44" t="inlineStr">
        <is>
          <t xml:space="preserve">Износ камеры</t>
        </is>
      </c>
      <c r="C44" t="inlineStr">
        <is>
          <t xml:space="preserve">Камера</t>
        </is>
      </c>
      <c r="E44" t="inlineStr">
        <is>
          <t xml:space="preserve">—</t>
        </is>
      </c>
      <c r="F44" t="inlineStr">
        <is>
          <t xml:space="preserve">Название камеры из анкеты. в книге нет параметра — достроить.</t>
        </is>
      </c>
      <c r="G44" t="inlineStr">
        <is>
          <t xml:space="preserve">Canon EOS R6 Mark II Body</t>
        </is>
      </c>
    </row>
    <row r="45">
      <c r="A45" t="inlineStr">
        <is>
          <t xml:space="preserve">33</t>
        </is>
      </c>
      <c r="B45" t="inlineStr">
        <is>
          <t xml:space="preserve">Износ камеры</t>
        </is>
      </c>
      <c r="C45" t="inlineStr">
        <is>
          <t xml:space="preserve">Стоимость камеры</t>
        </is>
      </c>
      <c r="E45" t="inlineStr">
        <is>
          <t xml:space="preserve">₽</t>
        </is>
      </c>
      <c r="F45" t="inlineStr">
        <is>
          <t xml:space="preserve">Цена покупки из анкеты. в книге нет параметра — достроить.</t>
        </is>
      </c>
      <c r="G45">
        <v>166999</v>
      </c>
    </row>
    <row r="46">
      <c r="A46" t="inlineStr">
        <is>
          <t xml:space="preserve">34</t>
        </is>
      </c>
      <c r="B46" t="inlineStr">
        <is>
          <t xml:space="preserve">Износ камеры</t>
        </is>
      </c>
      <c r="C46" t="inlineStr">
        <is>
          <t xml:space="preserve">Срок службы</t>
        </is>
      </c>
      <c r="E46" t="inlineStr">
        <is>
          <t xml:space="preserve">лет</t>
        </is>
      </c>
      <c r="F46" t="inlineStr">
        <is>
          <t xml:space="preserve">Срок из анкеты. в книге нет параметра — достроить.</t>
        </is>
      </c>
      <c r="G46">
        <v>3</v>
      </c>
    </row>
    <row r="47">
      <c r="A47" t="inlineStr">
        <is>
          <t xml:space="preserve">35</t>
        </is>
      </c>
      <c r="B47" t="inlineStr">
        <is>
          <t xml:space="preserve">Износ камеры</t>
        </is>
      </c>
      <c r="C47" t="inlineStr">
        <is>
          <t xml:space="preserve">Амортизация камеры</t>
        </is>
      </c>
      <c r="E47" t="inlineStr">
        <is>
          <t xml:space="preserve">₽/год</t>
        </is>
      </c>
      <c r="F47" t="inlineStr">
        <is>
          <t xml:space="preserve">Стоимость ÷ срок службы. в книге нет параметра — достроить.</t>
        </is>
      </c>
      <c r="G47">
        <v>55666.33</v>
      </c>
    </row>
    <row r="48">
      <c r="A48" t="inlineStr">
        <is>
          <t xml:space="preserve">36</t>
        </is>
      </c>
      <c r="B48" t="inlineStr">
        <is>
          <t xml:space="preserve">Износ камеры</t>
        </is>
      </c>
      <c r="C48" t="inlineStr">
        <is>
          <t xml:space="preserve">Ресурс затвора</t>
        </is>
      </c>
      <c r="E48" t="inlineStr">
        <is>
          <t xml:space="preserve">шт</t>
        </is>
      </c>
      <c r="F48" t="inlineStr">
        <is>
          <t xml:space="preserve">Расчётное число срабатываний по данным производителя. в книге нет параметра — достроить.</t>
        </is>
      </c>
      <c r="G48">
        <v>300000</v>
      </c>
    </row>
    <row r="49">
      <c r="A49" t="inlineStr">
        <is>
          <t xml:space="preserve">37</t>
        </is>
      </c>
      <c r="B49" t="inlineStr">
        <is>
          <t xml:space="preserve">Износ камеры</t>
        </is>
      </c>
      <c r="C49" t="inlineStr">
        <is>
          <t xml:space="preserve">Срабатываний за год</t>
        </is>
      </c>
      <c r="E49" t="inlineStr">
        <is>
          <t xml:space="preserve">шт/год</t>
        </is>
      </c>
      <c r="F49" t="inlineStr">
        <is>
          <t xml:space="preserve">Срабатываний за час съёмки × съёмочные часы. в книге нет параметра — достроить.</t>
        </is>
      </c>
      <c r="G49">
        <v>75810</v>
      </c>
    </row>
    <row r="50">
      <c r="A50" t="inlineStr">
        <is>
          <t xml:space="preserve">38</t>
        </is>
      </c>
      <c r="B50" t="inlineStr">
        <is>
          <t xml:space="preserve">Износ камеры</t>
        </is>
      </c>
      <c r="C50" t="inlineStr">
        <is>
          <t xml:space="preserve">Выработка ресурса</t>
        </is>
      </c>
      <c r="E50" t="inlineStr">
        <is>
          <t xml:space="preserve">%/год</t>
        </is>
      </c>
      <c r="F50" t="inlineStr">
        <is>
          <t xml:space="preserve">Срабатываний за год ÷ ресурс затвора. в книге нет параметра — достроить.</t>
        </is>
      </c>
      <c r="G50">
        <v>73.43</v>
      </c>
    </row>
    <row r="51"/>
    <row r="52">
      <c r="A52" t="inlineStr">
        <is>
          <t xml:space="preserve">ЗАГРУЗКА И СРАВНЕНИЕ СТАВОК</t>
        </is>
      </c>
    </row>
    <row r="53">
      <c r="A53" t="inlineStr">
        <is>
          <t xml:space="preserve">39</t>
        </is>
      </c>
      <c r="B53" t="inlineStr">
        <is>
          <t xml:space="preserve">Сравнение</t>
        </is>
      </c>
      <c r="C53" t="inlineStr">
        <is>
          <t xml:space="preserve">Текущая ставка</t>
        </is>
      </c>
      <c r="D53">
        <f>current_rate</f>
        <v>6000.0</v>
      </c>
      <c r="E53" t="inlineStr">
        <is>
          <t xml:space="preserve">₽/ч</t>
        </is>
      </c>
      <c r="F53" t="inlineStr">
        <is>
          <t xml:space="preserve">Ставка, по которой человек работает сейчас. Для сравнения.</t>
        </is>
      </c>
      <c r="G53">
        <v>6000</v>
      </c>
      <c r="H53" t="str">
        <f>IF(D53="","—",IF(ABS(D53-G53)&lt;1,"да","НЕТ"))</f>
        <v>да</v>
      </c>
    </row>
    <row r="54">
      <c r="A54" t="inlineStr">
        <is>
          <t xml:space="preserve">40</t>
        </is>
      </c>
      <c r="B54" t="inlineStr">
        <is>
          <t xml:space="preserve">Сравнение</t>
        </is>
      </c>
      <c r="C54" t="inlineStr">
        <is>
          <t xml:space="preserve">Съёмок в год при текущей ставке</t>
        </is>
      </c>
      <c r="E54" t="inlineStr">
        <is>
          <t xml:space="preserve">шт/год</t>
        </is>
      </c>
      <c r="F54" t="inlineStr">
        <is>
          <t xml:space="preserve">Сколько съёмок нужно провести при текущей ставке, чтобы получить желаемый доход. в книге нет параметра — достроить.</t>
        </is>
      </c>
      <c r="G54">
        <v>340.42</v>
      </c>
    </row>
    <row r="55">
      <c r="A55" t="inlineStr">
        <is>
          <t xml:space="preserve">41</t>
        </is>
      </c>
      <c r="B55" t="inlineStr">
        <is>
          <t xml:space="preserve">Сравнение</t>
        </is>
      </c>
      <c r="C55" t="inlineStr">
        <is>
          <t xml:space="preserve">Часов в год при текущей ставке</t>
        </is>
      </c>
      <c r="E55" t="inlineStr">
        <is>
          <t xml:space="preserve">ч/год</t>
        </is>
      </c>
      <c r="F55" t="inlineStr">
        <is>
          <t xml:space="preserve">Столько времени займут эти съёмки со всей обработкой и работой с клиентами. в книге нет параметра — достроить.</t>
        </is>
      </c>
      <c r="G55">
        <v>2152.11</v>
      </c>
    </row>
    <row r="56">
      <c r="A56" t="inlineStr">
        <is>
          <t xml:space="preserve">42</t>
        </is>
      </c>
      <c r="B56" t="inlineStr">
        <is>
          <t xml:space="preserve">Сравнение</t>
        </is>
      </c>
      <c r="C56" t="inlineStr">
        <is>
          <t xml:space="preserve">Съёмок в год при расчётной ставке</t>
        </is>
      </c>
      <c r="E56" t="inlineStr">
        <is>
          <t xml:space="preserve">шт/год</t>
        </is>
      </c>
      <c r="F56" t="inlineStr">
        <is>
          <t xml:space="preserve">То же для расчётной ставки. в книге нет параметра — достроить.</t>
        </is>
      </c>
      <c r="G56">
        <v>216.6</v>
      </c>
    </row>
    <row r="57">
      <c r="A57" t="inlineStr">
        <is>
          <t xml:space="preserve">43</t>
        </is>
      </c>
      <c r="B57" t="inlineStr">
        <is>
          <t xml:space="preserve">Сравнение</t>
        </is>
      </c>
      <c r="C57" t="inlineStr">
        <is>
          <t xml:space="preserve">Часов в год при расчётной ставке</t>
        </is>
      </c>
      <c r="E57" t="inlineStr">
        <is>
          <t xml:space="preserve">ч/год</t>
        </is>
      </c>
      <c r="F57" t="inlineStr">
        <is>
          <t xml:space="preserve">То же для расчётной ставки. в книге нет параметра — достроить.</t>
        </is>
      </c>
      <c r="G57">
        <v>1533</v>
      </c>
    </row>
    <row r="58">
      <c r="A58" t="inlineStr">
        <is>
          <t xml:space="preserve">44</t>
        </is>
      </c>
      <c r="B58" t="inlineStr">
        <is>
          <t xml:space="preserve">Сравнение</t>
        </is>
      </c>
      <c r="C58" t="inlineStr">
        <is>
          <t xml:space="preserve">Съёмок в год при ставке в ноль</t>
        </is>
      </c>
      <c r="E58" t="inlineStr">
        <is>
          <t xml:space="preserve">шт/год</t>
        </is>
      </c>
      <c r="F58" t="inlineStr">
        <is>
          <t xml:space="preserve">То же для ставки в ноль. в книге нет параметра — достроить.</t>
        </is>
      </c>
      <c r="G58">
        <v>725.73</v>
      </c>
    </row>
    <row r="59">
      <c r="A59" t="inlineStr">
        <is>
          <t xml:space="preserve">45</t>
        </is>
      </c>
      <c r="B59" t="inlineStr">
        <is>
          <t xml:space="preserve">Сравнение</t>
        </is>
      </c>
      <c r="C59" t="inlineStr">
        <is>
          <t xml:space="preserve">Часов в год при ставке в ноль</t>
        </is>
      </c>
      <c r="E59" t="inlineStr">
        <is>
          <t xml:space="preserve">ч/год</t>
        </is>
      </c>
      <c r="F59" t="inlineStr">
        <is>
          <t xml:space="preserve">То же для ставки в ноль. в книге нет параметра — достроить.</t>
        </is>
      </c>
      <c r="G59">
        <v>4078.67</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Разница между выручкой по расчётной и по текущей ставке. в книге нет параметра — достроить.</t>
        </is>
      </c>
      <c r="G60">
        <v>636863.02</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2026-08-17T14:16:26Z</dcterms:modified>
</cp:coreProperties>
</file>