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28.xml" ContentType="application/vnd.openxmlformats-officedocument.spreadsheetml.worksheet+xml"/>
  <Override PartName="/xl/worksheets/sheet2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02_Параметры" sheetId="3" state="visible" r:id="rId3"/>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b_UI_Отчёт" sheetId="10" state="visible" r:id="rId10"/>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09i_Справочник" sheetId="20" state="visible" r:id="rId20"/>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30"/>
    <sheet xmlns:r="http://schemas.openxmlformats.org/officeDocument/2006/relationships" name="06b_Отчёт_полный" sheetId="29" state="visible" r:id="rId31"/>
  </sheets>
  <definedNames>
    <definedName name="days_year">'02_Параметры'!$C$6</definedName>
    <definedName name="work_days">'02_Параметры'!$C$7</definedName>
    <definedName name="days_week">'02_Параметры'!$C$8</definedName>
    <definedName name="months">'02_Параметры'!$C$9</definedName>
    <definedName name="quarters">'02_Параметры'!$C$10</definedName>
    <definedName name="weeks_year">'02_Параметры'!$C$11</definedName>
    <definedName name="nominal_hours">'02_Параметры'!$C$12</definedName>
    <definedName name="work_months">'02_Параметры'!$C$13</definedName>
    <definedName name="vacation_cal">'02_Параметры'!$C$14</definedName>
    <definedName name="vacation_work">'02_Параметры'!$C$15</definedName>
    <definedName name="sick_cal">'02_Параметры'!$C$16</definedName>
    <definedName name="sick_work">'02_Параметры'!$C$17</definedName>
    <definedName name="eff_hours">'02_Параметры'!$C$18</definedName>
    <definedName name="work_time">'02_Параметры'!$C$21</definedName>
    <definedName name="net_days">'02_Параметры'!$C$22</definedName>
    <definedName name="net_time">'02_Параметры'!$C$23</definedName>
    <definedName name="net_weeks">'02_Параметры'!$C$24</definedName>
    <definedName name="promo_per_day">'02_Параметры'!$C$25</definedName>
    <definedName name="promo_time">'02_Параметры'!$C$26</definedName>
    <definedName name="acc_mode">'02_Параметры'!$C$27</definedName>
    <definedName name="acc_per_quarter">'02_Параметры'!$C$28</definedName>
    <definedName name="accounting_time">'02_Параметры'!$C$29</definedName>
    <definedName name="side_time">'02_Параметры'!$C$30</definedName>
    <definedName name="pool_gross">'02_Параметры'!$C$31</definedName>
    <definedName name="fm_on">'02_Параметры'!$C$32</definedName>
    <definedName name="fm_pct">'02_Параметры'!$C$33</definedName>
    <definedName name="fm_time">'02_Параметры'!$C$34</definedName>
    <definedName name="fm_week">'02_Параметры'!$C$35</definedName>
    <definedName name="project_pool">'02_Параметры'!$C$36</definedName>
    <definedName name="post_ratio">'02_Параметры'!$C$39</definedName>
    <definedName name="profile_multiplier">'02_Параметры'!$C$40</definedName>
    <definedName name="client_time">'02_Параметры'!$C$41</definedName>
    <definedName name="shoot_duration">'02_Параметры'!$C$42</definedName>
    <definedName name="week_target">'02_Параметры'!$C$43</definedName>
    <definedName name="shoot_auto">'02_Параметры'!$C$44</definedName>
    <definedName name="project_time">'02_Параметры'!$C$45</definedName>
    <definedName name="hour_pool">'02_Параметры'!$C$46</definedName>
    <definedName name="projects_year">'02_Параметры'!$C$47</definedName>
    <definedName name="projects_month">'02_Параметры'!$C$48</definedName>
    <definedName name="projects_week">'02_Параметры'!$C$49</definedName>
    <definedName name="shooting_time">'02_Параметры'!$C$50</definedName>
    <definedName name="shooting_month">'02_Параметры'!$C$51</definedName>
    <definedName name="shooting_week">'02_Параметры'!$C$52</definedName>
    <definedName name="post_time">'02_Параметры'!$C$53</definedName>
    <definedName name="core_time">'02_Параметры'!$C$54</definedName>
    <definedName name="client_total">'02_Параметры'!$C$55</definedName>
    <definedName name="ops_per_shoot">'02_Параметры'!$C$56</definedName>
    <definedName name="income_month">'02_Параметры'!$C$59</definedName>
    <definedName name="target_income">'02_Параметры'!$C$60</definedName>
    <definedName name="current_rate">'02_Параметры'!$C$61</definedName>
    <definedName name="ws_mode">'02_Параметры'!$C$64</definedName>
    <definedName name="own_home">'02_Параметры'!$C$65</definedName>
    <definedName name="home_rent">'02_Параметры'!$C$66</definedName>
    <definedName name="home_util">'02_Параметры'!$C$67</definedName>
    <definedName name="home_area">'02_Параметры'!$C$68</definedName>
    <definedName name="cab_area">'02_Параметры'!$C$69</definedName>
    <definedName name="cab_share">'02_Параметры'!$C$70</definedName>
    <definedName name="office_rent">'02_Параметры'!$C$71</definedName>
    <definedName name="office_util">'02_Параметры'!$C$72</definedName>
    <definedName name="var_workspace">'02_Параметры'!$C$73</definedName>
    <definedName name="edu_cost">'02_Параметры'!$C$76</definedName>
    <definedName name="edu_months">'02_Параметры'!$C$77</definedName>
    <definedName name="edu_life">'02_Параметры'!$C$78</definedName>
    <definedName name="edu_opportunity">'02_Параметры'!$C$80</definedName>
    <definedName name="dep_education">'02_Параметры'!$C$81</definedName>
    <definedName name="site_mode">'02_Параметры'!$C$82</definedName>
    <definedName name="site_cost">'02_Параметры'!$C$83</definedName>
    <definedName name="site_hours">'02_Параметры'!$C$84</definedName>
    <definedName name="site_life">'02_Параметры'!$C$85</definedName>
    <definedName name="dep_website">'02_Параметры'!$C$86</definedName>
    <definedName name="site_divisor">'02_Параметры'!$C$87</definedName>
    <definedName name="dep_shoot">'02_Параметры'!$C$90</definedName>
    <definedName name="dep_office">'02_Параметры'!$C$91</definedName>
    <definedName name="dep_software">'02_Параметры'!$C$92</definedName>
    <definedName name="dep_workspace">'02_Параметры'!$C$93</definedName>
    <definedName name="investment">'02_Параметры'!$C$94</definedName>
    <definedName name="var_software">'02_Параметры'!$C$95</definedName>
    <definedName name="var_ads">'02_Параметры'!$C$96</definedName>
    <definedName name="var_bank">'02_Параметры'!$C$97</definedName>
    <definedName name="acc_cost_month">'02_Параметры'!$C$98</definedName>
    <definedName name="var_accounting">'02_Параметры'!$C$99</definedName>
    <definedName name="variable_costs">'02_Параметры'!$C$100</definedName>
    <definedName name="total_costs">'02_Параметры'!$C$101</definedName>
    <definedName name="revenue_base">'02_Параметры'!$C$102</definedName>
    <definedName name="regime">'02_Параметры'!$C$105</definedName>
    <definedName name="rate_npd_avg">'02_Параметры'!$C$106</definedName>
    <definedName name="rate_npd_fiz">'02_Параметры'!$C$107</definedName>
    <definedName name="rate_npd_ur">'02_Параметры'!$C$108</definedName>
    <definedName name="rate_usn_inc">'02_Параметры'!$C$109</definedName>
    <definedName name="rate_usn_prof">'02_Параметры'!$C$110</definedName>
    <definedName name="rate_ausn_inc">'02_Параметры'!$C$111</definedName>
    <definedName name="rate_ausn_prof">'02_Параметры'!$C$112</definedName>
    <definedName name="regime_no">'02_Параметры'!$C$113</definedName>
    <definedName name="rate_current">'02_Параметры'!$C$114</definedName>
    <definedName name="fixed_contrib">'02_Параметры'!$C$115</definedName>
    <definedName name="extra_contrib">'02_Параметры'!$C$116</definedName>
    <definedName name="contrib_threshold">'02_Параметры'!$C$117</definedName>
    <definedName name="contrib_cap">'02_Параметры'!$C$118</definedName>
    <definedName name="threshold_credit">'02_Параметры'!$C$119</definedName>
    <definedName name="min_tax_usn">'02_Параметры'!$C$120</definedName>
    <definedName name="min_tax_ausn">'02_Параметры'!$C$121</definedName>
    <definedName name="injury_contrib">'02_Параметры'!$C$122</definedName>
    <definedName name="acq_rate">'02_Параметры'!$C$123</definedName>
    <definedName name="acq_share">'02_Параметры'!$C$124</definedName>
    <definedName name="acquiring">'02_Параметры'!$C$125</definedName>
    <definedName name="vat_threshold">'02_Параметры'!$C$126</definedName>
    <definedName name="limit_npd">'02_Параметры'!$C$127</definedName>
    <definedName name="limit_ausn">'02_Параметры'!$C$128</definedName>
    <definedName name="naive_rate">'02_Параметры'!$C$131</definedName>
    <definedName name="base_rate">'02_Параметры'!$C$132</definedName>
    <definedName name="ops_rate">'02_Параметры'!$C$133</definedName>
    <definedName name="full_hour_rate">'02_Параметры'!$C$134</definedName>
    <definedName name="site_value">'02_Параметры'!$C$135</definedName>
    <definedName name="cat_form">'03_Каталоги'!$A$5:$A$41</definedName>
    <definedName name="cat_year">'03_Каталоги'!$G$5:$G$41</definedName>
    <definedName name="idle_time">'02_Параметры'!$C$138</definedName>
    <definedName name="idle_week">'02_Параметры'!$C$139</definedName>
    <definedName name="hour_all">'02_Параметры'!$C$140</definedName>
    <definedName name="frames_out">'02_Параметры'!$C$141</definedName>
    <definedName name="frames_total">'02_Параметры'!$C$142</definedName>
    <definedName name="equip_only">'02_Параметры'!$C$143</definedName>
    <definedName name="_xlnm._FilterDatabase" localSheetId="11" hidden="1">'09_Тексты'!$A$4:$C$514</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2">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s>
  <fills count="106">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314">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30" Type="http://schemas.openxmlformats.org/officeDocument/2006/relationships/worksheet" Target="worksheets/sheet28.xml"/><Relationship Type="http://schemas.openxmlformats.org/officeDocument/2006/relationships/worksheet" Target="/xl/worksheets/sheet29.xml" Id="rId3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5 августа 2026.</t>
        </is>
      </c>
    </row>
    <row r="3">
      <c r="A3" s="2" t="n"/>
    </row>
    <row r="4">
      <c r="A4" s="146" t="inlineStr">
        <is>
          <t>ИЗ ЧЕГО СОСТОИТ ПРОДУКТ — четыре файла</t>
        </is>
      </c>
      <c r="B4" s="147" t="n"/>
    </row>
    <row r="5">
      <c r="A5" s="148" t="inlineStr">
        <is>
          <t>Файл</t>
        </is>
      </c>
      <c r="B5" s="148" t="inlineStr">
        <is>
          <t>Что это и где живёт</t>
        </is>
      </c>
    </row>
    <row r="6" ht="32" customHeight="1">
      <c r="A6" s="149" t="inlineStr">
        <is>
          <t>Калькулятор_ставки_часа.xlsx</t>
        </is>
      </c>
      <c r="B6" s="152" t="inlineStr">
        <is>
          <t>ЭТА КНИГА. Вся логика, параметры, тексты и методика. Источник правды — правки начинаются здесь.</t>
        </is>
      </c>
    </row>
    <row r="7" ht="32" customHeight="1">
      <c r="A7" s="312" t="inlineStr">
        <is>
          <t>web/index.html</t>
        </is>
      </c>
      <c r="B7" s="313" t="inlineStr">
        <is>
          <t>СТРАНИЦА ВХОДА. Первое, что видит человек: один экран — заголовок, три пользы, кнопка. Принимает реферальную метку и передаёт её в форму. Кто уже начинал, попадает сразу в форму.</t>
        </is>
      </c>
    </row>
    <row r="8" ht="32" customHeight="1">
      <c r="A8" s="149" t="inlineStr">
        <is>
          <t>web/calc.html</t>
        </is>
      </c>
      <c r="B8" s="152" t="inlineStr">
        <is>
          <t>ФОРМА. Вопросы анкеты, кнопка расчёта и анимация расчёта. Больше ничего: краткий итог и блок оплаты вынесены. После расчёта открывается отчёт.</t>
        </is>
      </c>
    </row>
    <row r="9">
      <c r="A9" s="149" t="inlineStr">
        <is>
          <t>web/report.html</t>
        </is>
      </c>
      <c r="B9" s="152" t="inlineStr">
        <is>
          <t>ПОЛНЫЙ ОТЧЁТ. 10 блоков, открывается после оплаты. Данные принимает из формы. Тоже автономный файл.</t>
        </is>
      </c>
    </row>
    <row r="10">
      <c r="A10" s="2" t="n"/>
    </row>
    <row r="11">
      <c r="A11" s="146" t="inlineStr">
        <is>
          <t>КАК УСТРОЕНА КНИГА — 27 листов</t>
        </is>
      </c>
      <c r="B11" s="147" t="n"/>
    </row>
    <row r="12" ht="32" customHeight="1">
      <c r="A12" s="148" t="inlineStr">
        <is>
          <t>Лист</t>
        </is>
      </c>
      <c r="B12" s="148" t="inlineStr">
        <is>
          <t>Назначение</t>
        </is>
      </c>
    </row>
    <row r="13" ht="32" customHeight="1">
      <c r="A13" s="149" t="inlineStr">
        <is>
          <t>00_Читать</t>
        </is>
      </c>
      <c r="B13" s="152" t="inlineStr">
        <is>
          <t>Этот лист — карта проекта</t>
        </is>
      </c>
    </row>
    <row r="14" ht="32" customHeight="1">
      <c r="A14" s="149" t="inlineStr">
        <is>
          <t>01_Глоссарий</t>
        </is>
      </c>
      <c r="B14" s="152" t="inlineStr">
        <is>
          <t>Термины: что такое ставка, амортизация, юнит-экономика</t>
        </is>
      </c>
    </row>
    <row r="15" ht="32" customHeight="1">
      <c r="A15" s="149" t="inlineStr">
        <is>
          <t>02_Параметры</t>
        </is>
      </c>
      <c r="B15" s="152" t="inlineStr">
        <is>
          <t>143 строки. Все входные величины и формулы через ID. ГЛАВНЫЙ лист для правки цифр</t>
        </is>
      </c>
    </row>
    <row r="16" ht="32" customHeight="1">
      <c r="A16" s="149" t="inlineStr">
        <is>
          <t>03_Каталоги</t>
        </is>
      </c>
      <c r="B16" s="152" t="inlineStr">
        <is>
          <t>Оборудование, ПО, реклама — построчно, с ценами и сроками службы</t>
        </is>
      </c>
    </row>
    <row r="17" ht="32" customHeight="1">
      <c r="A17" s="149" t="inlineStr">
        <is>
          <t>04_Итог / 05_Расчёт</t>
        </is>
      </c>
      <c r="B17" s="152" t="inlineStr">
        <is>
          <t>Свод и расчёт по семи налоговым режимам</t>
        </is>
      </c>
    </row>
    <row r="18" ht="32" customHeight="1">
      <c r="A18" s="149" t="inlineStr">
        <is>
          <t>06_Отчёт</t>
        </is>
      </c>
      <c r="B18" s="152" t="inlineStr">
        <is>
          <t>Все цифры отчёта: доход по ролям, расходы, сценарии</t>
        </is>
      </c>
    </row>
    <row r="19" ht="32" customHeight="1">
      <c r="A19" s="149" t="inlineStr">
        <is>
          <t>07_Интерфейс / 08_UI / 08b / 08c</t>
        </is>
      </c>
      <c r="B19" s="152" t="inlineStr">
        <is>
          <t>Структура формы и отчёта: какой блок за каким идёт</t>
        </is>
      </c>
    </row>
    <row r="20" ht="32" customHeight="1">
      <c r="A20" s="149" t="inlineStr">
        <is>
          <t>09_Тексты</t>
        </is>
      </c>
      <c r="B20" s="152" t="inlineStr">
        <is>
          <t>514 надписей. Колонка «Где находится» — поверхность (форма, отчёт, подсказки). Есть автофильтр</t>
        </is>
      </c>
    </row>
    <row r="21" ht="32" customHeight="1">
      <c r="A21" s="149" t="inlineStr">
        <is>
          <t>09b_Методика_цифр</t>
        </is>
      </c>
      <c r="B21" s="152" t="inlineStr">
        <is>
          <t>Как посчитана каждая цифра блока 09, откуда берутся рабочие паузы, правило округления</t>
        </is>
      </c>
    </row>
    <row r="22" ht="32" customHeight="1">
      <c r="A22" s="149" t="inlineStr">
        <is>
          <t>09e_Как_считается</t>
        </is>
      </c>
      <c r="B22" s="152" t="inlineStr">
        <is>
          <t>Полная цепочка расчёта ставки часа: 10 шагов от календаря до цены, с формулами и проверкой сходимости</t>
        </is>
      </c>
    </row>
    <row r="23" ht="32" customHeight="1">
      <c r="A23" s="149" t="inlineStr">
        <is>
          <t>09c_Палитра</t>
        </is>
      </c>
      <c r="B23" s="152" t="inlineStr">
        <is>
          <t>68 цветов. Единая система для формы и отчёта</t>
        </is>
      </c>
    </row>
    <row r="24">
      <c r="A24" s="149" t="inlineStr">
        <is>
          <t>10_Монетизация / 11_Ссылки</t>
        </is>
      </c>
      <c r="B24" s="152" t="inlineStr">
        <is>
          <t>Цена продукта, источники данных</t>
        </is>
      </c>
    </row>
    <row r="25">
      <c r="A25" s="149" t="inlineStr">
        <is>
          <t>12_Диаграммы / 13_Сетка_скидок / 13b_Программа_лояльности / 14_Опрос</t>
        </is>
      </c>
      <c r="B25" s="152" t="inlineStr">
        <is>
          <t>Данные для графиков, скидки за объём, ФОНД И ВСЯ ПРОГРАММА ЛОЯЛЬНОСТИ, опрос в форме</t>
        </is>
      </c>
    </row>
    <row r="26">
      <c r="A26" s="2" t="n"/>
    </row>
    <row r="27" ht="32" customHeight="1">
      <c r="A27" s="146" t="inlineStr">
        <is>
          <t>ЧТО ГДЕ ПРАВИТЬ</t>
        </is>
      </c>
      <c r="B27" s="147" t="n"/>
    </row>
    <row r="28" ht="32" customHeight="1">
      <c r="A28" s="148" t="inlineStr">
        <is>
          <t>Задача</t>
        </is>
      </c>
      <c r="B28" s="148" t="inlineStr">
        <is>
          <t>Куда идти</t>
        </is>
      </c>
    </row>
    <row r="29" ht="32" customHeight="1">
      <c r="A29" s="149" t="inlineStr">
        <is>
          <t>Поменять текст надписи</t>
        </is>
      </c>
      <c r="B29" s="152" t="inlineStr">
        <is>
          <t>09_Тексты → найти по ключу → колонка «Текст». Ключ виден в HTML как data-t="..."</t>
        </is>
      </c>
    </row>
    <row r="30" ht="32" customHeight="1">
      <c r="A30" s="149" t="inlineStr">
        <is>
          <t>Поменять цифру или формулу</t>
        </is>
      </c>
      <c r="B30" s="152" t="inlineStr">
        <is>
          <t>02_Параметры → колонка «Значение»</t>
        </is>
      </c>
    </row>
    <row r="31" ht="32" customHeight="1">
      <c r="A31" s="149" t="inlineStr">
        <is>
          <t>Поменять цвет</t>
        </is>
      </c>
      <c r="B31" s="152" t="inlineStr">
        <is>
          <t>09c_Палитра → HEX. Затем тот же токен в :root обоих HTML</t>
        </is>
      </c>
    </row>
    <row r="32">
      <c r="A32" s="149" t="inlineStr">
        <is>
          <t>Добавить оборудование</t>
        </is>
      </c>
      <c r="B32" s="152" t="inlineStr">
        <is>
          <t>03_Каталоги → новая строка с кодом формы</t>
        </is>
      </c>
    </row>
    <row r="33">
      <c r="A33" s="149" t="inlineStr">
        <is>
          <t>Изменить скидки, фонд, сертификаты</t>
        </is>
      </c>
      <c r="B33" s="152" t="inlineStr">
        <is>
          <t>13b_Программа_лояльности → жёлтые ячейки. Остальное пересчитается формулами</t>
        </is>
      </c>
    </row>
    <row r="34">
      <c r="A34" s="2" t="inlineStr">
        <is>
          <t>Изменить порядок блоков</t>
        </is>
      </c>
      <c r="B34" t="inlineStr">
        <is>
          <t>08c_Структура_отчёта</t>
        </is>
      </c>
    </row>
    <row r="35" ht="32" customHeight="1">
      <c r="A35" s="146" t="inlineStr">
        <is>
          <t>ПЕРЕД ПУБЛИКАЦИЕЙ — обязательно</t>
        </is>
      </c>
      <c r="B35" s="147" t="n"/>
    </row>
    <row r="36" ht="32" customHeight="1">
      <c r="A36" s="148" t="inlineStr">
        <is>
          <t>Что</t>
        </is>
      </c>
      <c r="B36" s="148" t="inlineStr">
        <is>
          <t>Где в calc.html</t>
        </is>
      </c>
    </row>
    <row r="37" ht="32" customHeight="1">
      <c r="A37" s="149" t="inlineStr">
        <is>
          <t>DEV_NO_BLUR = false</t>
        </is>
      </c>
      <c r="B37" s="152" t="inlineStr">
        <is>
          <t>сейчас true — отчёт не размыт, виден бесплатно</t>
        </is>
      </c>
    </row>
    <row r="38" ht="32" customHeight="1">
      <c r="A38" s="149" t="inlineStr">
        <is>
          <t>YM_ID = номер счётчика</t>
        </is>
      </c>
      <c r="B38" s="152" t="inlineStr">
        <is>
          <t>сейчас 0 — Яндекс.Метрика не подключена</t>
        </is>
      </c>
    </row>
    <row r="39">
      <c r="A39" s="149" t="inlineStr">
        <is>
          <t>PAY_URL = ссылка оплаты</t>
        </is>
      </c>
      <c r="B39" s="152" t="inlineStr">
        <is>
          <t>сейчас '#order' — заглушка</t>
        </is>
      </c>
    </row>
    <row r="40">
      <c r="A40" s="149" t="inlineStr">
        <is>
          <t>Связка форма → отчёт</t>
        </is>
      </c>
      <c r="B40" s="152" t="inlineStr">
        <is>
          <t>форма пока не передаёт данные в отчёт, отчёт показывает демо-набор</t>
        </is>
      </c>
    </row>
    <row r="41">
      <c r="A41" s="2" t="n"/>
    </row>
    <row r="42">
      <c r="A42" s="145" t="inlineStr">
        <is>
          <t>Папка _архив — старые версии и черновики. Для работы не нужны, удалять не обязательно.</t>
        </is>
      </c>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4" customWidth="1"/>
    <col min="3" max="3" width="20" customWidth="1"/>
    <col min="4" max="5" width="14" customWidth="1"/>
    <col min="6" max="6" width="70" customWidth="1"/>
    <col min="7" max="7" width="24" customWidth="1"/>
    <col min="8" max="8" width="60" customWidth="1"/>
  </cols>
  <sheetData>
    <row r="1">
      <c r="A1" t="inlineStr">
        <is>
          <t xml:space="preserve">01 · ГЛОССАРИЙ — понятия, обозначения и типы</t>
        </is>
      </c>
    </row>
    <row r="2">
      <c r="A2" t="inlineStr">
        <is>
          <t xml:space="preserve">Источник данных. Собирается вместе с модель/глоссарий.html скриптом модель/глоссарий.py</t>
        </is>
      </c>
    </row>
    <row r="3"/>
    <row r="4">
      <c r="A4" t="inlineStr">
        <is>
          <t xml:space="preserve">№</t>
        </is>
      </c>
      <c r="B4" t="inlineStr">
        <is>
          <t xml:space="preserve">Наименование</t>
        </is>
      </c>
      <c r="C4" t="inlineStr">
        <is>
          <t xml:space="preserve">ID</t>
        </is>
      </c>
      <c r="D4" t="inlineStr">
        <is>
          <t xml:space="preserve">Назначение</t>
        </is>
      </c>
      <c r="E4" t="inlineStr">
        <is>
          <t xml:space="preserve">Тип</t>
        </is>
      </c>
      <c r="F4" t="inlineStr">
        <is>
          <t xml:space="preserve">Понятие</t>
        </is>
      </c>
      <c r="G4" t="inlineStr">
        <is>
          <t xml:space="preserve">Значение/формула</t>
        </is>
      </c>
      <c r="H4" t="inlineStr">
        <is>
          <t xml:space="preserve">Описание алгоритма</t>
        </is>
      </c>
    </row>
    <row r="5">
      <c r="A5" t="inlineStr">
        <is>
          <t xml:space="preserve">1</t>
        </is>
      </c>
      <c r="B5" t="inlineStr">
        <is>
          <t xml:space="preserve">Маркер</t>
        </is>
      </c>
      <c r="C5" t="inlineStr">
        <is>
          <t xml:space="preserve">marker</t>
        </is>
      </c>
      <c r="D5" t="inlineStr">
        <is>
          <t xml:space="preserve">meta</t>
        </is>
      </c>
      <c r="G5" t="inlineStr">
        <is>
          <t xml:space="preserve">—</t>
        </is>
      </c>
      <c r="H5" t="inlineStr">
        <is>
          <t xml:space="preserve">—</t>
        </is>
      </c>
    </row>
    <row r="6">
      <c r="A6" t="inlineStr">
        <is>
          <t xml:space="preserve">2</t>
        </is>
      </c>
      <c r="B6" t="inlineStr">
        <is>
          <t xml:space="preserve">Параметр</t>
        </is>
      </c>
      <c r="C6" t="inlineStr">
        <is>
          <t xml:space="preserve">param</t>
        </is>
      </c>
      <c r="D6" t="inlineStr">
        <is>
          <t xml:space="preserve">meta</t>
        </is>
      </c>
      <c r="E6" t="inlineStr">
        <is>
          <t xml:space="preserve">marker</t>
        </is>
      </c>
      <c r="F6" t="inlineStr">
        <is>
          <t xml:space="preserve">Отдельная величина книги/формы/таблицы с постоянным значением, по которому на неё ссылаются формулы.</t>
        </is>
      </c>
      <c r="G6" t="inlineStr">
        <is>
          <t xml:space="preserve">—</t>
        </is>
      </c>
      <c r="H6" t="inlineStr">
        <is>
          <t xml:space="preserve">—</t>
        </is>
      </c>
    </row>
    <row r="7">
      <c r="A7" t="inlineStr">
        <is>
          <t xml:space="preserve">3</t>
        </is>
      </c>
      <c r="B7" t="inlineStr">
        <is>
          <t xml:space="preserve">Понятие</t>
        </is>
      </c>
      <c r="D7" t="inlineStr">
        <is>
          <t xml:space="preserve">meta</t>
        </is>
      </c>
      <c r="E7" t="inlineStr">
        <is>
          <t xml:space="preserve">marker</t>
        </is>
      </c>
      <c r="G7" t="inlineStr">
        <is>
          <t xml:space="preserve">—</t>
        </is>
      </c>
      <c r="H7" t="inlineStr">
        <is>
          <t xml:space="preserve">—</t>
        </is>
      </c>
    </row>
    <row r="8">
      <c r="A8" t="inlineStr">
        <is>
          <t xml:space="preserve">4</t>
        </is>
      </c>
      <c r="B8" t="inlineStr">
        <is>
          <t xml:space="preserve">Значение</t>
        </is>
      </c>
      <c r="G8" t="inlineStr">
        <is>
          <t xml:space="preserve">—</t>
        </is>
      </c>
      <c r="H8" t="inlineStr">
        <is>
          <t xml:space="preserve">—</t>
        </is>
      </c>
    </row>
    <row r="9">
      <c r="A9" t="inlineStr">
        <is>
          <t xml:space="preserve">5</t>
        </is>
      </c>
      <c r="B9" t="inlineStr">
        <is>
          <t xml:space="preserve">Пользователь</t>
        </is>
      </c>
      <c r="G9" t="inlineStr">
        <is>
          <t xml:space="preserve">—</t>
        </is>
      </c>
      <c r="H9" t="inlineStr">
        <is>
          <t xml:space="preserve">—</t>
        </is>
      </c>
    </row>
    <row r="10">
      <c r="A10" t="inlineStr">
        <is>
          <t xml:space="preserve">6</t>
        </is>
      </c>
      <c r="B10" t="inlineStr">
        <is>
          <t xml:space="preserve">Служебный</t>
        </is>
      </c>
      <c r="C10" t="inlineStr">
        <is>
          <t xml:space="preserve">meta</t>
        </is>
      </c>
      <c r="D10" t="inlineStr">
        <is>
          <t xml:space="preserve">meta</t>
        </is>
      </c>
      <c r="E10" t="inlineStr">
        <is>
          <t xml:space="preserve">marker</t>
        </is>
      </c>
      <c r="F10" t="inlineStr">
        <is>
          <t xml:space="preserve">Значение, использующееся исключительно для внутренних расчетов. Не выводится для пользователя</t>
        </is>
      </c>
      <c r="G10" t="inlineStr">
        <is>
          <t xml:space="preserve">—</t>
        </is>
      </c>
      <c r="H10" t="inlineStr">
        <is>
          <t xml:space="preserve">—</t>
        </is>
      </c>
    </row>
    <row r="11">
      <c r="A11" t="inlineStr">
        <is>
          <t xml:space="preserve">7</t>
        </is>
      </c>
      <c r="B11" t="inlineStr">
        <is>
          <t xml:space="preserve">Для пользователя</t>
        </is>
      </c>
      <c r="D11" t="inlineStr">
        <is>
          <t xml:space="preserve">meta</t>
        </is>
      </c>
      <c r="E11" t="inlineStr">
        <is>
          <t xml:space="preserve">marker</t>
        </is>
      </c>
      <c r="F11" t="inlineStr">
        <is>
          <t xml:space="preserve">Значение, использующееся исключительно для  для пользователя</t>
        </is>
      </c>
      <c r="G11" t="inlineStr">
        <is>
          <t xml:space="preserve">—</t>
        </is>
      </c>
      <c r="H11" t="inlineStr">
        <is>
          <t xml:space="preserve">—</t>
        </is>
      </c>
    </row>
    <row r="12">
      <c r="A12" t="inlineStr">
        <is>
          <t xml:space="preserve">8</t>
        </is>
      </c>
      <c r="B12" t="inlineStr">
        <is>
          <t xml:space="preserve">Общий</t>
        </is>
      </c>
      <c r="D12" t="inlineStr">
        <is>
          <t xml:space="preserve">meta</t>
        </is>
      </c>
      <c r="E12" t="inlineStr">
        <is>
          <t xml:space="preserve">marker</t>
        </is>
      </c>
      <c r="F12" t="inlineStr">
        <is>
          <t xml:space="preserve">Значение, использующееся для внутренних вычислений и для пользователя</t>
        </is>
      </c>
      <c r="G12" t="inlineStr">
        <is>
          <t xml:space="preserve">—</t>
        </is>
      </c>
      <c r="H12" t="inlineStr">
        <is>
          <t xml:space="preserve">—</t>
        </is>
      </c>
    </row>
    <row r="13">
      <c r="A13" t="inlineStr">
        <is>
          <t xml:space="preserve">9</t>
        </is>
      </c>
      <c r="B13" t="inlineStr">
        <is>
          <t xml:space="preserve">Идентификатор</t>
        </is>
      </c>
      <c r="C13" t="inlineStr">
        <is>
          <t xml:space="preserve">id</t>
        </is>
      </c>
      <c r="D13" t="inlineStr">
        <is>
          <t xml:space="preserve">meta</t>
        </is>
      </c>
      <c r="E13" t="inlineStr">
        <is>
          <t xml:space="preserve">marker</t>
        </is>
      </c>
      <c r="F13" t="inlineStr">
        <is>
          <t xml:space="preserve">Обозначение элемента на странице, по которому скрипт подставляет в него рассчитанное значение.</t>
        </is>
      </c>
      <c r="G13" t="inlineStr">
        <is>
          <t xml:space="preserve">—</t>
        </is>
      </c>
      <c r="H13" t="inlineStr">
        <is>
          <t xml:space="preserve">—</t>
        </is>
      </c>
    </row>
    <row r="14">
      <c r="A14" t="inlineStr">
        <is>
          <t xml:space="preserve">10</t>
        </is>
      </c>
      <c r="B14" t="inlineStr">
        <is>
          <t xml:space="preserve">Тип поля интерфейса</t>
        </is>
      </c>
      <c r="C14" t="inlineStr">
        <is>
          <t xml:space="preserve">ui</t>
        </is>
      </c>
      <c r="D14" t="inlineStr">
        <is>
          <t xml:space="preserve">meta</t>
        </is>
      </c>
      <c r="E14" t="inlineStr">
        <is>
          <t xml:space="preserve">marker</t>
        </is>
      </c>
      <c r="F14" t="inlineStr">
        <is>
          <t xml:space="preserve">Обозначение способа, которым пользователь вводит или получает значение параметра.</t>
        </is>
      </c>
      <c r="G14" t="inlineStr">
        <is>
          <t xml:space="preserve">—</t>
        </is>
      </c>
      <c r="H14" t="inlineStr">
        <is>
          <t xml:space="preserve">—</t>
        </is>
      </c>
    </row>
    <row r="15">
      <c r="A15" t="inlineStr">
        <is>
          <t xml:space="preserve">11</t>
        </is>
      </c>
      <c r="B15" t="inlineStr">
        <is>
          <t xml:space="preserve">Книга</t>
        </is>
      </c>
      <c r="D15" t="inlineStr">
        <is>
          <t xml:space="preserve">meta</t>
        </is>
      </c>
      <c r="G15" t="inlineStr">
        <is>
          <t xml:space="preserve">—</t>
        </is>
      </c>
      <c r="H15" t="inlineStr">
        <is>
          <t xml:space="preserve">—</t>
        </is>
      </c>
    </row>
    <row r="16">
      <c r="A16" t="inlineStr">
        <is>
          <t xml:space="preserve">12</t>
        </is>
      </c>
      <c r="B16" t="inlineStr">
        <is>
          <t xml:space="preserve">Страница</t>
        </is>
      </c>
      <c r="D16" t="inlineStr">
        <is>
          <t xml:space="preserve">meta</t>
        </is>
      </c>
      <c r="G16" t="inlineStr">
        <is>
          <t xml:space="preserve">—</t>
        </is>
      </c>
      <c r="H16" t="inlineStr">
        <is>
          <t xml:space="preserve">—</t>
        </is>
      </c>
    </row>
    <row r="17">
      <c r="A17" t="inlineStr">
        <is>
          <t xml:space="preserve">13</t>
        </is>
      </c>
      <c r="B17" t="inlineStr">
        <is>
          <t xml:space="preserve">Лист книги</t>
        </is>
      </c>
      <c r="C17" t="inlineStr">
        <is>
          <t xml:space="preserve">list</t>
        </is>
      </c>
      <c r="D17" t="inlineStr">
        <is>
          <t xml:space="preserve">meta</t>
        </is>
      </c>
      <c r="F17" t="inlineStr">
        <is>
          <t xml:space="preserve">Отдельная страница книги с номером и назначением в названии.</t>
        </is>
      </c>
      <c r="G17" t="inlineStr">
        <is>
          <t xml:space="preserve">—</t>
        </is>
      </c>
      <c r="H17" t="inlineStr">
        <is>
          <t xml:space="preserve">—</t>
        </is>
      </c>
    </row>
    <row r="18">
      <c r="A18" t="inlineStr">
        <is>
          <t xml:space="preserve">14</t>
        </is>
      </c>
      <c r="B18" t="inlineStr">
        <is>
          <t xml:space="preserve">Тип данных</t>
        </is>
      </c>
      <c r="C18" t="inlineStr">
        <is>
          <t xml:space="preserve">data_type</t>
        </is>
      </c>
      <c r="D18" t="inlineStr">
        <is>
          <t xml:space="preserve">meta</t>
        </is>
      </c>
      <c r="E18" t="inlineStr">
        <is>
          <t xml:space="preserve">marker</t>
        </is>
      </c>
      <c r="G18" t="inlineStr">
        <is>
          <t xml:space="preserve">—</t>
        </is>
      </c>
      <c r="H18" t="inlineStr">
        <is>
          <t xml:space="preserve">—</t>
        </is>
      </c>
    </row>
    <row r="19">
      <c r="A19" t="inlineStr">
        <is>
          <t xml:space="preserve">15</t>
        </is>
      </c>
      <c r="B19" t="inlineStr">
        <is>
          <t xml:space="preserve">Константа</t>
        </is>
      </c>
      <c r="C19" t="inlineStr">
        <is>
          <t xml:space="preserve">const</t>
        </is>
      </c>
      <c r="D19" t="inlineStr">
        <is>
          <t xml:space="preserve">meta</t>
        </is>
      </c>
      <c r="E19" t="inlineStr">
        <is>
          <t xml:space="preserve">data_type</t>
        </is>
      </c>
      <c r="F19" t="inlineStr">
        <is>
          <t xml:space="preserve">Заранее установленное значение, которое используется в расчётах и не изменяется в зависимости от введённых пользователем данных.</t>
        </is>
      </c>
      <c r="G19" t="inlineStr">
        <is>
          <t xml:space="preserve">—</t>
        </is>
      </c>
      <c r="H19" t="inlineStr">
        <is>
          <t xml:space="preserve">—</t>
        </is>
      </c>
    </row>
    <row r="20">
      <c r="A20" t="inlineStr">
        <is>
          <t xml:space="preserve">16</t>
        </is>
      </c>
      <c r="B20" t="inlineStr">
        <is>
          <t xml:space="preserve">Значение по умолчанию</t>
        </is>
      </c>
      <c r="C20" t="inlineStr">
        <is>
          <t xml:space="preserve">default</t>
        </is>
      </c>
      <c r="D20" t="inlineStr">
        <is>
          <t xml:space="preserve">meta</t>
        </is>
      </c>
      <c r="E20" t="inlineStr">
        <is>
          <t xml:space="preserve">data_type</t>
        </is>
      </c>
      <c r="F20" t="inlineStr">
        <is>
          <t xml:space="preserve">Заранее установленное значение параметра, которое используется автоматически, если пользователь не указал другое значение.</t>
        </is>
      </c>
      <c r="G20" t="inlineStr">
        <is>
          <t xml:space="preserve">—</t>
        </is>
      </c>
      <c r="H20" t="inlineStr">
        <is>
          <t xml:space="preserve">—</t>
        </is>
      </c>
    </row>
    <row r="21">
      <c r="A21" t="inlineStr">
        <is>
          <t xml:space="preserve">17</t>
        </is>
      </c>
      <c r="B21" t="inlineStr">
        <is>
          <t xml:space="preserve">Формула</t>
        </is>
      </c>
      <c r="C21" t="inlineStr">
        <is>
          <t xml:space="preserve">calc</t>
        </is>
      </c>
      <c r="D21" t="inlineStr">
        <is>
          <t xml:space="preserve">meta</t>
        </is>
      </c>
      <c r="E21" t="inlineStr">
        <is>
          <t xml:space="preserve">data_type</t>
        </is>
      </c>
      <c r="F21" t="inlineStr">
        <is>
          <t xml:space="preserve">Расчётное выражение, по которому калькулятор на основе введённых пользователем данных и установленных констант определяет значение параметра.</t>
        </is>
      </c>
      <c r="G21" t="inlineStr">
        <is>
          <t xml:space="preserve">—</t>
        </is>
      </c>
      <c r="H21" t="inlineStr">
        <is>
          <t xml:space="preserve">—</t>
        </is>
      </c>
    </row>
    <row r="22">
      <c r="A22" t="inlineStr">
        <is>
          <t xml:space="preserve">18</t>
        </is>
      </c>
      <c r="B22" t="inlineStr">
        <is>
          <t xml:space="preserve">Вводимые данные</t>
        </is>
      </c>
      <c r="C22" t="inlineStr">
        <is>
          <t xml:space="preserve">input_data</t>
        </is>
      </c>
      <c r="D22" t="inlineStr">
        <is>
          <t xml:space="preserve">meta</t>
        </is>
      </c>
      <c r="E22" t="inlineStr">
        <is>
          <t xml:space="preserve">data_type</t>
        </is>
      </c>
      <c r="F22" t="inlineStr">
        <is>
          <t xml:space="preserve">Данные введенные пользователем вручную</t>
        </is>
      </c>
      <c r="G22" t="inlineStr">
        <is>
          <t xml:space="preserve">—</t>
        </is>
      </c>
      <c r="H22" t="inlineStr">
        <is>
          <t xml:space="preserve">—</t>
        </is>
      </c>
    </row>
    <row r="23">
      <c r="A23" t="inlineStr">
        <is>
          <t xml:space="preserve">19</t>
        </is>
      </c>
      <c r="B23" t="inlineStr">
        <is>
          <t xml:space="preserve">Переключатель</t>
        </is>
      </c>
      <c r="C23" t="inlineStr">
        <is>
          <t xml:space="preserve">switch</t>
        </is>
      </c>
      <c r="D23" t="inlineStr">
        <is>
          <t xml:space="preserve">meta</t>
        </is>
      </c>
      <c r="E23" t="inlineStr">
        <is>
          <t xml:space="preserve">ui</t>
        </is>
      </c>
      <c r="F23" t="inlineStr">
        <is>
          <t xml:space="preserve">Параметр с выбором из нескольких вариантов, который меняет не только значение, но и сам ход расчёта.</t>
        </is>
      </c>
      <c r="G23" t="inlineStr">
        <is>
          <t xml:space="preserve">—</t>
        </is>
      </c>
      <c r="H23" t="inlineStr">
        <is>
          <t xml:space="preserve">—</t>
        </is>
      </c>
    </row>
    <row r="24">
      <c r="A24" t="inlineStr">
        <is>
          <t xml:space="preserve">20</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c r="G24" t="inlineStr">
        <is>
          <t xml:space="preserve">—</t>
        </is>
      </c>
      <c r="H24" t="inlineStr">
        <is>
          <t xml:space="preserve">—</t>
        </is>
      </c>
    </row>
    <row r="25">
      <c r="A25" t="inlineStr">
        <is>
          <t xml:space="preserve">21</t>
        </is>
      </c>
      <c r="B25" t="inlineStr">
        <is>
          <t xml:space="preserve">Раздел</t>
        </is>
      </c>
      <c r="C25" t="inlineStr">
        <is>
          <t xml:space="preserve">section</t>
        </is>
      </c>
      <c r="D25" t="inlineStr">
        <is>
          <t xml:space="preserve">meta</t>
        </is>
      </c>
      <c r="E25" t="inlineStr">
        <is>
          <t xml:space="preserve">ui</t>
        </is>
      </c>
      <c r="F25" t="inlineStr">
        <is>
          <t xml:space="preserve">Крупная часть анкеты, объединяющая несколько блоков.</t>
        </is>
      </c>
      <c r="G25" t="inlineStr">
        <is>
          <t xml:space="preserve">—</t>
        </is>
      </c>
      <c r="H25" t="inlineStr">
        <is>
          <t xml:space="preserve">—</t>
        </is>
      </c>
    </row>
    <row r="26">
      <c r="A26" t="inlineStr">
        <is>
          <t xml:space="preserve">22</t>
        </is>
      </c>
      <c r="B26" t="inlineStr">
        <is>
          <t xml:space="preserve">Блок</t>
        </is>
      </c>
      <c r="C26" t="inlineStr">
        <is>
          <t xml:space="preserve">block</t>
        </is>
      </c>
      <c r="D26" t="inlineStr">
        <is>
          <t xml:space="preserve">meta</t>
        </is>
      </c>
      <c r="E26" t="inlineStr">
        <is>
          <t xml:space="preserve">ui</t>
        </is>
      </c>
      <c r="F26" t="inlineStr">
        <is>
          <t xml:space="preserve">Смысловая часть анкеты: один вопрос или группа связанных вопросов с общим заголовком.</t>
        </is>
      </c>
      <c r="G26" t="inlineStr">
        <is>
          <t xml:space="preserve">—</t>
        </is>
      </c>
      <c r="H26" t="inlineStr">
        <is>
          <t xml:space="preserve">—</t>
        </is>
      </c>
    </row>
    <row r="27">
      <c r="A27" t="inlineStr">
        <is>
          <t xml:space="preserve">23</t>
        </is>
      </c>
      <c r="B27" t="inlineStr">
        <is>
          <t xml:space="preserve">Форма/ Таблица</t>
        </is>
      </c>
      <c r="C27" t="inlineStr">
        <is>
          <t xml:space="preserve">form</t>
        </is>
      </c>
      <c r="D27" t="inlineStr">
        <is>
          <t xml:space="preserve">meta</t>
        </is>
      </c>
      <c r="E27" t="inlineStr">
        <is>
          <t xml:space="preserve">ui</t>
        </is>
      </c>
      <c r="F27" t="inlineStr">
        <is>
          <t xml:space="preserve">Набор однотипных строк, которые пользователь заполняет списком.</t>
        </is>
      </c>
      <c r="G27" t="inlineStr">
        <is>
          <t xml:space="preserve">—</t>
        </is>
      </c>
      <c r="H27" t="inlineStr">
        <is>
          <t xml:space="preserve">—</t>
        </is>
      </c>
    </row>
    <row r="28">
      <c r="A28" t="inlineStr">
        <is>
          <t xml:space="preserve">24</t>
        </is>
      </c>
      <c r="B28" t="inlineStr">
        <is>
          <t xml:space="preserve">Шапка таблицы</t>
        </is>
      </c>
      <c r="C28" t="inlineStr">
        <is>
          <t xml:space="preserve">table_head</t>
        </is>
      </c>
      <c r="D28" t="inlineStr">
        <is>
          <t xml:space="preserve">meta</t>
        </is>
      </c>
      <c r="E28" t="inlineStr">
        <is>
          <t xml:space="preserve">ui</t>
        </is>
      </c>
      <c r="F28" t="inlineStr">
        <is>
          <t xml:space="preserve">Названия столбцов таблицы.</t>
        </is>
      </c>
      <c r="G28" t="inlineStr">
        <is>
          <t xml:space="preserve">—</t>
        </is>
      </c>
      <c r="H28" t="inlineStr">
        <is>
          <t xml:space="preserve">—</t>
        </is>
      </c>
    </row>
    <row r="29">
      <c r="A29" t="inlineStr">
        <is>
          <t xml:space="preserve">25</t>
        </is>
      </c>
      <c r="B29" t="inlineStr">
        <is>
          <t xml:space="preserve">Строка таблицы</t>
        </is>
      </c>
      <c r="C29" t="inlineStr">
        <is>
          <t xml:space="preserve">table_row</t>
        </is>
      </c>
      <c r="D29" t="inlineStr">
        <is>
          <t xml:space="preserve">meta</t>
        </is>
      </c>
      <c r="E29" t="inlineStr">
        <is>
          <t xml:space="preserve">ui</t>
        </is>
      </c>
      <c r="F29" t="inlineStr">
        <is>
          <t xml:space="preserve">Одна строка, заполняемая пользователем.</t>
        </is>
      </c>
      <c r="G29" t="inlineStr">
        <is>
          <t xml:space="preserve">—</t>
        </is>
      </c>
      <c r="H29" t="inlineStr">
        <is>
          <t xml:space="preserve">—</t>
        </is>
      </c>
    </row>
    <row r="30">
      <c r="A30" t="inlineStr">
        <is>
          <t xml:space="preserve">26</t>
        </is>
      </c>
      <c r="B30" t="inlineStr">
        <is>
          <t xml:space="preserve">Текстовый блок</t>
        </is>
      </c>
      <c r="C30" t="inlineStr">
        <is>
          <t xml:space="preserve">info_block</t>
        </is>
      </c>
      <c r="D30" t="inlineStr">
        <is>
          <t xml:space="preserve">meta</t>
        </is>
      </c>
      <c r="E30" t="inlineStr">
        <is>
          <t xml:space="preserve">ui</t>
        </is>
      </c>
      <c r="F30" t="inlineStr">
        <is>
          <t xml:space="preserve">Пояснительный текст без полей ввода.</t>
        </is>
      </c>
      <c r="G30" t="inlineStr">
        <is>
          <t xml:space="preserve">—</t>
        </is>
      </c>
      <c r="H30" t="inlineStr">
        <is>
          <t xml:space="preserve">—</t>
        </is>
      </c>
    </row>
    <row r="31">
      <c r="A31" t="inlineStr">
        <is>
          <t xml:space="preserve">27</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c r="G31" t="inlineStr">
        <is>
          <t xml:space="preserve">—</t>
        </is>
      </c>
      <c r="H31" t="inlineStr">
        <is>
          <t xml:space="preserve">—</t>
        </is>
      </c>
    </row>
    <row r="32">
      <c r="A32" t="inlineStr">
        <is>
          <t xml:space="preserve">28</t>
        </is>
      </c>
      <c r="B32" t="inlineStr">
        <is>
          <t xml:space="preserve">Настраиваемое поле</t>
        </is>
      </c>
      <c r="C32" t="inlineStr">
        <is>
          <t xml:space="preserve">input_extended</t>
        </is>
      </c>
      <c r="D32" t="inlineStr">
        <is>
          <t xml:space="preserve">meta</t>
        </is>
      </c>
      <c r="E32" t="inlineStr">
        <is>
          <t xml:space="preserve">ui</t>
        </is>
      </c>
      <c r="F32" t="inlineStr">
        <is>
          <t xml:space="preserve">Поле для ввода с дополнительной настройкой рядом.</t>
        </is>
      </c>
      <c r="G32" t="inlineStr">
        <is>
          <t xml:space="preserve">—</t>
        </is>
      </c>
      <c r="H32" t="inlineStr">
        <is>
          <t xml:space="preserve">—</t>
        </is>
      </c>
    </row>
    <row r="33">
      <c r="A33" t="inlineStr">
        <is>
          <t xml:space="preserve">29</t>
        </is>
      </c>
      <c r="B33" t="inlineStr">
        <is>
          <t xml:space="preserve">Галочка</t>
        </is>
      </c>
      <c r="C33" t="inlineStr">
        <is>
          <t xml:space="preserve">checkbox</t>
        </is>
      </c>
      <c r="D33" t="inlineStr">
        <is>
          <t xml:space="preserve">meta</t>
        </is>
      </c>
      <c r="E33" t="inlineStr">
        <is>
          <t xml:space="preserve">ui</t>
        </is>
      </c>
      <c r="F33" t="inlineStr">
        <is>
          <t xml:space="preserve">Включает или выключает блок либо строку расчёта.</t>
        </is>
      </c>
      <c r="G33" t="inlineStr">
        <is>
          <t xml:space="preserve">—</t>
        </is>
      </c>
      <c r="H33" t="inlineStr">
        <is>
          <t xml:space="preserve">—</t>
        </is>
      </c>
    </row>
    <row r="34">
      <c r="A34" t="inlineStr">
        <is>
          <t xml:space="preserve">30</t>
        </is>
      </c>
      <c r="B34" t="inlineStr">
        <is>
          <t xml:space="preserve">Кнопка</t>
        </is>
      </c>
      <c r="C34" t="inlineStr">
        <is>
          <t xml:space="preserve">button</t>
        </is>
      </c>
      <c r="D34" t="inlineStr">
        <is>
          <t xml:space="preserve">meta</t>
        </is>
      </c>
      <c r="E34" t="inlineStr">
        <is>
          <t xml:space="preserve">ui</t>
        </is>
      </c>
      <c r="G34" t="inlineStr">
        <is>
          <t xml:space="preserve">—</t>
        </is>
      </c>
      <c r="H34" t="inlineStr">
        <is>
          <t xml:space="preserve">—</t>
        </is>
      </c>
    </row>
    <row r="35">
      <c r="A35" t="inlineStr">
        <is>
          <t xml:space="preserve">31</t>
        </is>
      </c>
      <c r="B35" t="inlineStr">
        <is>
          <t xml:space="preserve">Кнопка «Добавить позицию»</t>
        </is>
      </c>
      <c r="C35" t="inlineStr">
        <is>
          <t xml:space="preserve">button_add</t>
        </is>
      </c>
      <c r="D35" t="inlineStr">
        <is>
          <t xml:space="preserve">meta</t>
        </is>
      </c>
      <c r="E35" t="inlineStr">
        <is>
          <t xml:space="preserve">ui</t>
        </is>
      </c>
      <c r="F35" t="inlineStr">
        <is>
          <t xml:space="preserve">Кнопка «Добавить позицию»</t>
        </is>
      </c>
      <c r="G35" t="inlineStr">
        <is>
          <t xml:space="preserve">—</t>
        </is>
      </c>
      <c r="H35" t="inlineStr">
        <is>
          <t xml:space="preserve">—</t>
        </is>
      </c>
    </row>
    <row r="36">
      <c r="A36" t="inlineStr">
        <is>
          <t xml:space="preserve">32</t>
        </is>
      </c>
      <c r="B36" t="inlineStr">
        <is>
          <t xml:space="preserve">Вывод</t>
        </is>
      </c>
      <c r="C36" t="inlineStr">
        <is>
          <t xml:space="preserve">report</t>
        </is>
      </c>
      <c r="D36" t="inlineStr">
        <is>
          <t xml:space="preserve">meta</t>
        </is>
      </c>
      <c r="E36" t="inlineStr">
        <is>
          <t xml:space="preserve">ui</t>
        </is>
      </c>
      <c r="F36" t="inlineStr">
        <is>
          <t xml:space="preserve">Строка  вывода результата расчета</t>
        </is>
      </c>
      <c r="G36" t="inlineStr">
        <is>
          <t xml:space="preserve">—</t>
        </is>
      </c>
      <c r="H36" t="inlineStr">
        <is>
          <t xml:space="preserve">—</t>
        </is>
      </c>
    </row>
    <row r="37">
      <c r="A37" t="inlineStr">
        <is>
          <t xml:space="preserve">33</t>
        </is>
      </c>
      <c r="B37" t="inlineStr">
        <is>
          <t xml:space="preserve">Шапка</t>
        </is>
      </c>
      <c r="C37" t="inlineStr">
        <is>
          <t xml:space="preserve">header</t>
        </is>
      </c>
      <c r="D37" t="inlineStr">
        <is>
          <t xml:space="preserve">meta</t>
        </is>
      </c>
      <c r="E37" t="inlineStr">
        <is>
          <t xml:space="preserve">ui</t>
        </is>
      </c>
      <c r="F37" t="inlineStr">
        <is>
          <t xml:space="preserve">Заголовок, подзаголовок, дата расчёта.</t>
        </is>
      </c>
      <c r="G37" t="inlineStr">
        <is>
          <t xml:space="preserve">—</t>
        </is>
      </c>
      <c r="H37" t="inlineStr">
        <is>
          <t xml:space="preserve">—</t>
        </is>
      </c>
    </row>
    <row r="38">
      <c r="A38" t="inlineStr">
        <is>
          <t xml:space="preserve">34</t>
        </is>
      </c>
      <c r="B38" t="inlineStr">
        <is>
          <t xml:space="preserve">Главный экран</t>
        </is>
      </c>
      <c r="C38" t="inlineStr">
        <is>
          <t xml:space="preserve">hero</t>
        </is>
      </c>
      <c r="D38" t="inlineStr">
        <is>
          <t xml:space="preserve">meta</t>
        </is>
      </c>
      <c r="E38" t="inlineStr">
        <is>
          <t xml:space="preserve">ui</t>
        </is>
      </c>
      <c r="F38" t="inlineStr">
        <is>
          <t xml:space="preserve">Главный блок на странице</t>
        </is>
      </c>
      <c r="G38" t="inlineStr">
        <is>
          <t xml:space="preserve">—</t>
        </is>
      </c>
      <c r="H38" t="inlineStr">
        <is>
          <t xml:space="preserve">—</t>
        </is>
      </c>
    </row>
    <row r="39">
      <c r="A39" t="inlineStr">
        <is>
          <t xml:space="preserve">35</t>
        </is>
      </c>
      <c r="B39" t="inlineStr">
        <is>
          <t xml:space="preserve">Строка показателей</t>
        </is>
      </c>
      <c r="C39" t="inlineStr">
        <is>
          <t xml:space="preserve">report_row</t>
        </is>
      </c>
      <c r="D39" t="inlineStr">
        <is>
          <t xml:space="preserve">meta</t>
        </is>
      </c>
      <c r="E39" t="inlineStr">
        <is>
          <t xml:space="preserve">ui</t>
        </is>
      </c>
      <c r="F39" t="inlineStr">
        <is>
          <t xml:space="preserve">Три показателя в строку под главной плашкой.</t>
        </is>
      </c>
      <c r="G39" t="inlineStr">
        <is>
          <t xml:space="preserve">—</t>
        </is>
      </c>
      <c r="H39" t="inlineStr">
        <is>
          <t xml:space="preserve">—</t>
        </is>
      </c>
    </row>
    <row r="40">
      <c r="A40" t="inlineStr">
        <is>
          <t xml:space="preserve">36</t>
        </is>
      </c>
      <c r="B40" t="inlineStr">
        <is>
          <t xml:space="preserve">Кольцевая диаграмма</t>
        </is>
      </c>
      <c r="C40" t="inlineStr">
        <is>
          <t xml:space="preserve">chart_donut</t>
        </is>
      </c>
      <c r="D40" t="inlineStr">
        <is>
          <t xml:space="preserve">meta</t>
        </is>
      </c>
      <c r="E40" t="inlineStr">
        <is>
          <t xml:space="preserve">ui</t>
        </is>
      </c>
      <c r="F40" t="inlineStr">
        <is>
          <t xml:space="preserve">Кольцо с сегментами и легендой.</t>
        </is>
      </c>
      <c r="G40" t="inlineStr">
        <is>
          <t xml:space="preserve">—</t>
        </is>
      </c>
      <c r="H40" t="inlineStr">
        <is>
          <t xml:space="preserve">—</t>
        </is>
      </c>
    </row>
    <row r="41">
      <c r="A41" t="inlineStr">
        <is>
          <t xml:space="preserve">37</t>
        </is>
      </c>
      <c r="B41" t="inlineStr">
        <is>
          <t xml:space="preserve">Блок оплаты</t>
        </is>
      </c>
      <c r="C41" t="inlineStr">
        <is>
          <t xml:space="preserve">paywall</t>
        </is>
      </c>
      <c r="D41" t="inlineStr">
        <is>
          <t xml:space="preserve">meta</t>
        </is>
      </c>
      <c r="E41" t="inlineStr">
        <is>
          <t xml:space="preserve">ui</t>
        </is>
      </c>
      <c r="F41" t="inlineStr">
        <is>
          <t xml:space="preserve">Иконка, заголовок, цена, кнопки.</t>
        </is>
      </c>
      <c r="G41" t="inlineStr">
        <is>
          <t xml:space="preserve">—</t>
        </is>
      </c>
      <c r="H41" t="inlineStr">
        <is>
          <t xml:space="preserve">—</t>
        </is>
      </c>
    </row>
  </sheetData>
</worksheet>
</file>

<file path=xl/worksheets/sheet3.xml><?xml version="1.0" encoding="utf-8"?>
<worksheet xmlns="http://schemas.openxmlformats.org/spreadsheetml/2006/main">
  <sheetPr>
    <outlinePr summaryBelow="1" summaryRight="1"/>
    <pageSetUpPr/>
  </sheetPr>
  <dimension ref="A1:I143"/>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3"/>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на форс-мажоры</t>
        </is>
      </c>
      <c r="C32" s="34" t="inlineStr">
        <is>
          <t xml:space="preserve">Не закладывать</t>
        </is>
      </c>
      <c r="D32" s="28" t="inlineStr"/>
      <c r="E32" s="30" t="inlineStr"/>
      <c r="F32" s="7" t="inlineStr">
        <is>
          <t>default</t>
        </is>
      </c>
      <c r="G32" s="6" t="inlineStr"/>
      <c r="H32" s="30" t="inlineStr">
        <is>
          <t>Block14a</t>
        </is>
      </c>
      <c r="I32" s="286" t="inlineStr">
        <is>
          <t>Галочка «Учитывать резерв на форс-мажоры» СНЯТА по умолчанию (06.08.2026). Поле % неактивно, пока не включена</t>
        </is>
      </c>
    </row>
    <row r="33">
      <c r="A33" s="27" t="inlineStr">
        <is>
          <t>fm_pct</t>
        </is>
      </c>
      <c r="B33" s="28" t="inlineStr">
        <is>
          <t>Резерв на форс-мажоры, %</t>
        </is>
      </c>
      <c r="C33" s="35" t="n">
        <v>0.05</v>
      </c>
      <c r="D33" s="28" t="inlineStr">
        <is>
          <t>%</t>
        </is>
      </c>
      <c r="E33" s="30" t="inlineStr"/>
      <c r="F33" s="7" t="inlineStr">
        <is>
          <t>default</t>
        </is>
      </c>
      <c r="G33" s="6" t="inlineStr"/>
      <c r="H33" s="30" t="inlineStr">
        <is>
          <t>Перенос и отмена съёмок, срывы по вине клиента, повторные выезды. Редактируется</t>
        </is>
      </c>
      <c r="I33" s="286" t="inlineStr">
        <is>
          <t>Галочка «Учитывать резерв на форс-мажоры» СНЯТА по умолчанию (06.08.2026). Поле % неактивно, пока не включена</t>
        </is>
      </c>
    </row>
    <row r="34">
      <c r="A34" s="27" t="inlineStr">
        <is>
          <t>fm_time</t>
        </is>
      </c>
      <c r="B34" s="28" t="inlineStr">
        <is>
          <t>Резерв на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hour_pool</t>
        </is>
      </c>
      <c r="B46" s="28" t="inlineStr">
        <is>
          <t>Стоимость часа проектного времени</t>
        </is>
      </c>
      <c r="C46" s="36">
        <f>IF(project_pool=0,0,CHOOSE(regime_no,'05_Расчёт'!B4,'05_Расчёт'!C4,'05_Расчёт'!D4,'05_Расчёт'!E4,'05_Расчёт'!F4,'05_Расчёт'!G4,'05_Расчёт'!H4)/project_pool)</f>
        <v>1885.9972058598723</v>
      </c>
      <c r="D46" s="28" t="inlineStr">
        <is>
          <t>₽/ч</t>
        </is>
      </c>
      <c r="E46" s="30" t="inlineStr">
        <is>
          <t>IF(project_pool=0,0,CHOOSE(regime_no,'05_Расчёт'!B4,'05_Расчёт'!C4,'05_Расчёт'!D4,'05_Расчёт'!E4,'05_Расчёт'!F4,'05_Расчёт'!G4,'05_Расчёт'!H4)/project_pool)</t>
        </is>
      </c>
      <c r="F46" s="7" t="inlineStr">
        <is>
          <t>calc</t>
        </is>
      </c>
      <c r="G46" s="6" t="inlineStr">
        <is>
          <t>выручка, project_pool</t>
        </is>
      </c>
      <c r="H46" s="30" t="inlineStr">
        <is>
          <t>ПОСТОЯННАЯ. База для сетки объёмных скидок</t>
        </is>
      </c>
    </row>
    <row r="47">
      <c r="A47" s="27" t="inlineStr">
        <is>
          <t>projects_year</t>
        </is>
      </c>
      <c r="B47" s="28" t="inlineStr">
        <is>
          <t>Проектов в год</t>
        </is>
      </c>
      <c r="C47" s="31">
        <f>IF(project_time=0,0,project_pool/project_time)</f>
        <v>216.6</v>
      </c>
      <c r="D47" s="28" t="inlineStr">
        <is>
          <t>шт/год</t>
        </is>
      </c>
      <c r="E47" s="30" t="inlineStr">
        <is>
          <t>IF(project_time=0,0,project_pool/project_time)</t>
        </is>
      </c>
      <c r="F47" s="7" t="inlineStr">
        <is>
          <t>calc</t>
        </is>
      </c>
      <c r="G47" s="6" t="inlineStr">
        <is>
          <t>project_pool, project_time</t>
        </is>
      </c>
      <c r="H47" s="30" t="inlineStr"/>
    </row>
    <row r="48">
      <c r="A48" s="27" t="inlineStr">
        <is>
          <t>projects_month</t>
        </is>
      </c>
      <c r="B48" s="28" t="inlineStr">
        <is>
          <t>Проектов в месяц</t>
        </is>
      </c>
      <c r="C48" s="31">
        <f>projects_year/months</f>
        <v>18.05</v>
      </c>
      <c r="D48" s="28" t="inlineStr">
        <is>
          <t>шт/мес</t>
        </is>
      </c>
      <c r="E48" s="30" t="inlineStr">
        <is>
          <t>projects_year/months</t>
        </is>
      </c>
      <c r="F48" s="7" t="inlineStr">
        <is>
          <t>calc</t>
        </is>
      </c>
      <c r="G48" s="6" t="inlineStr">
        <is>
          <t>projects_year, months</t>
        </is>
      </c>
      <c r="H48" s="30" t="inlineStr"/>
    </row>
    <row r="49">
      <c r="A49" s="27" t="inlineStr">
        <is>
          <t>projects_week</t>
        </is>
      </c>
      <c r="B49" s="28" t="inlineStr">
        <is>
          <t>Проектов в неделю</t>
        </is>
      </c>
      <c r="C49" s="31">
        <f>projects_year/net_weeks</f>
        <v>4.945205479452055</v>
      </c>
      <c r="D49" s="28" t="inlineStr">
        <is>
          <t>шт/нед</t>
        </is>
      </c>
      <c r="E49" s="30" t="inlineStr">
        <is>
          <t>projects_year/net_weeks</t>
        </is>
      </c>
      <c r="F49" s="7" t="inlineStr">
        <is>
          <t>calc</t>
        </is>
      </c>
      <c r="G49" s="6" t="inlineStr">
        <is>
          <t>projects_year, net_weeks</t>
        </is>
      </c>
      <c r="H49" s="30" t="inlineStr">
        <is>
          <t>При авторежиме равно week_target</t>
        </is>
      </c>
    </row>
    <row r="50">
      <c r="A50" s="27" t="inlineStr">
        <is>
          <t>shooting_time</t>
        </is>
      </c>
      <c r="B50" s="28" t="inlineStr">
        <is>
          <t>СЪЁМОЧНОЕ время</t>
        </is>
      </c>
      <c r="C50" s="31">
        <f>projects_year*shoot_duration</f>
        <v>216.6</v>
      </c>
      <c r="D50" s="28" t="inlineStr">
        <is>
          <t>ч/год</t>
        </is>
      </c>
      <c r="E50" s="30" t="inlineStr">
        <is>
          <t>projects_year*shoot_duration</t>
        </is>
      </c>
      <c r="F50" s="7" t="inlineStr">
        <is>
          <t>calc</t>
        </is>
      </c>
      <c r="G50" s="6" t="inlineStr">
        <is>
          <t>projects_year, shoot_duration</t>
        </is>
      </c>
      <c r="H50" s="30" t="inlineStr">
        <is>
          <t>ЦЕЛЬ РАСЧЁТА — знаменатель ставки</t>
        </is>
      </c>
    </row>
    <row r="51">
      <c r="A51" s="27" t="inlineStr">
        <is>
          <t>shooting_month</t>
        </is>
      </c>
      <c r="B51" s="28" t="inlineStr">
        <is>
          <t>Съёмочное время в месяц</t>
        </is>
      </c>
      <c r="C51" s="31">
        <f>shooting_time/months</f>
        <v>18.05</v>
      </c>
      <c r="D51" s="28" t="inlineStr">
        <is>
          <t>ч/мес</t>
        </is>
      </c>
      <c r="E51" s="30" t="inlineStr">
        <is>
          <t>shooting_time/months</t>
        </is>
      </c>
      <c r="F51" s="7" t="inlineStr">
        <is>
          <t>calc</t>
        </is>
      </c>
      <c r="G51" s="6" t="inlineStr">
        <is>
          <t>shooting_time, months</t>
        </is>
      </c>
      <c r="H51" s="30" t="inlineStr"/>
    </row>
    <row r="52">
      <c r="A52" s="27" t="inlineStr">
        <is>
          <t>shooting_week</t>
        </is>
      </c>
      <c r="B52" s="28" t="inlineStr">
        <is>
          <t>Съёмочное время в неделю</t>
        </is>
      </c>
      <c r="C52" s="31">
        <f>shooting_time/net_weeks</f>
        <v>4.945205479452055</v>
      </c>
      <c r="D52" s="28" t="inlineStr">
        <is>
          <t>ч/нед</t>
        </is>
      </c>
      <c r="E52" s="30" t="inlineStr">
        <is>
          <t>shooting_time/net_weeks</t>
        </is>
      </c>
      <c r="F52" s="7" t="inlineStr">
        <is>
          <t>calc</t>
        </is>
      </c>
      <c r="G52" s="6" t="inlineStr">
        <is>
          <t>shooting_time, net_weeks</t>
        </is>
      </c>
      <c r="H52" s="30" t="inlineStr"/>
    </row>
    <row r="53">
      <c r="A53" s="27" t="inlineStr">
        <is>
          <t>post_time</t>
        </is>
      </c>
      <c r="B53" s="28" t="inlineStr">
        <is>
          <t>Постпродакшн за год</t>
        </is>
      </c>
      <c r="C53" s="31">
        <f>shooting_time*post_ratio</f>
        <v>649.8</v>
      </c>
      <c r="D53" s="28" t="inlineStr">
        <is>
          <t>ч/год</t>
        </is>
      </c>
      <c r="E53" s="30" t="inlineStr">
        <is>
          <t>shooting_time*post_ratio</t>
        </is>
      </c>
      <c r="F53" s="7" t="inlineStr">
        <is>
          <t>calc</t>
        </is>
      </c>
      <c r="G53" s="6" t="inlineStr">
        <is>
          <t>shooting_time, post_ratio</t>
        </is>
      </c>
      <c r="H53" s="30" t="inlineStr">
        <is>
          <t>S × коэффициент на каждый проект</t>
        </is>
      </c>
    </row>
    <row r="54">
      <c r="A54" s="27" t="inlineStr">
        <is>
          <t>core_time</t>
        </is>
      </c>
      <c r="B54" s="28" t="inlineStr">
        <is>
          <t>ПРОФИЛЬНОЕ время</t>
        </is>
      </c>
      <c r="C54" s="31">
        <f>shooting_time*profile_multiplier</f>
        <v>866.4</v>
      </c>
      <c r="D54" s="28" t="inlineStr">
        <is>
          <t>ч/год</t>
        </is>
      </c>
      <c r="E54" s="30" t="inlineStr">
        <is>
          <t>shooting_time*profile_multiplier</t>
        </is>
      </c>
      <c r="F54" s="7" t="inlineStr">
        <is>
          <t>calc</t>
        </is>
      </c>
      <c r="G54" s="6" t="inlineStr">
        <is>
          <t>shooting_time, profile_multiplier</t>
        </is>
      </c>
      <c r="H54" s="30" t="inlineStr">
        <is>
          <t>Съёмка + обработка = S × (1 + коэффициент). БЕЗ работы с клиентом</t>
        </is>
      </c>
    </row>
    <row r="55">
      <c r="A55" s="27" t="inlineStr">
        <is>
          <t>client_total</t>
        </is>
      </c>
      <c r="B55" s="28" t="inlineStr">
        <is>
          <t>Работа с клиентом за год</t>
        </is>
      </c>
      <c r="C55" s="31">
        <f>projects_year*client_time</f>
        <v>216.6</v>
      </c>
      <c r="D55" s="28" t="inlineStr">
        <is>
          <t>ч/год</t>
        </is>
      </c>
      <c r="E55" s="30" t="inlineStr">
        <is>
          <t>projects_year*client_time</t>
        </is>
      </c>
      <c r="F55" s="7" t="inlineStr">
        <is>
          <t>calc</t>
        </is>
      </c>
      <c r="G55" s="6" t="inlineStr">
        <is>
          <t>projects_year, client_time</t>
        </is>
      </c>
      <c r="H55" s="30" t="inlineStr"/>
    </row>
    <row r="56">
      <c r="A56" s="27" t="inlineStr">
        <is>
          <t>ops_per_shoot</t>
        </is>
      </c>
      <c r="B56" s="28" t="inlineStr">
        <is>
          <t>Операционных часов на час съёмки</t>
        </is>
      </c>
      <c r="C56" s="31">
        <f>IF(shooting_time=0,0,side_time/shooting_time)</f>
        <v>2.0775623268698062</v>
      </c>
      <c r="D56" s="28" t="inlineStr">
        <is>
          <t>ч</t>
        </is>
      </c>
      <c r="E56" s="30" t="inlineStr">
        <is>
          <t>IF(shooting_time=0,0,side_time/shooting_time)</t>
        </is>
      </c>
      <c r="F56" s="7" t="inlineStr">
        <is>
          <t>calc</t>
        </is>
      </c>
      <c r="G56" s="6" t="inlineStr">
        <is>
          <t>side_time, shooting_time</t>
        </is>
      </c>
      <c r="H56" s="30" t="inlineStr"/>
    </row>
    <row r="57">
      <c r="A57" s="3" t="inlineStr">
        <is>
          <t>4 · ДОХОД</t>
        </is>
      </c>
    </row>
    <row r="58" ht="26" customHeight="1">
      <c r="A58" s="26" t="inlineStr">
        <is>
          <t>ID</t>
        </is>
      </c>
      <c r="B58" s="26" t="inlineStr">
        <is>
          <t>Название</t>
        </is>
      </c>
      <c r="C58" s="26" t="inlineStr">
        <is>
          <t>Значение</t>
        </is>
      </c>
      <c r="D58" s="26" t="inlineStr">
        <is>
          <t>Ед.</t>
        </is>
      </c>
      <c r="E58" s="26" t="inlineStr">
        <is>
          <t>Формула / как получено</t>
        </is>
      </c>
      <c r="F58" s="26" t="inlineStr">
        <is>
          <t>Тип</t>
        </is>
      </c>
      <c r="G58" s="26" t="inlineStr">
        <is>
          <t>Зависит от</t>
        </is>
      </c>
      <c r="H58" s="26" t="inlineStr">
        <is>
          <t>Источник / форма</t>
        </is>
      </c>
    </row>
    <row r="59">
      <c r="A59" s="27" t="inlineStr">
        <is>
          <t>income_month</t>
        </is>
      </c>
      <c r="B59" s="28" t="inlineStr">
        <is>
          <t>Желаемый доход на руки</t>
        </is>
      </c>
      <c r="C59" s="37" t="n">
        <v>110216</v>
      </c>
      <c r="D59" s="28" t="inlineStr">
        <is>
          <t>₽/мес</t>
        </is>
      </c>
      <c r="E59" s="30" t="inlineStr"/>
      <c r="F59" s="7" t="inlineStr">
        <is>
          <t>default</t>
        </is>
      </c>
      <c r="G59" s="6" t="inlineStr"/>
      <c r="H59" s="30" t="inlineStr">
        <is>
          <t>Block1 · Росстат 2026</t>
        </is>
      </c>
    </row>
    <row r="60">
      <c r="A60" s="27" t="inlineStr">
        <is>
          <t>target_income</t>
        </is>
      </c>
      <c r="B60" s="28" t="inlineStr">
        <is>
          <t>Желаемый доход за год</t>
        </is>
      </c>
      <c r="C60" s="38">
        <f>income_month*months</f>
        <v>1322592.0</v>
      </c>
      <c r="D60" s="28" t="inlineStr">
        <is>
          <t>₽/год</t>
        </is>
      </c>
      <c r="E60" s="30" t="inlineStr">
        <is>
          <t>income_month*months</t>
        </is>
      </c>
      <c r="F60" s="7" t="inlineStr">
        <is>
          <t>calc</t>
        </is>
      </c>
      <c r="G60" s="6" t="inlineStr">
        <is>
          <t>income_month, months</t>
        </is>
      </c>
      <c r="H60" s="30" t="inlineStr">
        <is>
          <t>N — на руки после всех платежей</t>
        </is>
      </c>
    </row>
    <row r="61">
      <c r="A61" s="27" t="inlineStr">
        <is>
          <t>current_rate</t>
        </is>
      </c>
      <c r="B61" s="28" t="inlineStr">
        <is>
          <t>Текущая ставка часа</t>
        </is>
      </c>
      <c r="C61" s="37" t="n">
        <v>6000</v>
      </c>
      <c r="D61" s="28" t="inlineStr">
        <is>
          <t>₽/ч</t>
        </is>
      </c>
      <c r="E61" s="30" t="inlineStr"/>
      <c r="F61" s="7" t="inlineStr">
        <is>
          <t>default</t>
        </is>
      </c>
      <c r="G61" s="6" t="inlineStr"/>
      <c r="H61" s="30" t="inlineStr">
        <is>
          <t>Block2 · для сравнения</t>
        </is>
      </c>
    </row>
    <row r="62">
      <c r="A62" s="3" t="inlineStr">
        <is>
          <t>5 · РАБОЧЕЕ МЕСТО · ПЕРЕКЛЮЧАТЕЛЬ (Form005/013 · Block9)</t>
        </is>
      </c>
    </row>
    <row r="63" ht="26" customHeight="1">
      <c r="A63" s="26" t="inlineStr">
        <is>
          <t>ID</t>
        </is>
      </c>
      <c r="B63" s="26" t="inlineStr">
        <is>
          <t>Название</t>
        </is>
      </c>
      <c r="C63" s="26" t="inlineStr">
        <is>
          <t>Значение</t>
        </is>
      </c>
      <c r="D63" s="26" t="inlineStr">
        <is>
          <t>Ед.</t>
        </is>
      </c>
      <c r="E63" s="26" t="inlineStr">
        <is>
          <t>Формула / как получено</t>
        </is>
      </c>
      <c r="F63" s="26" t="inlineStr">
        <is>
          <t>Тип</t>
        </is>
      </c>
      <c r="G63" s="26" t="inlineStr">
        <is>
          <t>Зависит от</t>
        </is>
      </c>
      <c r="H63" s="26" t="inlineStr">
        <is>
          <t>Источник / форма</t>
        </is>
      </c>
    </row>
    <row r="64">
      <c r="A64" s="27" t="inlineStr">
        <is>
          <t>ws_mode</t>
        </is>
      </c>
      <c r="B64" s="28" t="inlineStr">
        <is>
          <t>ПЕРЕКЛЮЧАТЕЛЬ · рабочее место</t>
        </is>
      </c>
      <c r="C64" s="34" t="inlineStr">
        <is>
          <t>Работаю из дома</t>
        </is>
      </c>
      <c r="D64" s="28" t="inlineStr"/>
      <c r="E64" s="30" t="inlineStr"/>
      <c r="F64" s="7" t="inlineStr">
        <is>
          <t>default</t>
        </is>
      </c>
      <c r="G64" s="6" t="inlineStr"/>
      <c r="H64" s="30" t="inlineStr">
        <is>
          <t>Form005 · A111</t>
        </is>
      </c>
    </row>
    <row r="65">
      <c r="A65" s="27" t="inlineStr">
        <is>
          <t>own_home</t>
        </is>
      </c>
      <c r="B65" s="28" t="inlineStr">
        <is>
          <t>ДОМА · живу в своём, ипотеки нет</t>
        </is>
      </c>
      <c r="C65" s="34" t="inlineStr">
        <is>
          <t>нет</t>
        </is>
      </c>
      <c r="D65" s="28" t="inlineStr"/>
      <c r="E65" s="30" t="inlineStr"/>
      <c r="F65" s="7" t="inlineStr">
        <is>
          <t>default</t>
        </is>
      </c>
      <c r="G65" s="6" t="inlineStr"/>
      <c r="H65" s="30" t="inlineStr">
        <is>
          <t>Контекстная галочка: показывает рекомендацию, но не обнуляет стоимость жилья</t>
        </is>
      </c>
    </row>
    <row r="66">
      <c r="A66" s="27" t="inlineStr">
        <is>
          <t>home_rent</t>
        </is>
      </c>
      <c r="B66" s="28" t="inlineStr">
        <is>
          <t>ДОМА · аренда или ипотека</t>
        </is>
      </c>
      <c r="C66" s="37" t="n">
        <v>40000</v>
      </c>
      <c r="D66" s="28" t="inlineStr">
        <is>
          <t>₽/мес</t>
        </is>
      </c>
      <c r="E66" s="30" t="inlineStr"/>
      <c r="F66" s="7" t="inlineStr">
        <is>
          <t>default</t>
        </is>
      </c>
      <c r="G66" s="6" t="inlineStr"/>
      <c r="H66" s="30" t="inlineStr">
        <is>
          <t>По доле метров; поле остаётся активным при own_home = да</t>
        </is>
      </c>
    </row>
    <row r="67">
      <c r="A67" s="27" t="inlineStr">
        <is>
          <t>home_util</t>
        </is>
      </c>
      <c r="B67" s="28" t="inlineStr">
        <is>
          <t>ДОМА · коммунальные и связь</t>
        </is>
      </c>
      <c r="C67" s="37" t="n">
        <v>7000</v>
      </c>
      <c r="D67" s="28" t="inlineStr">
        <is>
          <t>₽/мес</t>
        </is>
      </c>
      <c r="E67" s="30" t="inlineStr"/>
      <c r="F67" s="7" t="inlineStr">
        <is>
          <t>default</t>
        </is>
      </c>
      <c r="G67" s="6" t="inlineStr"/>
      <c r="H67" s="30" t="inlineStr">
        <is>
          <t>По доле метров рабочего места</t>
        </is>
      </c>
    </row>
    <row r="68">
      <c r="A68" s="27" t="inlineStr">
        <is>
          <t>home_area</t>
        </is>
      </c>
      <c r="B68" s="28" t="inlineStr">
        <is>
          <t>ДОМА · общая площадь жилья</t>
        </is>
      </c>
      <c r="C68" s="33" t="n">
        <v>50</v>
      </c>
      <c r="D68" s="28" t="inlineStr">
        <is>
          <t>м²</t>
        </is>
      </c>
      <c r="E68" s="30" t="inlineStr"/>
      <c r="F68" s="7" t="inlineStr">
        <is>
          <t>default</t>
        </is>
      </c>
      <c r="G68" s="6" t="inlineStr"/>
      <c r="H68" s="30" t="inlineStr"/>
    </row>
    <row r="69">
      <c r="A69" s="27" t="inlineStr">
        <is>
          <t>cab_area</t>
        </is>
      </c>
      <c r="B69" s="28" t="inlineStr">
        <is>
          <t>ДОМА · площадь под кабинет</t>
        </is>
      </c>
      <c r="C69" s="33" t="n">
        <v>6</v>
      </c>
      <c r="D69" s="28" t="inlineStr">
        <is>
          <t>м²</t>
        </is>
      </c>
      <c r="E69" s="30" t="inlineStr"/>
      <c r="F69" s="7" t="inlineStr">
        <is>
          <t>default</t>
        </is>
      </c>
      <c r="G69" s="6" t="inlineStr"/>
      <c r="H69" s="30" t="inlineStr"/>
    </row>
    <row r="70">
      <c r="A70" s="27" t="inlineStr">
        <is>
          <t>cab_share</t>
        </is>
      </c>
      <c r="B70" s="28" t="inlineStr">
        <is>
          <t>ДОМА · доля кабинета</t>
        </is>
      </c>
      <c r="C70" s="39">
        <f>IF(home_area=0,0,cab_area/home_area)</f>
        <v>0.12</v>
      </c>
      <c r="D70" s="28" t="inlineStr">
        <is>
          <t>%</t>
        </is>
      </c>
      <c r="E70" s="30" t="inlineStr">
        <is>
          <t>IF(home_area=0,0,cab_area/home_area)</t>
        </is>
      </c>
      <c r="F70" s="7" t="inlineStr">
        <is>
          <t>calc</t>
        </is>
      </c>
      <c r="G70" s="6" t="inlineStr">
        <is>
          <t>cab_area, home_area</t>
        </is>
      </c>
      <c r="H70" s="30" t="inlineStr"/>
    </row>
    <row r="71">
      <c r="A71" s="27" t="inlineStr">
        <is>
          <t>office_rent</t>
        </is>
      </c>
      <c r="B71" s="28" t="inlineStr">
        <is>
          <t>АРЕНДА · стоимость помещения</t>
        </is>
      </c>
      <c r="C71" s="37" t="n">
        <v>15000</v>
      </c>
      <c r="D71" s="28" t="inlineStr">
        <is>
          <t>₽/мес</t>
        </is>
      </c>
      <c r="E71" s="30" t="inlineStr"/>
      <c r="F71" s="7" t="inlineStr">
        <is>
          <t>default</t>
        </is>
      </c>
      <c r="G71" s="6" t="inlineStr"/>
      <c r="H71" s="30" t="inlineStr">
        <is>
          <t>ЦЕЛИКОМ</t>
        </is>
      </c>
    </row>
    <row r="72">
      <c r="A72" s="27" t="inlineStr">
        <is>
          <t>office_util</t>
        </is>
      </c>
      <c r="B72" s="28" t="inlineStr">
        <is>
          <t>АРЕНДА · коммунальные и связь</t>
        </is>
      </c>
      <c r="C72" s="37" t="n">
        <v>7000</v>
      </c>
      <c r="D72" s="28" t="inlineStr">
        <is>
          <t>₽/мес</t>
        </is>
      </c>
      <c r="E72" s="30" t="inlineStr"/>
      <c r="F72" s="7" t="inlineStr">
        <is>
          <t>default</t>
        </is>
      </c>
      <c r="G72" s="6" t="inlineStr"/>
      <c r="H72" s="30" t="inlineStr">
        <is>
          <t>ЦЕЛИКОМ</t>
        </is>
      </c>
    </row>
    <row r="73">
      <c r="A73" s="27" t="inlineStr">
        <is>
          <t>var_workspace</t>
        </is>
      </c>
      <c r="B73" s="28" t="inlineStr">
        <is>
          <t>Содержание рабочего места</t>
        </is>
      </c>
      <c r="C73" s="36">
        <f>IF(ws_mode="Работаю из дома",(home_rent+home_util)*cab_share*months,(office_rent+office_util)*months)</f>
        <v>67680.0</v>
      </c>
      <c r="D73" s="28" t="inlineStr">
        <is>
          <t>₽/год</t>
        </is>
      </c>
      <c r="E73" s="30" t="inlineStr">
        <is>
          <t>IF(ws_mode="Работаю из дома",(home_rent+home_util)*cab_share*months,(office_rent+office_util)*months)</t>
        </is>
      </c>
      <c r="F73" s="7" t="inlineStr">
        <is>
          <t>calc</t>
        </is>
      </c>
      <c r="G73" s="6" t="inlineStr">
        <is>
          <t>ws_mode, home_rent, cab_share, home_util, office_rent, office_util</t>
        </is>
      </c>
      <c r="H73" s="30" t="inlineStr"/>
    </row>
    <row r="74">
      <c r="A74" s="3" t="inlineStr">
        <is>
          <t>6 · ОБУЧЕНИЕ И САЙТ · ПЕРЕКЛЮЧАТЕЛИ</t>
        </is>
      </c>
    </row>
    <row r="75" ht="26" customHeight="1">
      <c r="A75" s="26" t="inlineStr">
        <is>
          <t>ID</t>
        </is>
      </c>
      <c r="B75" s="26" t="inlineStr">
        <is>
          <t>Название</t>
        </is>
      </c>
      <c r="C75" s="26" t="inlineStr">
        <is>
          <t>Значение</t>
        </is>
      </c>
      <c r="D75" s="26" t="inlineStr">
        <is>
          <t>Ед.</t>
        </is>
      </c>
      <c r="E75" s="26" t="inlineStr">
        <is>
          <t>Формула / как получено</t>
        </is>
      </c>
      <c r="F75" s="26" t="inlineStr">
        <is>
          <t>Тип</t>
        </is>
      </c>
      <c r="G75" s="26" t="inlineStr">
        <is>
          <t>Зависит от</t>
        </is>
      </c>
      <c r="H75" s="26" t="inlineStr">
        <is>
          <t>Источник / форма</t>
        </is>
      </c>
    </row>
    <row r="76">
      <c r="A76" s="27" t="inlineStr">
        <is>
          <t>edu_cost</t>
        </is>
      </c>
      <c r="B76" s="28" t="inlineStr">
        <is>
          <t>Обучение · стоимость курса</t>
        </is>
      </c>
      <c r="C76" s="37" t="n">
        <v>80000</v>
      </c>
      <c r="D76" s="28" t="inlineStr">
        <is>
          <t>₽</t>
        </is>
      </c>
      <c r="E76" s="30" t="inlineStr"/>
      <c r="F76" s="7" t="inlineStr">
        <is>
          <t>default</t>
        </is>
      </c>
      <c r="G76" s="6" t="inlineStr"/>
      <c r="H76" s="30" t="inlineStr">
        <is>
          <t>Form006 · Block10</t>
        </is>
      </c>
    </row>
    <row r="77">
      <c r="A77" s="27" t="inlineStr">
        <is>
          <t>edu_months</t>
        </is>
      </c>
      <c r="B77" s="28" t="inlineStr">
        <is>
          <t>Обучение · месяцев без дохода</t>
        </is>
      </c>
      <c r="C77" s="40" t="n">
        <v>4</v>
      </c>
      <c r="D77" s="28" t="inlineStr">
        <is>
          <t>мес</t>
        </is>
      </c>
      <c r="E77" s="30" t="inlineStr"/>
      <c r="F77" s="7" t="inlineStr">
        <is>
          <t>default</t>
        </is>
      </c>
      <c r="G77" s="6" t="inlineStr"/>
      <c r="H77" s="30" t="inlineStr"/>
    </row>
    <row r="78">
      <c r="A78" s="27" t="inlineStr">
        <is>
          <t>edu_life</t>
        </is>
      </c>
      <c r="B78" s="28" t="inlineStr">
        <is>
          <t>Обучение · срок амортизации</t>
        </is>
      </c>
      <c r="C78" s="40" t="n">
        <v>7</v>
      </c>
      <c r="D78" s="28" t="inlineStr">
        <is>
          <t>лет</t>
        </is>
      </c>
      <c r="E78" s="30" t="inlineStr"/>
      <c r="F78" s="7" t="inlineStr">
        <is>
          <t>default</t>
        </is>
      </c>
      <c r="G78" s="6" t="inlineStr"/>
      <c r="H78" s="30" t="inlineStr"/>
    </row>
    <row r="79">
      <c r="A79" s="27" t="n"/>
      <c r="B79" s="28" t="n"/>
      <c r="C79" s="34" t="n"/>
      <c r="D79" s="28" t="n"/>
      <c r="E79" s="30" t="n"/>
      <c r="F79" s="7" t="n"/>
      <c r="G79" s="6" t="n"/>
      <c r="H79" s="30" t="n"/>
    </row>
    <row r="80">
      <c r="A80" s="27" t="inlineStr">
        <is>
          <t>edu_opportunity</t>
        </is>
      </c>
      <c r="B80" s="28" t="inlineStr">
        <is>
          <t>Обучение · упущенная выгода</t>
        </is>
      </c>
      <c r="C80" s="38">
        <f>edu_months*income_month</f>
        <v>440864.0</v>
      </c>
      <c r="D80" s="28" t="inlineStr">
        <is>
          <t>₽</t>
        </is>
      </c>
      <c r="E80" s="30" t="inlineStr">
        <is>
          <t>edu_months*income_month</t>
        </is>
      </c>
      <c r="F80" s="7" t="inlineStr">
        <is>
          <t>calc</t>
        </is>
      </c>
      <c r="G80" s="6" t="inlineStr">
        <is>
          <t>edu_months, income_month</t>
        </is>
      </c>
      <c r="H80" s="30" t="inlineStr"/>
    </row>
    <row r="81">
      <c r="A81" s="27" t="inlineStr">
        <is>
          <t>dep_education</t>
        </is>
      </c>
      <c r="B81" s="28" t="inlineStr">
        <is>
          <t>Амортизация · обучение</t>
        </is>
      </c>
      <c r="C81" s="36">
        <f>IF(edu_life=0,0,(edu_cost+edu_opportunity)/edu_life)</f>
        <v>74409.14285714286</v>
      </c>
      <c r="D81" s="28" t="inlineStr">
        <is>
          <t>₽/год</t>
        </is>
      </c>
      <c r="E81" s="30" t="inlineStr">
        <is>
          <t>IF(edu_life=0,0,(edu_cost+edu_opportunity)/edu_life)</t>
        </is>
      </c>
      <c r="F81" s="7" t="inlineStr">
        <is>
          <t>calc</t>
        </is>
      </c>
      <c r="G81" s="6" t="inlineStr">
        <is>
          <t>edu_cost, edu_opportunity, edu_life</t>
        </is>
      </c>
      <c r="H81" s="30" t="inlineStr"/>
    </row>
    <row r="82">
      <c r="A82" s="27" t="inlineStr">
        <is>
          <t>site_mode</t>
        </is>
      </c>
      <c r="B82" s="28" t="inlineStr">
        <is>
          <t>ПЕРЕКЛЮЧАТЕЛЬ · создание сайта</t>
        </is>
      </c>
      <c r="C82" s="34" t="inlineStr">
        <is>
          <t>Нанимал (а) специалиста</t>
        </is>
      </c>
      <c r="D82" s="28" t="inlineStr"/>
      <c r="E82" s="30" t="inlineStr"/>
      <c r="F82" s="7" t="inlineStr">
        <is>
          <t>default</t>
        </is>
      </c>
      <c r="G82" s="6" t="inlineStr"/>
      <c r="H82" s="30" t="inlineStr">
        <is>
          <t>Form014 · A123 · Block12</t>
        </is>
      </c>
    </row>
    <row r="83">
      <c r="A83" s="27" t="inlineStr">
        <is>
          <t>site_cost</t>
        </is>
      </c>
      <c r="B83" s="28" t="inlineStr">
        <is>
          <t>Сайт · стоимость подрядчика</t>
        </is>
      </c>
      <c r="C83" s="37" t="n">
        <v>70000</v>
      </c>
      <c r="D83" s="28" t="inlineStr">
        <is>
          <t>₽</t>
        </is>
      </c>
      <c r="E83" s="30" t="inlineStr"/>
      <c r="F83" s="7" t="inlineStr">
        <is>
          <t>default</t>
        </is>
      </c>
      <c r="G83" s="6" t="inlineStr"/>
      <c r="H83" s="30" t="inlineStr"/>
    </row>
    <row r="84">
      <c r="A84" s="27" t="inlineStr">
        <is>
          <t>site_hours</t>
        </is>
      </c>
      <c r="B84" s="28" t="inlineStr">
        <is>
          <t>Сайт · часов своими руками</t>
        </is>
      </c>
      <c r="C84" s="33" t="n">
        <v>80</v>
      </c>
      <c r="D84" s="28" t="inlineStr">
        <is>
          <t>ч</t>
        </is>
      </c>
      <c r="E84" s="30" t="inlineStr"/>
      <c r="F84" s="7" t="inlineStr">
        <is>
          <t>default</t>
        </is>
      </c>
      <c r="G84" s="6" t="inlineStr"/>
      <c r="H84" s="30" t="inlineStr">
        <is>
          <t>при варианте «делал сам»</t>
        </is>
      </c>
    </row>
    <row r="85">
      <c r="A85" s="27" t="inlineStr">
        <is>
          <t>site_life</t>
        </is>
      </c>
      <c r="B85" s="28" t="inlineStr">
        <is>
          <t>Сайт · срок амортизации</t>
        </is>
      </c>
      <c r="C85" s="40" t="n">
        <v>7</v>
      </c>
      <c r="D85" s="28" t="inlineStr">
        <is>
          <t>лет</t>
        </is>
      </c>
      <c r="E85" s="30" t="inlineStr"/>
      <c r="F85" s="7" t="inlineStr">
        <is>
          <t>default</t>
        </is>
      </c>
      <c r="G85" s="6" t="inlineStr"/>
      <c r="H85" s="30" t="inlineStr"/>
    </row>
    <row r="86">
      <c r="A86" s="27" t="inlineStr">
        <is>
          <t>dep_website</t>
        </is>
      </c>
      <c r="B86" s="28" t="inlineStr">
        <is>
          <t>Амортизация · сайт</t>
        </is>
      </c>
      <c r="C86" s="36">
        <f>IF(site_mode="Нанимал (а) специалиста",IF(site_life=0,0,site_cost/site_life),0)</f>
        <v>10000.0</v>
      </c>
      <c r="D86" s="28" t="inlineStr">
        <is>
          <t>₽/год</t>
        </is>
      </c>
      <c r="E86" s="30" t="inlineStr">
        <is>
          <t>IF(site_mode="Нанимал (а) специалиста",IF(site_life=0,0,site_cost/site_life),0)</t>
        </is>
      </c>
      <c r="F86" s="7" t="inlineStr">
        <is>
          <t>calc</t>
        </is>
      </c>
      <c r="G86" s="6" t="inlineStr">
        <is>
          <t>site_mode, site_cost, site_life</t>
        </is>
      </c>
      <c r="H86" s="30" t="inlineStr">
        <is>
          <t>при «делал сам» уходит в site_divisor</t>
        </is>
      </c>
    </row>
    <row r="87">
      <c r="A87" s="27" t="inlineStr">
        <is>
          <t>site_divisor</t>
        </is>
      </c>
      <c r="B87" s="28" t="inlineStr">
        <is>
          <t>Сайт · поправка знаменателя</t>
        </is>
      </c>
      <c r="C87" s="41">
        <f>IF(site_mode="Нанимал (а) специалиста",0,IF(site_life*net_time=0,0,site_hours/(site_life*net_time)))</f>
        <v>0.0</v>
      </c>
      <c r="D87" s="28" t="inlineStr"/>
      <c r="E87" s="30" t="inlineStr">
        <is>
          <t>IF(site_mode="Нанимал (а) специалиста",0,IF(site_life*net_time=0,0,site_hours/(site_life*net_time)))</t>
        </is>
      </c>
      <c r="F87" s="7" t="inlineStr">
        <is>
          <t>calc</t>
        </is>
      </c>
      <c r="G87" s="6" t="inlineStr">
        <is>
          <t>site_mode, site_hours, site_life, net_time</t>
        </is>
      </c>
      <c r="H87" s="30" t="inlineStr">
        <is>
          <t>Свой труд по ПОЛНОЙ ставке рабочего часа (выручка / чистое время), а не по съёмочной</t>
        </is>
      </c>
    </row>
    <row r="88">
      <c r="A88" s="3" t="inlineStr">
        <is>
          <t>7 · РАСХОДЫ · итоги из 03_Каталоги по КОДУ ФОРМЫ</t>
        </is>
      </c>
    </row>
    <row r="89" ht="26" customHeight="1">
      <c r="A89" s="26" t="inlineStr">
        <is>
          <t>ID</t>
        </is>
      </c>
      <c r="B89" s="26" t="inlineStr">
        <is>
          <t>Название</t>
        </is>
      </c>
      <c r="C89" s="26" t="inlineStr">
        <is>
          <t>Значение</t>
        </is>
      </c>
      <c r="D89" s="26" t="inlineStr">
        <is>
          <t>Ед.</t>
        </is>
      </c>
      <c r="E89" s="26" t="inlineStr">
        <is>
          <t>Формула / как получено</t>
        </is>
      </c>
      <c r="F89" s="26" t="inlineStr">
        <is>
          <t>Тип</t>
        </is>
      </c>
      <c r="G89" s="26" t="inlineStr">
        <is>
          <t>Зависит от</t>
        </is>
      </c>
      <c r="H89" s="26" t="inlineStr">
        <is>
          <t>Источник / форма</t>
        </is>
      </c>
    </row>
    <row r="90">
      <c r="A90" s="27" t="inlineStr">
        <is>
          <t>dep_shoot</t>
        </is>
      </c>
      <c r="B90" s="28" t="inlineStr">
        <is>
          <t>Амортизация · съёмочное оборудование</t>
        </is>
      </c>
      <c r="C90" s="36">
        <f>SUMIF(cat_form,"Form001",cat_year)</f>
        <v>107759.99047619046</v>
      </c>
      <c r="D90" s="28" t="inlineStr">
        <is>
          <t>₽/год</t>
        </is>
      </c>
      <c r="E90" s="30" t="inlineStr">
        <is>
          <t>SUMIF(cat_form,"Form001",cat_year)</t>
        </is>
      </c>
      <c r="F90" s="7" t="inlineStr">
        <is>
          <t>calc</t>
        </is>
      </c>
      <c r="G90" s="6" t="inlineStr">
        <is>
          <t>Form001</t>
        </is>
      </c>
      <c r="H90" s="30" t="inlineStr">
        <is>
          <t>Block6</t>
        </is>
      </c>
    </row>
    <row r="91">
      <c r="A91" s="27" t="inlineStr">
        <is>
          <t>dep_office</t>
        </is>
      </c>
      <c r="B91" s="28" t="inlineStr">
        <is>
          <t>Амортизация · офисное оборудование</t>
        </is>
      </c>
      <c r="C91" s="36">
        <f>SUMIF(cat_form,"Form002",cat_year)</f>
        <v>65732.93333333333</v>
      </c>
      <c r="D91" s="28" t="inlineStr">
        <is>
          <t>₽/год</t>
        </is>
      </c>
      <c r="E91" s="30" t="inlineStr">
        <is>
          <t>SUMIF(cat_form,"Form002",cat_year)</t>
        </is>
      </c>
      <c r="F91" s="7" t="inlineStr">
        <is>
          <t>calc</t>
        </is>
      </c>
      <c r="G91" s="6" t="inlineStr">
        <is>
          <t>Form002</t>
        </is>
      </c>
      <c r="H91" s="30" t="inlineStr">
        <is>
          <t>Block7</t>
        </is>
      </c>
    </row>
    <row r="92">
      <c r="A92" s="27" t="inlineStr">
        <is>
          <t>dep_software</t>
        </is>
      </c>
      <c r="B92" s="28" t="inlineStr">
        <is>
          <t>Амортизация · ПО разовые покупки</t>
        </is>
      </c>
      <c r="C92" s="36">
        <f>SUMIF(cat_form,"Form004",cat_year)</f>
        <v>11500.0</v>
      </c>
      <c r="D92" s="28" t="inlineStr">
        <is>
          <t>₽/год</t>
        </is>
      </c>
      <c r="E92" s="30" t="inlineStr">
        <is>
          <t>SUMIF(cat_form,"Form004",cat_year)</t>
        </is>
      </c>
      <c r="F92" s="7" t="inlineStr">
        <is>
          <t>calc</t>
        </is>
      </c>
      <c r="G92" s="6" t="inlineStr">
        <is>
          <t>Form004</t>
        </is>
      </c>
      <c r="H92" s="30" t="inlineStr">
        <is>
          <t>Block8</t>
        </is>
      </c>
    </row>
    <row r="93">
      <c r="A93" s="27" t="inlineStr">
        <is>
          <t>dep_workspace</t>
        </is>
      </c>
      <c r="B93" s="28" t="inlineStr">
        <is>
          <t>Амортизация · обустройство места</t>
        </is>
      </c>
      <c r="C93" s="36">
        <f>SUMIF(cat_form,"Form013",cat_year)</f>
        <v>9285.714285714286</v>
      </c>
      <c r="D93" s="28" t="inlineStr">
        <is>
          <t>₽/год</t>
        </is>
      </c>
      <c r="E93" s="30" t="inlineStr">
        <is>
          <t>SUMIF(cat_form,"Form013",cat_year)</t>
        </is>
      </c>
      <c r="F93" s="7" t="inlineStr">
        <is>
          <t>calc</t>
        </is>
      </c>
      <c r="G93" s="6" t="inlineStr">
        <is>
          <t>Form013</t>
        </is>
      </c>
      <c r="H93" s="30" t="inlineStr">
        <is>
          <t>Block9</t>
        </is>
      </c>
    </row>
    <row r="94">
      <c r="A94" s="27" t="inlineStr">
        <is>
          <t>investment</t>
        </is>
      </c>
      <c r="B94" s="28" t="inlineStr">
        <is>
          <t>ИТОГО амортизация</t>
        </is>
      </c>
      <c r="C94" s="36">
        <f>dep_shoot+dep_office+dep_software+dep_workspace+dep_education+dep_website</f>
        <v>278687.78095238097</v>
      </c>
      <c r="D94" s="28" t="inlineStr">
        <is>
          <t>₽/год</t>
        </is>
      </c>
      <c r="E94" s="30" t="inlineStr">
        <is>
          <t>dep_shoot+dep_office+dep_software+dep_workspace+dep_education+dep_website</t>
        </is>
      </c>
      <c r="F94" s="7" t="inlineStr">
        <is>
          <t>calc</t>
        </is>
      </c>
      <c r="G94" s="6" t="inlineStr">
        <is>
          <t>dep_*</t>
        </is>
      </c>
      <c r="H94" s="30" t="inlineStr"/>
    </row>
    <row r="95">
      <c r="A95" s="27" t="inlineStr">
        <is>
          <t>var_software</t>
        </is>
      </c>
      <c r="B95" s="28" t="inlineStr">
        <is>
          <t>Переменные · подписки ПО</t>
        </is>
      </c>
      <c r="C95" s="36">
        <f>SUMIF(cat_form,"Form003",cat_year)</f>
        <v>27000.0</v>
      </c>
      <c r="D95" s="28" t="inlineStr">
        <is>
          <t>₽/год</t>
        </is>
      </c>
      <c r="E95" s="30" t="inlineStr">
        <is>
          <t>SUMIF(cat_form,"Form003",cat_year)</t>
        </is>
      </c>
      <c r="F95" s="7" t="inlineStr">
        <is>
          <t>calc</t>
        </is>
      </c>
      <c r="G95" s="6" t="inlineStr">
        <is>
          <t>Form003</t>
        </is>
      </c>
      <c r="H95" s="30" t="inlineStr">
        <is>
          <t>Block8</t>
        </is>
      </c>
    </row>
    <row r="96">
      <c r="A96" s="27" t="inlineStr">
        <is>
          <t>var_ads</t>
        </is>
      </c>
      <c r="B96" s="28" t="inlineStr">
        <is>
          <t>Переменные · реклама и продвижение</t>
        </is>
      </c>
      <c r="C96" s="36">
        <f>SUMIF(cat_form,"Form010",cat_year)</f>
        <v>187500.0</v>
      </c>
      <c r="D96" s="28" t="inlineStr">
        <is>
          <t>₽/год</t>
        </is>
      </c>
      <c r="E96" s="30" t="inlineStr">
        <is>
          <t>SUMIF(cat_form,"Form010",cat_year)</t>
        </is>
      </c>
      <c r="F96" s="7" t="inlineStr">
        <is>
          <t>calc</t>
        </is>
      </c>
      <c r="G96" s="6" t="inlineStr">
        <is>
          <t>Form010</t>
        </is>
      </c>
      <c r="H96" s="30" t="inlineStr">
        <is>
          <t>Block11</t>
        </is>
      </c>
    </row>
    <row r="97">
      <c r="A97" s="27" t="inlineStr">
        <is>
          <t>var_bank</t>
        </is>
      </c>
      <c r="B97" s="28" t="inlineStr">
        <is>
          <t>Переменные · банк РКО и СМС</t>
        </is>
      </c>
      <c r="C97" s="36">
        <f>SUMIF(cat_form,"Form007",cat_year)</f>
        <v>1800.0</v>
      </c>
      <c r="D97" s="28" t="inlineStr">
        <is>
          <t>₽/год</t>
        </is>
      </c>
      <c r="E97" s="30" t="inlineStr">
        <is>
          <t>SUMIF(cat_form,"Form007",cat_year)</t>
        </is>
      </c>
      <c r="F97" s="7" t="inlineStr">
        <is>
          <t>calc</t>
        </is>
      </c>
      <c r="G97" s="6" t="inlineStr">
        <is>
          <t>Form007</t>
        </is>
      </c>
      <c r="H97" s="30" t="inlineStr">
        <is>
          <t>Block15</t>
        </is>
      </c>
    </row>
    <row r="98">
      <c r="A98" s="27" t="inlineStr">
        <is>
          <t>acc_cost_month</t>
        </is>
      </c>
      <c r="B98" s="28" t="inlineStr">
        <is>
          <t>Специалист по учёту · стоимость в месяц</t>
        </is>
      </c>
      <c r="C98" s="37" t="n">
        <v>10000</v>
      </c>
      <c r="D98" s="28" t="inlineStr">
        <is>
          <t>₽/мес</t>
        </is>
      </c>
      <c r="E98" s="30" t="inlineStr"/>
      <c r="F98" s="7" t="inlineStr">
        <is>
          <t>default</t>
        </is>
      </c>
      <c r="G98" s="6" t="inlineStr"/>
      <c r="H98" s="30" t="inlineStr">
        <is>
          <t>Form011</t>
        </is>
      </c>
    </row>
    <row r="99">
      <c r="A99" s="27" t="inlineStr">
        <is>
          <t>var_accounting</t>
        </is>
      </c>
      <c r="B99" s="28" t="inlineStr">
        <is>
          <t>Переменные · специалист по учёту</t>
        </is>
      </c>
      <c r="C99" s="36">
        <f>IF(acc_mode="Нанимаю специалиста",acc_cost_month*months,0)</f>
        <v>0.0</v>
      </c>
      <c r="D99" s="28" t="inlineStr">
        <is>
          <t>₽/год</t>
        </is>
      </c>
      <c r="E99" s="30" t="inlineStr">
        <is>
          <t>IF(acc_mode="Нанимаю специалиста",acc_cost_month*months,0)</t>
        </is>
      </c>
      <c r="F99" s="7" t="inlineStr">
        <is>
          <t>calc</t>
        </is>
      </c>
      <c r="G99" s="6" t="inlineStr">
        <is>
          <t>acc_mode, acc_cost_month, months</t>
        </is>
      </c>
      <c r="H99" s="30" t="inlineStr">
        <is>
          <t>Если веду сам — 0, но растёт время</t>
        </is>
      </c>
    </row>
    <row r="100">
      <c r="A100" s="27" t="inlineStr">
        <is>
          <t>variable_costs</t>
        </is>
      </c>
      <c r="B100" s="28" t="inlineStr">
        <is>
          <t>ИТОГО переменные</t>
        </is>
      </c>
      <c r="C100" s="36">
        <f>var_software+var_ads+var_bank+var_accounting+var_workspace</f>
        <v>283980.0</v>
      </c>
      <c r="D100" s="28" t="inlineStr">
        <is>
          <t>₽/год</t>
        </is>
      </c>
      <c r="E100" s="30" t="inlineStr">
        <is>
          <t>var_software+var_ads+var_bank+var_accounting+var_workspace</t>
        </is>
      </c>
      <c r="F100" s="7" t="inlineStr">
        <is>
          <t>calc</t>
        </is>
      </c>
      <c r="G100" s="6" t="inlineStr">
        <is>
          <t>var_*</t>
        </is>
      </c>
      <c r="H100" s="30" t="inlineStr"/>
    </row>
    <row r="101">
      <c r="A101" s="27" t="inlineStr">
        <is>
          <t>total_costs</t>
        </is>
      </c>
      <c r="B101" s="28" t="inlineStr">
        <is>
          <t>ВСЕГО РАСХОДОВ (C)</t>
        </is>
      </c>
      <c r="C101" s="36">
        <f>investment+variable_costs</f>
        <v>562667.780952381</v>
      </c>
      <c r="D101" s="28" t="inlineStr">
        <is>
          <t>₽/год</t>
        </is>
      </c>
      <c r="E101" s="30" t="inlineStr">
        <is>
          <t>investment+variable_costs</t>
        </is>
      </c>
      <c r="F101" s="7" t="inlineStr">
        <is>
          <t>calc</t>
        </is>
      </c>
      <c r="G101" s="6" t="inlineStr">
        <is>
          <t>investment, variable_costs</t>
        </is>
      </c>
      <c r="H101" s="30" t="inlineStr">
        <is>
          <t>Без эквайринга</t>
        </is>
      </c>
    </row>
    <row r="102">
      <c r="A102" s="27" t="inlineStr">
        <is>
          <t>revenue_base</t>
        </is>
      </c>
      <c r="B102" s="28" t="inlineStr">
        <is>
          <t>База для выручки</t>
        </is>
      </c>
      <c r="C102" s="38">
        <f>target_income+total_costs</f>
        <v>1885259.780952381</v>
      </c>
      <c r="D102" s="28" t="inlineStr">
        <is>
          <t>₽/год</t>
        </is>
      </c>
      <c r="E102" s="30" t="inlineStr">
        <is>
          <t>target_income+total_costs</t>
        </is>
      </c>
      <c r="F102" s="7" t="inlineStr">
        <is>
          <t>calc</t>
        </is>
      </c>
      <c r="G102" s="6" t="inlineStr">
        <is>
          <t>target_income, total_costs</t>
        </is>
      </c>
      <c r="H102" s="30" t="inlineStr">
        <is>
          <t>N + C</t>
        </is>
      </c>
    </row>
    <row r="103">
      <c r="A103" s="3" t="inlineStr">
        <is>
          <t>8 · НАЛОГИ И ВЗНОСЫ 2026</t>
        </is>
      </c>
    </row>
    <row r="104" ht="26" customHeight="1">
      <c r="A104" s="26" t="inlineStr">
        <is>
          <t>ID</t>
        </is>
      </c>
      <c r="B104" s="26" t="inlineStr">
        <is>
          <t>Название</t>
        </is>
      </c>
      <c r="C104" s="26" t="inlineStr">
        <is>
          <t>Значение</t>
        </is>
      </c>
      <c r="D104" s="26" t="inlineStr">
        <is>
          <t>Ед.</t>
        </is>
      </c>
      <c r="E104" s="26" t="inlineStr">
        <is>
          <t>Формула / как получено</t>
        </is>
      </c>
      <c r="F104" s="26" t="inlineStr">
        <is>
          <t>Тип</t>
        </is>
      </c>
      <c r="G104" s="26" t="inlineStr">
        <is>
          <t>Зависит от</t>
        </is>
      </c>
      <c r="H104" s="26" t="inlineStr">
        <is>
          <t>Источник / форма</t>
        </is>
      </c>
    </row>
    <row r="105">
      <c r="A105" s="27" t="inlineStr">
        <is>
          <t>regime</t>
        </is>
      </c>
      <c r="B105" s="28" t="inlineStr">
        <is>
          <t>ПЕРЕКЛЮЧАТЕЛЬ · режим налогообложения</t>
        </is>
      </c>
      <c r="C105" s="34" t="inlineStr">
        <is>
          <t>Самозанятый (НПД), средняя ставка</t>
        </is>
      </c>
      <c r="D105" s="28" t="inlineStr"/>
      <c r="E105" s="30" t="inlineStr"/>
      <c r="F105" s="7" t="inlineStr">
        <is>
          <t>default</t>
        </is>
      </c>
      <c r="G105" s="6" t="inlineStr"/>
      <c r="H105" s="30" t="inlineStr">
        <is>
          <t>Form015 · A137 · Block4</t>
        </is>
      </c>
    </row>
    <row r="106">
      <c r="A106" s="27" t="inlineStr">
        <is>
          <t>rate_npd_avg</t>
        </is>
      </c>
      <c r="B106" s="28" t="inlineStr">
        <is>
          <t>НПД · средняя ставка</t>
        </is>
      </c>
      <c r="C106" s="35" t="n">
        <v>0.05</v>
      </c>
      <c r="D106" s="28" t="inlineStr">
        <is>
          <t>%</t>
        </is>
      </c>
      <c r="E106" s="30" t="inlineStr"/>
      <c r="F106" s="7" t="inlineStr">
        <is>
          <t>default</t>
        </is>
      </c>
      <c r="G106" s="6" t="inlineStr"/>
      <c r="H106" s="30" t="inlineStr">
        <is>
          <t>и физлица, и юрлица</t>
        </is>
      </c>
    </row>
    <row r="107">
      <c r="A107" s="27" t="inlineStr">
        <is>
          <t>rate_npd_fiz</t>
        </is>
      </c>
      <c r="B107" s="28" t="inlineStr">
        <is>
          <t>НПД · физлица</t>
        </is>
      </c>
      <c r="C107" s="42" t="n">
        <v>0.04</v>
      </c>
      <c r="D107" s="28" t="inlineStr">
        <is>
          <t>%</t>
        </is>
      </c>
      <c r="E107" s="30" t="inlineStr"/>
      <c r="F107" s="7" t="inlineStr">
        <is>
          <t>const</t>
        </is>
      </c>
      <c r="G107" s="6" t="inlineStr"/>
      <c r="H107" s="30" t="inlineStr">
        <is>
          <t>ФЗ-422</t>
        </is>
      </c>
    </row>
    <row r="108">
      <c r="A108" s="27" t="inlineStr">
        <is>
          <t>rate_npd_ur</t>
        </is>
      </c>
      <c r="B108" s="28" t="inlineStr">
        <is>
          <t>НПД · юрлица</t>
        </is>
      </c>
      <c r="C108" s="42" t="n">
        <v>0.06</v>
      </c>
      <c r="D108" s="28" t="inlineStr">
        <is>
          <t>%</t>
        </is>
      </c>
      <c r="E108" s="30" t="inlineStr"/>
      <c r="F108" s="7" t="inlineStr">
        <is>
          <t>const</t>
        </is>
      </c>
      <c r="G108" s="6" t="inlineStr"/>
      <c r="H108" s="30" t="inlineStr">
        <is>
          <t>ФЗ-422</t>
        </is>
      </c>
    </row>
    <row r="109">
      <c r="A109" s="27" t="inlineStr">
        <is>
          <t>rate_usn_inc</t>
        </is>
      </c>
      <c r="B109" s="28" t="inlineStr">
        <is>
          <t>УСН доходы</t>
        </is>
      </c>
      <c r="C109" s="35" t="n">
        <v>0.06</v>
      </c>
      <c r="D109" s="28" t="inlineStr">
        <is>
          <t>%</t>
        </is>
      </c>
      <c r="E109" s="30" t="inlineStr"/>
      <c r="F109" s="7" t="inlineStr">
        <is>
          <t>default</t>
        </is>
      </c>
      <c r="G109" s="6" t="inlineStr"/>
      <c r="H109" s="30" t="inlineStr">
        <is>
          <t>регион до 1%</t>
        </is>
      </c>
    </row>
    <row r="110">
      <c r="A110" s="27" t="inlineStr">
        <is>
          <t>rate_usn_prof</t>
        </is>
      </c>
      <c r="B110" s="28" t="inlineStr">
        <is>
          <t>УСН доходы минус расходы</t>
        </is>
      </c>
      <c r="C110" s="35" t="n">
        <v>0.15</v>
      </c>
      <c r="D110" s="28" t="inlineStr">
        <is>
          <t>%</t>
        </is>
      </c>
      <c r="E110" s="30" t="inlineStr"/>
      <c r="F110" s="7" t="inlineStr">
        <is>
          <t>default</t>
        </is>
      </c>
      <c r="G110" s="6" t="inlineStr"/>
      <c r="H110" s="30" t="inlineStr">
        <is>
          <t>регион до 5%</t>
        </is>
      </c>
    </row>
    <row r="111">
      <c r="A111" s="27" t="inlineStr">
        <is>
          <t>rate_ausn_inc</t>
        </is>
      </c>
      <c r="B111" s="28" t="inlineStr">
        <is>
          <t>АУСН доходы</t>
        </is>
      </c>
      <c r="C111" s="42" t="n">
        <v>0.08</v>
      </c>
      <c r="D111" s="28" t="inlineStr">
        <is>
          <t>%</t>
        </is>
      </c>
      <c r="E111" s="30" t="inlineStr"/>
      <c r="F111" s="7" t="inlineStr">
        <is>
          <t>const</t>
        </is>
      </c>
      <c r="G111" s="6" t="inlineStr"/>
      <c r="H111" s="30" t="inlineStr">
        <is>
          <t>ФЗ-17</t>
        </is>
      </c>
    </row>
    <row r="112">
      <c r="A112" s="27" t="inlineStr">
        <is>
          <t>rate_ausn_prof</t>
        </is>
      </c>
      <c r="B112" s="28" t="inlineStr">
        <is>
          <t>АУСН доходы минус расходы</t>
        </is>
      </c>
      <c r="C112" s="42" t="n">
        <v>0.2</v>
      </c>
      <c r="D112" s="28" t="inlineStr">
        <is>
          <t>%</t>
        </is>
      </c>
      <c r="E112" s="30" t="inlineStr"/>
      <c r="F112" s="7" t="inlineStr">
        <is>
          <t>const</t>
        </is>
      </c>
      <c r="G112" s="6" t="inlineStr"/>
      <c r="H112" s="30" t="inlineStr">
        <is>
          <t>ФЗ-17</t>
        </is>
      </c>
    </row>
    <row r="113">
      <c r="A113" s="27" t="inlineStr">
        <is>
          <t>regime_no</t>
        </is>
      </c>
      <c r="B113" s="28" t="inlineStr">
        <is>
          <t>Номер режима (1–7)</t>
        </is>
      </c>
      <c r="C113"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3" s="28" t="inlineStr">
        <is>
          <t>№</t>
        </is>
      </c>
      <c r="E113"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3" s="7" t="inlineStr">
        <is>
          <t>calc</t>
        </is>
      </c>
      <c r="G113" s="6" t="inlineStr">
        <is>
          <t>regime</t>
        </is>
      </c>
      <c r="H113" s="30" t="inlineStr"/>
    </row>
    <row r="114">
      <c r="A114" s="27" t="inlineStr">
        <is>
          <t>rate_current</t>
        </is>
      </c>
      <c r="B114" s="28" t="inlineStr">
        <is>
          <t>Ставка выбранного режима</t>
        </is>
      </c>
      <c r="C114" s="39">
        <f>CHOOSE(regime_no,rate_npd_avg,rate_npd_fiz,rate_npd_ur,rate_usn_inc,rate_usn_prof,rate_ausn_inc,rate_ausn_prof)</f>
        <v>0.05</v>
      </c>
      <c r="D114" s="28" t="inlineStr">
        <is>
          <t>%</t>
        </is>
      </c>
      <c r="E114" s="30" t="inlineStr">
        <is>
          <t>CHOOSE(regime_no,rate_npd_avg,rate_npd_fiz,rate_npd_ur,rate_usn_inc,rate_usn_prof,rate_ausn_inc,rate_ausn_prof)</t>
        </is>
      </c>
      <c r="F114" s="7" t="inlineStr">
        <is>
          <t>calc</t>
        </is>
      </c>
      <c r="G114" s="6" t="inlineStr">
        <is>
          <t>regime_no</t>
        </is>
      </c>
      <c r="H114" s="30" t="inlineStr"/>
    </row>
    <row r="115">
      <c r="A115" s="27" t="inlineStr">
        <is>
          <t>fixed_contrib</t>
        </is>
      </c>
      <c r="B115" s="28" t="inlineStr">
        <is>
          <t>Фиксированные взносы ИП</t>
        </is>
      </c>
      <c r="C115" s="43" t="n">
        <v>57390</v>
      </c>
      <c r="D115" s="28" t="inlineStr">
        <is>
          <t>₽/год</t>
        </is>
      </c>
      <c r="E115" s="30" t="inlineStr"/>
      <c r="F115" s="7" t="inlineStr">
        <is>
          <t>const</t>
        </is>
      </c>
      <c r="G115" s="6" t="inlineStr"/>
      <c r="H115" s="30" t="inlineStr">
        <is>
          <t>п. 1.2 ст. 430 НК</t>
        </is>
      </c>
    </row>
    <row r="116">
      <c r="A116" s="27" t="inlineStr">
        <is>
          <t>extra_contrib</t>
        </is>
      </c>
      <c r="B116" s="28" t="inlineStr">
        <is>
          <t>Дополнительный взнос</t>
        </is>
      </c>
      <c r="C116" s="42" t="n">
        <v>0.01</v>
      </c>
      <c r="D116" s="28" t="inlineStr">
        <is>
          <t>%</t>
        </is>
      </c>
      <c r="E116" s="30" t="inlineStr"/>
      <c r="F116" s="7" t="inlineStr">
        <is>
          <t>const</t>
        </is>
      </c>
      <c r="G116" s="6" t="inlineStr"/>
      <c r="H116" s="30" t="inlineStr">
        <is>
          <t>п. 1.2 ст. 430 НК</t>
        </is>
      </c>
    </row>
    <row r="117">
      <c r="A117" s="27" t="inlineStr">
        <is>
          <t>contrib_threshold</t>
        </is>
      </c>
      <c r="B117" s="28" t="inlineStr">
        <is>
          <t>Предельная величина дохода</t>
        </is>
      </c>
      <c r="C117" s="43" t="n">
        <v>300000</v>
      </c>
      <c r="D117" s="28" t="inlineStr">
        <is>
          <t>₽/год</t>
        </is>
      </c>
      <c r="E117" s="30" t="inlineStr"/>
      <c r="F117" s="7" t="inlineStr">
        <is>
          <t>const</t>
        </is>
      </c>
      <c r="G117" s="6" t="inlineStr"/>
      <c r="H117" s="30" t="inlineStr">
        <is>
          <t>ЗА ГОД</t>
        </is>
      </c>
    </row>
    <row r="118">
      <c r="A118" s="27" t="inlineStr">
        <is>
          <t>contrib_cap</t>
        </is>
      </c>
      <c r="B118" s="28" t="inlineStr">
        <is>
          <t>Максимум допвзноса</t>
        </is>
      </c>
      <c r="C118" s="43" t="n">
        <v>321818</v>
      </c>
      <c r="D118" s="28" t="inlineStr">
        <is>
          <t>₽/год</t>
        </is>
      </c>
      <c r="E118" s="30" t="inlineStr"/>
      <c r="F118" s="7" t="inlineStr">
        <is>
          <t>const</t>
        </is>
      </c>
      <c r="G118" s="6" t="inlineStr"/>
      <c r="H118" s="30" t="inlineStr">
        <is>
          <t>п. 1.2 ст. 430 НК</t>
        </is>
      </c>
    </row>
    <row r="119">
      <c r="A119" s="27" t="inlineStr">
        <is>
          <t>threshold_credit</t>
        </is>
      </c>
      <c r="B119" s="28" t="inlineStr">
        <is>
          <t>Поправка на порог</t>
        </is>
      </c>
      <c r="C119" s="38">
        <f>contrib_threshold*extra_contrib</f>
        <v>3000.0</v>
      </c>
      <c r="D119" s="28" t="inlineStr">
        <is>
          <t>₽</t>
        </is>
      </c>
      <c r="E119" s="30" t="inlineStr">
        <is>
          <t>contrib_threshold*extra_contrib</t>
        </is>
      </c>
      <c r="F119" s="7" t="inlineStr">
        <is>
          <t>calc</t>
        </is>
      </c>
      <c r="G119" s="6" t="inlineStr">
        <is>
          <t>contrib_threshold, extra_contrib</t>
        </is>
      </c>
      <c r="H119" s="30" t="inlineStr">
        <is>
          <t>300 000 × 1% = 3 000</t>
        </is>
      </c>
    </row>
    <row r="120">
      <c r="A120" s="27" t="inlineStr">
        <is>
          <t>min_tax_usn</t>
        </is>
      </c>
      <c r="B120" s="28" t="inlineStr">
        <is>
          <t>Минимальный налог УСН Д−Р</t>
        </is>
      </c>
      <c r="C120" s="42" t="n">
        <v>0.01</v>
      </c>
      <c r="D120" s="28" t="inlineStr">
        <is>
          <t>%</t>
        </is>
      </c>
      <c r="E120" s="30" t="inlineStr"/>
      <c r="F120" s="7" t="inlineStr">
        <is>
          <t>const</t>
        </is>
      </c>
      <c r="G120" s="6" t="inlineStr"/>
      <c r="H120" s="30" t="inlineStr">
        <is>
          <t>ст. 346.18 НК</t>
        </is>
      </c>
    </row>
    <row r="121">
      <c r="A121" s="27" t="inlineStr">
        <is>
          <t>min_tax_ausn</t>
        </is>
      </c>
      <c r="B121" s="28" t="inlineStr">
        <is>
          <t>Минимальный налог АУСН Д−Р</t>
        </is>
      </c>
      <c r="C121" s="42" t="n">
        <v>0.03</v>
      </c>
      <c r="D121" s="28" t="inlineStr">
        <is>
          <t>%</t>
        </is>
      </c>
      <c r="E121" s="30" t="inlineStr"/>
      <c r="F121" s="7" t="inlineStr">
        <is>
          <t>const</t>
        </is>
      </c>
      <c r="G121" s="6" t="inlineStr"/>
      <c r="H121" s="30" t="inlineStr">
        <is>
          <t>ФЗ-17</t>
        </is>
      </c>
    </row>
    <row r="122">
      <c r="A122" s="27" t="inlineStr">
        <is>
          <t>injury_contrib</t>
        </is>
      </c>
      <c r="B122" s="28" t="inlineStr">
        <is>
          <t>Взнос на травматизм (АУСН)</t>
        </is>
      </c>
      <c r="C122" s="37" t="n">
        <v>0</v>
      </c>
      <c r="D122" s="28" t="inlineStr">
        <is>
          <t>₽/год</t>
        </is>
      </c>
      <c r="E122" s="30" t="inlineStr"/>
      <c r="F122" s="7" t="inlineStr">
        <is>
          <t>default</t>
        </is>
      </c>
      <c r="G122" s="6" t="inlineStr"/>
      <c r="H122" s="30" t="inlineStr">
        <is>
          <t>соло — 0</t>
        </is>
      </c>
    </row>
    <row r="123">
      <c r="A123" s="27" t="inlineStr">
        <is>
          <t>acq_rate</t>
        </is>
      </c>
      <c r="B123" s="28" t="inlineStr">
        <is>
          <t>Эквайринг · ставка</t>
        </is>
      </c>
      <c r="C123" s="35" t="n">
        <v>0.027</v>
      </c>
      <c r="D123" s="28" t="inlineStr">
        <is>
          <t>%</t>
        </is>
      </c>
      <c r="E123" s="30" t="inlineStr"/>
      <c r="F123" s="7" t="inlineStr">
        <is>
          <t>default</t>
        </is>
      </c>
      <c r="G123" s="6" t="inlineStr"/>
      <c r="H123" s="30" t="inlineStr">
        <is>
          <t>Базовая 2,7%; добавленные банковские проценты учитываются отдельно</t>
        </is>
      </c>
    </row>
    <row r="124">
      <c r="A124" s="27" t="inlineStr">
        <is>
          <t>acq_share</t>
        </is>
      </c>
      <c r="B124" s="28" t="inlineStr">
        <is>
          <t>Эквайринг · доля безналичных оплат</t>
        </is>
      </c>
      <c r="C124" s="35" t="n">
        <v>1</v>
      </c>
      <c r="D124" s="28" t="inlineStr">
        <is>
          <t>%</t>
        </is>
      </c>
      <c r="E124" s="30" t="inlineStr"/>
      <c r="F124" s="7" t="inlineStr">
        <is>
          <t>default</t>
        </is>
      </c>
      <c r="G124" s="6" t="inlineStr"/>
      <c r="H124" s="30" t="inlineStr"/>
    </row>
    <row r="125">
      <c r="A125" s="27" t="inlineStr">
        <is>
          <t>acquiring</t>
        </is>
      </c>
      <c r="B125" s="28" t="inlineStr">
        <is>
          <t>Эквайринг · эффективно</t>
        </is>
      </c>
      <c r="C125" s="39">
        <f>acq_rate*acq_share</f>
        <v>0.027</v>
      </c>
      <c r="D125" s="28" t="inlineStr">
        <is>
          <t>%</t>
        </is>
      </c>
      <c r="E125" s="30" t="inlineStr">
        <is>
          <t>acq_rate*acq_share</t>
        </is>
      </c>
      <c r="F125" s="7" t="inlineStr">
        <is>
          <t>calc</t>
        </is>
      </c>
      <c r="G125" s="6" t="inlineStr">
        <is>
          <t>acq_rate, acq_share</t>
        </is>
      </c>
      <c r="H125" s="30" t="inlineStr">
        <is>
          <t>В ЗНАМЕНАТЕЛЬ, не в расходы</t>
        </is>
      </c>
    </row>
    <row r="126">
      <c r="A126" s="27" t="inlineStr">
        <is>
          <t>vat_threshold</t>
        </is>
      </c>
      <c r="B126" s="28" t="inlineStr">
        <is>
          <t>Порог освобождения от НДС</t>
        </is>
      </c>
      <c r="C126" s="43" t="n">
        <v>20000000</v>
      </c>
      <c r="D126" s="28" t="inlineStr">
        <is>
          <t>₽/год</t>
        </is>
      </c>
      <c r="E126" s="30" t="inlineStr"/>
      <c r="F126" s="7" t="inlineStr">
        <is>
          <t>const</t>
        </is>
      </c>
      <c r="G126" s="6" t="inlineStr"/>
      <c r="H126" s="30" t="inlineStr">
        <is>
          <t>ФЗ-228</t>
        </is>
      </c>
    </row>
    <row r="127">
      <c r="A127" s="27" t="inlineStr">
        <is>
          <t>limit_npd</t>
        </is>
      </c>
      <c r="B127" s="28" t="inlineStr">
        <is>
          <t>Лимит НПД</t>
        </is>
      </c>
      <c r="C127" s="43" t="n">
        <v>2400000</v>
      </c>
      <c r="D127" s="28" t="inlineStr">
        <is>
          <t>₽/год</t>
        </is>
      </c>
      <c r="E127" s="30" t="inlineStr"/>
      <c r="F127" s="7" t="inlineStr">
        <is>
          <t>const</t>
        </is>
      </c>
      <c r="G127" s="6" t="inlineStr"/>
      <c r="H127" s="30" t="inlineStr">
        <is>
          <t>ФЗ-422</t>
        </is>
      </c>
    </row>
    <row r="128">
      <c r="A128" s="27" t="inlineStr">
        <is>
          <t>limit_ausn</t>
        </is>
      </c>
      <c r="B128" s="28" t="inlineStr">
        <is>
          <t>Лимит АУСН</t>
        </is>
      </c>
      <c r="C128" s="43" t="n">
        <v>60000000</v>
      </c>
      <c r="D128" s="28" t="inlineStr">
        <is>
          <t>₽/год</t>
        </is>
      </c>
      <c r="E128" s="30" t="inlineStr"/>
      <c r="F128" s="7" t="inlineStr">
        <is>
          <t>const</t>
        </is>
      </c>
      <c r="G128" s="6" t="inlineStr"/>
      <c r="H128" s="30" t="inlineStr">
        <is>
          <t>ФЗ-17</t>
        </is>
      </c>
    </row>
    <row r="129">
      <c r="A129" s="3" t="inlineStr">
        <is>
          <t>9 · СПРАВОЧНЫЕ СТАВКИ</t>
        </is>
      </c>
    </row>
    <row r="130" ht="26" customHeight="1">
      <c r="A130" s="26" t="inlineStr">
        <is>
          <t>ID</t>
        </is>
      </c>
      <c r="B130" s="26" t="inlineStr">
        <is>
          <t>Название</t>
        </is>
      </c>
      <c r="C130" s="26" t="inlineStr">
        <is>
          <t>Значение</t>
        </is>
      </c>
      <c r="D130" s="26" t="inlineStr">
        <is>
          <t>Ед.</t>
        </is>
      </c>
      <c r="E130" s="26" t="inlineStr">
        <is>
          <t>Формула / как получено</t>
        </is>
      </c>
      <c r="F130" s="26" t="inlineStr">
        <is>
          <t>Тип</t>
        </is>
      </c>
      <c r="G130" s="26" t="inlineStr">
        <is>
          <t>Зависит от</t>
        </is>
      </c>
      <c r="H130" s="26" t="inlineStr">
        <is>
          <t>Источник / форма</t>
        </is>
      </c>
    </row>
    <row r="131">
      <c r="A131" s="27" t="inlineStr">
        <is>
          <t>naive_rate</t>
        </is>
      </c>
      <c r="B131" s="28" t="inlineStr">
        <is>
          <t>Наивная ставка</t>
        </is>
      </c>
      <c r="C131" s="38">
        <f>IF(shooting_time=0,0,target_income/shooting_time)</f>
        <v>6106.149584487534</v>
      </c>
      <c r="D131" s="28" t="inlineStr">
        <is>
          <t>₽/ч</t>
        </is>
      </c>
      <c r="E131" s="30" t="inlineStr">
        <is>
          <t>IF(shooting_time=0,0,target_income/shooting_time)</t>
        </is>
      </c>
      <c r="F131" s="7" t="inlineStr">
        <is>
          <t>calc</t>
        </is>
      </c>
      <c r="G131" s="6" t="inlineStr">
        <is>
          <t>target_income, shooting_time</t>
        </is>
      </c>
      <c r="H131" s="30" t="inlineStr">
        <is>
          <t>Без расходов и налогов — типичная ошибка</t>
        </is>
      </c>
    </row>
    <row r="132">
      <c r="A132" s="27" t="inlineStr">
        <is>
          <t>base_rate</t>
        </is>
      </c>
      <c r="B132" s="28" t="inlineStr">
        <is>
          <t>Базовая ставка часа</t>
        </is>
      </c>
      <c r="C132" s="36">
        <f>target_income/net_time</f>
        <v>862.747553816047</v>
      </c>
      <c r="D132" s="28" t="inlineStr">
        <is>
          <t>₽/ч</t>
        </is>
      </c>
      <c r="E132" s="30" t="inlineStr">
        <is>
          <t>target_income/net_time</t>
        </is>
      </c>
      <c r="F132" s="7" t="inlineStr">
        <is>
          <t>calc</t>
        </is>
      </c>
      <c r="G132" s="6" t="inlineStr">
        <is>
          <t>target_income, net_time</t>
        </is>
      </c>
      <c r="H132" s="30" t="inlineStr">
        <is>
          <t>Доход / чистое время</t>
        </is>
      </c>
    </row>
    <row r="133">
      <c r="A133" s="27" t="inlineStr">
        <is>
          <t>ops_rate</t>
        </is>
      </c>
      <c r="B133" s="28" t="inlineStr">
        <is>
          <t>Операционная ставка часа</t>
        </is>
      </c>
      <c r="C133" s="38">
        <f>IF(shooting_time=0,0,revenue_base/shooting_time)</f>
        <v>8703.87710504331</v>
      </c>
      <c r="D133" s="28" t="inlineStr">
        <is>
          <t>₽/ч</t>
        </is>
      </c>
      <c r="E133" s="30" t="inlineStr">
        <is>
          <t>IF(shooting_time=0,0,revenue_base/shooting_time)</t>
        </is>
      </c>
      <c r="F133" s="7" t="inlineStr">
        <is>
          <t>calc</t>
        </is>
      </c>
      <c r="G133" s="6" t="inlineStr">
        <is>
          <t>revenue_base, shooting_time</t>
        </is>
      </c>
      <c r="H133" s="30" t="inlineStr">
        <is>
          <t>Без налога и эквайринга</t>
        </is>
      </c>
    </row>
    <row r="134">
      <c r="A134" s="27" t="inlineStr">
        <is>
          <t>full_hour_rate</t>
        </is>
      </c>
      <c r="B134" s="28" t="inlineStr">
        <is>
          <t>ПОЛНАЯ ставка рабочего часа</t>
        </is>
      </c>
      <c r="C134" s="36">
        <f>IF(net_time=0,0,CHOOSE(regime_no,'05_Расчёт'!B4,'05_Расчёт'!C4,'05_Расчёт'!D4,'05_Расчёт'!E4,'05_Расчёт'!F4,'05_Расчёт'!G4,'05_Расчёт'!H4)/net_time)</f>
        <v>1332.3776738070721</v>
      </c>
      <c r="D134" s="28" t="inlineStr">
        <is>
          <t>₽/ч</t>
        </is>
      </c>
      <c r="E134" s="30" t="inlineStr">
        <is>
          <t>IF(net_time=0,0,CHOOSE(regime_no,'05_Расчёт'!B4,'05_Расчёт'!C4,'05_Расчёт'!D4,'05_Расчёт'!E4,'05_Расчёт'!F4,'05_Расчёт'!G4,'05_Расчёт'!H4)/net_time)</t>
        </is>
      </c>
      <c r="F134" s="7" t="inlineStr">
        <is>
          <t>calc</t>
        </is>
      </c>
      <c r="G134" s="6" t="inlineStr">
        <is>
          <t>выручка, net_time</t>
        </is>
      </c>
      <c r="H134" s="30" t="inlineStr">
        <is>
          <t>Выручка / чистое время. Реальная цена ЛЮБОГО рабочего часа, с налогами и расходами</t>
        </is>
      </c>
    </row>
    <row r="135">
      <c r="A135" s="27" t="inlineStr">
        <is>
          <t>site_value</t>
        </is>
      </c>
      <c r="B135" s="28" t="inlineStr">
        <is>
          <t>Сайт · оценка своего труда</t>
        </is>
      </c>
      <c r="C135" s="38">
        <f>IF(site_mode="Нанимал (а) специалиста",site_cost,site_hours*full_hour_rate)</f>
        <v>70000.0</v>
      </c>
      <c r="D135" s="28" t="inlineStr">
        <is>
          <t>₽</t>
        </is>
      </c>
      <c r="E135" s="30" t="inlineStr">
        <is>
          <t>IF(site_mode="Нанимал (а) специалиста",site_cost,site_hours*full_hour_rate)</t>
        </is>
      </c>
      <c r="F135" s="7" t="inlineStr">
        <is>
          <t>calc</t>
        </is>
      </c>
      <c r="G135" s="6" t="inlineStr">
        <is>
          <t>site_mode, site_cost, site_hours, full_hour_rate</t>
        </is>
      </c>
      <c r="H135" s="30" t="inlineStr">
        <is>
          <t>Цена подрядчика или ваши часы по полной ставке</t>
        </is>
      </c>
    </row>
    <row r="136">
      <c r="A136" s="3" t="inlineStr">
        <is>
          <t>10 · ДОБАВЛЕНО ПОД HTML-ОТЧЁТ</t>
        </is>
      </c>
    </row>
    <row r="137">
      <c r="A137" s="26" t="inlineStr">
        <is>
          <t>ID</t>
        </is>
      </c>
      <c r="B137" s="26" t="inlineStr">
        <is>
          <t>Название</t>
        </is>
      </c>
      <c r="C137" s="26" t="inlineStr">
        <is>
          <t>Значение</t>
        </is>
      </c>
      <c r="D137" s="26" t="inlineStr">
        <is>
          <t>Ед.</t>
        </is>
      </c>
      <c r="E137" s="26" t="inlineStr">
        <is>
          <t>Формула / как получено</t>
        </is>
      </c>
      <c r="F137" s="26" t="inlineStr">
        <is>
          <t>Тип</t>
        </is>
      </c>
      <c r="G137" s="26" t="inlineStr">
        <is>
          <t>Зависит от</t>
        </is>
      </c>
    </row>
    <row r="138">
      <c r="A138" s="27" t="inlineStr">
        <is>
          <t>idle_time</t>
        </is>
      </c>
      <c r="B138" s="28" t="inlineStr">
        <is>
          <t>РАБОЧИЕ ПАУЗЫ за год</t>
        </is>
      </c>
      <c r="C138" s="36">
        <f>net_days*(nominal_hours-eff_hours)</f>
        <v>219.0</v>
      </c>
      <c r="D138" s="28" t="inlineStr">
        <is>
          <t>ч/год</t>
        </is>
      </c>
      <c r="E138" s="30" t="inlineStr">
        <is>
          <t>1 час в день: подготовка и уборка места, зарядка техники, размяться, отойти</t>
        </is>
      </c>
      <c r="F138" s="7" t="inlineStr">
        <is>
          <t>calc</t>
        </is>
      </c>
      <c r="G138" s="6" t="inlineStr">
        <is>
          <t>net_days, nominal_hours, eff_hours</t>
        </is>
      </c>
    </row>
    <row r="139">
      <c r="A139" s="27" t="inlineStr">
        <is>
          <t>idle_week</t>
        </is>
      </c>
      <c r="B139" s="28" t="inlineStr">
        <is>
          <t>Рабочие паузы в неделю</t>
        </is>
      </c>
      <c r="C139" s="36">
        <f>IF(net_weeks=0,0,idle_time/net_weeks)</f>
        <v>5.0</v>
      </c>
      <c r="D139" s="28" t="inlineStr">
        <is>
          <t>ч/нед</t>
        </is>
      </c>
      <c r="E139" s="30" t="inlineStr"/>
      <c r="F139" s="7" t="inlineStr">
        <is>
          <t>calc</t>
        </is>
      </c>
      <c r="G139" s="6" t="inlineStr">
        <is>
          <t>idle_time, net_weeks</t>
        </is>
      </c>
    </row>
    <row r="140">
      <c r="A140" s="27" t="inlineStr">
        <is>
          <t>hour_all</t>
        </is>
      </c>
      <c r="B140" s="28" t="inlineStr">
        <is>
          <t>Час вашего времени (блок 09)</t>
        </is>
      </c>
      <c r="C140" s="36">
        <f>IF(net_time+idle_time=0,0,target_income/(net_time+idle_time))</f>
        <v>754.9041095890411</v>
      </c>
      <c r="D140" s="28" t="inlineStr">
        <is>
          <t>₽/ч</t>
        </is>
      </c>
      <c r="E140" s="30" t="inlineStr">
        <is>
          <t>Доход на ВСЁ рабочее время, включая паузы</t>
        </is>
      </c>
      <c r="F140" s="7" t="inlineStr">
        <is>
          <t>calc</t>
        </is>
      </c>
      <c r="G140" s="6" t="inlineStr">
        <is>
          <t>target_income, net_time, idle_time</t>
        </is>
      </c>
    </row>
    <row r="141">
      <c r="A141" s="27" t="inlineStr">
        <is>
          <t>frames_out</t>
        </is>
      </c>
      <c r="B141" s="28" t="inlineStr">
        <is>
          <t>Обработанных кадров с часа съёмки</t>
        </is>
      </c>
      <c r="C141" s="33" t="n">
        <v>80</v>
      </c>
      <c r="D141" s="28" t="inlineStr">
        <is>
          <t>шт/ч</t>
        </is>
      </c>
      <c r="E141" s="30" t="inlineStr">
        <is>
          <t>Задаёт пользователь в форме</t>
        </is>
      </c>
      <c r="F141" s="7" t="inlineStr">
        <is>
          <t>default</t>
        </is>
      </c>
      <c r="G141" s="6" t="inlineStr"/>
    </row>
    <row r="142">
      <c r="A142" s="27" t="inlineStr">
        <is>
          <t>frames_total</t>
        </is>
      </c>
      <c r="B142" s="28" t="inlineStr">
        <is>
          <t>Кадров за одну съёмку</t>
        </is>
      </c>
      <c r="C142" s="36">
        <f>frames_out*shoot_duration</f>
        <v>80.0</v>
      </c>
      <c r="D142" s="28" t="inlineStr">
        <is>
          <t>шт</t>
        </is>
      </c>
      <c r="E142" s="30" t="inlineStr"/>
      <c r="F142" s="7" t="inlineStr">
        <is>
          <t>calc</t>
        </is>
      </c>
      <c r="G142" s="6" t="inlineStr">
        <is>
          <t>frames_out, shoot_duration</t>
        </is>
      </c>
    </row>
    <row r="143">
      <c r="A143" s="27" t="inlineStr">
        <is>
          <t>equip_only</t>
        </is>
      </c>
      <c r="B143" s="28" t="inlineStr">
        <is>
          <t>Оборудование и ПО без обучения</t>
        </is>
      </c>
      <c r="C143" s="36">
        <f>dep_shoot+dep_office+dep_software</f>
        <v>184992.9238095238</v>
      </c>
      <c r="D143" s="28" t="inlineStr">
        <is>
          <t>₽/год</t>
        </is>
      </c>
      <c r="E143" s="30" t="inlineStr">
        <is>
          <t>Только железо и ПО, для блока 09</t>
        </is>
      </c>
      <c r="F143" s="7" t="inlineStr">
        <is>
          <t>calc</t>
        </is>
      </c>
      <c r="G143" s="6" t="inlineStr">
        <is>
          <t>dep_shoot, dep_office, dep_software</t>
        </is>
      </c>
    </row>
  </sheetData>
  <mergeCells count="11">
    <mergeCell ref="A4:H4"/>
    <mergeCell ref="A62:H62"/>
    <mergeCell ref="A57:H57"/>
    <mergeCell ref="A2:H2"/>
    <mergeCell ref="A129:H129"/>
    <mergeCell ref="A103:H103"/>
    <mergeCell ref="A19:H19"/>
    <mergeCell ref="A1:H1"/>
    <mergeCell ref="A37:H37"/>
    <mergeCell ref="A74:H74"/>
    <mergeCell ref="A88:H88"/>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4" showDropDown="0" showInputMessage="0" showErrorMessage="0" allowBlank="1" type="list">
      <formula1>"Работаю из дома,Арендую помещение"</formula1>
    </dataValidation>
    <dataValidation sqref="C65" showDropDown="0" showInputMessage="0" showErrorMessage="0" allowBlank="1" type="list">
      <formula1>"нет,да"</formula1>
    </dataValidation>
    <dataValidation sqref="C79" showDropDown="0" showInputMessage="0" showErrorMessage="0" allowBlank="1" type="list">
      <formula1>"Учитывать упущенную выгоду,Учитывать только стоимость обучения"</formula1>
    </dataValidation>
    <dataValidation sqref="C82" showDropDown="0" showInputMessage="0" showErrorMessage="0" allowBlank="1" type="list">
      <formula1>"Нанимал (а) специалиста,Делал (а) самостоятельно"</formula1>
    </dataValidation>
    <dataValidation sqref="C105"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7"/>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02_Параметры → regime</t>
        </is>
      </c>
    </row>
    <row r="5">
      <c r="A5" s="2" t="inlineStr">
        <is>
          <t>ПОЛНАЯ СТАВКА ЧАСА,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Полная ставка РАБОЧЕГО часа, ₽/час</t>
        </is>
      </c>
      <c r="B7" s="49">
        <f>full_hour_rate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на форс-мажоры</t>
        </is>
      </c>
      <c r="B16" s="31">
        <f>fm_time</f>
        <v>0.0</v>
      </c>
      <c r="C16" s="25" t="inlineStr">
        <is>
          <t>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9">
      <c r="A39" s="3" t="inlineStr">
        <is>
          <t>СКОЛЬКО ВЫ ТЕРЯЕТЕ</t>
        </is>
      </c>
    </row>
    <row r="41">
      <c r="B41" s="54">
        <f>B38-B37</f>
        <v>-0.027</v>
      </c>
    </row>
    <row r="42">
      <c r="B42" s="55">
        <f>B5</f>
        <v>9429.986029299362</v>
      </c>
    </row>
    <row r="43">
      <c r="A43" t="inlineStr">
        <is>
          <t>Разница с текущей, ₽/час</t>
        </is>
      </c>
    </row>
    <row r="44">
      <c r="A44" t="inlineStr">
        <is>
          <t>Недополучено за год, ₽</t>
        </is>
      </c>
      <c r="B44" s="54">
        <f>B43*shooting_time</f>
        <v>0.0</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Час проектного времени положителен</t>
        </is>
      </c>
      <c r="B55" s="53" t="str">
        <f>IF(hour_pool&gt;0,"OK","ПРОВЕРЬТЕ")</f>
        <v>OK</v>
      </c>
    </row>
    <row r="56">
      <c r="A56" t="inlineStr">
        <is>
          <t>Резерв на форс-мажоры не больше 30%</t>
        </is>
      </c>
      <c r="B56" s="53" t="str">
        <f>IF(fm_pct&lt;=0.3,"OK","СЛИШКОМ БОЛЬШОЙ")</f>
        <v>OK</v>
      </c>
    </row>
    <row r="57">
      <c r="A57" t="inlineStr">
        <is>
          <t>Сайт: либо сумма, либо часы</t>
        </is>
      </c>
      <c r="B57"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02_Параметры</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выезд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на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выезд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на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Заложить время на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7" customWidth="1" min="1" max="1"/>
    <col width="13" customWidth="1" min="2" max="2"/>
    <col width="30" customWidth="1" min="3" max="3"/>
    <col width="17" customWidth="1" min="4" max="4"/>
    <col width="13" customWidth="1" min="5" max="5"/>
    <col width="40" customWidth="1" min="6" max="6"/>
    <col width="30" customWidth="1" min="7" max="7"/>
  </cols>
  <sheetData>
    <row r="1">
      <c r="A1" s="1" t="inlineStr">
        <is>
          <t>08b · UI-МАТРИЦА ОТЧЁТА — что видно бесплатно, что после оплаты</t>
        </is>
      </c>
    </row>
    <row r="2">
      <c r="A2" s="25" t="inlineStr">
        <is>
          <t>Зелёный — открыто всем. Жёлтый — под размытием до оплаты.</t>
        </is>
      </c>
    </row>
    <row r="4" ht="28" customHeight="1">
      <c r="A4" s="44" t="inlineStr">
        <is>
          <t>№</t>
        </is>
      </c>
      <c r="B4" s="44" t="inlineStr">
        <is>
          <t>Доступ</t>
        </is>
      </c>
      <c r="C4" s="44" t="inlineStr">
        <is>
          <t>Заголовок / элемент</t>
        </is>
      </c>
      <c r="D4" s="44" t="inlineStr">
        <is>
          <t>Тип</t>
        </is>
      </c>
      <c r="E4" s="44" t="inlineStr">
        <is>
          <t>Ширина</t>
        </is>
      </c>
      <c r="F4" s="44" t="inlineStr">
        <is>
          <t>Что показывает</t>
        </is>
      </c>
      <c r="G4" s="44" t="inlineStr">
        <is>
          <t>Параметры</t>
        </is>
      </c>
    </row>
    <row r="5">
      <c r="A5" s="3" t="inlineStr">
        <is>
          <t>ПРЕДВАРИТЕЛЬНЫЙ ОТЧЁТ — видят все</t>
        </is>
      </c>
    </row>
    <row r="6">
      <c r="A6" s="110" t="inlineStr">
        <is>
          <t>П1</t>
        </is>
      </c>
      <c r="B6" s="108" t="inlineStr">
        <is>
          <t>открыто</t>
        </is>
      </c>
      <c r="C6" s="5" t="inlineStr">
        <is>
          <t>Ваша расчётная ставка</t>
        </is>
      </c>
      <c r="D6" s="5" t="inlineStr">
        <is>
          <t>report_hero</t>
        </is>
      </c>
      <c r="E6" s="5" t="inlineStr">
        <is>
          <t>100%</t>
        </is>
      </c>
      <c r="F6" s="5" t="inlineStr">
        <is>
          <t>Крупная цифра ₽/час на зелёном градиенте</t>
        </is>
      </c>
      <c r="G6" s="6" t="inlineStr">
        <is>
          <t>real_rate</t>
        </is>
      </c>
    </row>
    <row r="7">
      <c r="A7" s="110" t="inlineStr">
        <is>
          <t>П2</t>
        </is>
      </c>
      <c r="B7" s="108" t="inlineStr">
        <is>
          <t>открыто</t>
        </is>
      </c>
      <c r="C7" s="5" t="inlineStr">
        <is>
          <t>За одну съёмку · выручка в месяц · съёмок в месяц</t>
        </is>
      </c>
      <c r="D7" s="5" t="inlineStr">
        <is>
          <t>report_row</t>
        </is>
      </c>
      <c r="E7" s="5" t="inlineStr">
        <is>
          <t>3 колонки</t>
        </is>
      </c>
      <c r="F7" s="5" t="inlineStr">
        <is>
          <t>Три показателя в строку под главной цифрой</t>
        </is>
      </c>
      <c r="G7" s="6" t="inlineStr">
        <is>
          <t>R/projects_year, R/12, projects_year/12</t>
        </is>
      </c>
    </row>
    <row r="8">
      <c r="A8" s="110" t="inlineStr">
        <is>
          <t>П3</t>
        </is>
      </c>
      <c r="B8" s="108" t="inlineStr">
        <is>
          <t>открыто</t>
        </is>
      </c>
      <c r="C8" s="5" t="inlineStr">
        <is>
          <t>Куда уходит каждый час съёмки</t>
        </is>
      </c>
      <c r="D8" s="5" t="inlineStr">
        <is>
          <t>chart_donut</t>
        </is>
      </c>
      <c r="E8" s="5" t="inlineStr">
        <is>
          <t>100%</t>
        </is>
      </c>
      <c r="F8" s="5" t="inlineStr">
        <is>
          <t>Одна кольцевая диаграмма, 11 сегментов, легенда справа двумя группами</t>
        </is>
      </c>
      <c r="G8" s="6" t="inlineStr">
        <is>
          <t>parts(d)</t>
        </is>
      </c>
    </row>
    <row r="9">
      <c r="A9" s="110" t="inlineStr">
        <is>
          <t>П4</t>
        </is>
      </c>
      <c r="B9" s="108" t="inlineStr">
        <is>
          <t>открыто</t>
        </is>
      </c>
      <c r="C9" s="5" t="inlineStr">
        <is>
          <t>А теперь сравните со своей зарплатой</t>
        </is>
      </c>
      <c r="D9" s="5" t="inlineStr">
        <is>
          <t>compare_box</t>
        </is>
      </c>
      <c r="E9" s="5" t="inlineStr">
        <is>
          <t>2 колонки</t>
        </is>
      </c>
      <c r="F9" s="5" t="inlineStr">
        <is>
          <t>Хотите получать / Получаете сейчас, полоса-индикатор, разница в месяц и за год</t>
        </is>
      </c>
      <c r="G9" s="6" t="inlineStr">
        <is>
          <t>target_income/12, leftC/12</t>
        </is>
      </c>
    </row>
    <row r="10">
      <c r="A10" s="110" t="inlineStr">
        <is>
          <t>П5</t>
        </is>
      </c>
      <c r="B10" s="108" t="inlineStr">
        <is>
          <t>открыто</t>
        </is>
      </c>
      <c r="C10" s="5" t="inlineStr">
        <is>
          <t>Блок оплаты</t>
        </is>
      </c>
      <c r="D10" s="5" t="inlineStr">
        <is>
          <t>paywall</t>
        </is>
      </c>
      <c r="E10" s="5" t="inlineStr">
        <is>
          <t>100%</t>
        </is>
      </c>
      <c r="F10" s="5" t="inlineStr">
        <is>
          <t>Иконка, заголовок, цена, две кнопки, способы оплаты, список содержимого</t>
        </is>
      </c>
      <c r="G10" s="6" t="inlineStr">
        <is>
          <t>PRICE_REF, PRICE_FULL</t>
        </is>
      </c>
    </row>
    <row r="12">
      <c r="A12" s="3" t="inlineStr">
        <is>
          <t>ПОЛНЫЙ ОТЧЁТ — после оплаты</t>
        </is>
      </c>
    </row>
    <row r="13">
      <c r="A13" s="124" t="inlineStr">
        <is>
          <t>О1</t>
        </is>
      </c>
      <c r="B13" s="113" t="inlineStr">
        <is>
          <t>закрыто</t>
        </is>
      </c>
      <c r="C13" s="5" t="inlineStr">
        <is>
          <t>Три кольцевые диаграммы</t>
        </is>
      </c>
      <c r="D13" s="5" t="inlineStr">
        <is>
          <t>chart_donut × 3</t>
        </is>
      </c>
      <c r="E13" s="5" t="inlineStr">
        <is>
          <t>3 колонки</t>
        </is>
      </c>
      <c r="F13" s="5" t="inlineStr">
        <is>
          <t>Расчётная · Текущая · Работа в ноль. Одинаковые сегменты и цвета</t>
        </is>
      </c>
      <c r="G13" s="6" t="inlineStr">
        <is>
          <t>parts, Pc, Pb</t>
        </is>
      </c>
    </row>
    <row r="14">
      <c r="A14" s="124" t="inlineStr">
        <is>
          <t>О2</t>
        </is>
      </c>
      <c r="B14" s="113" t="inlineStr">
        <is>
          <t>закрыто</t>
        </is>
      </c>
      <c r="C14" s="5" t="inlineStr">
        <is>
          <t>За какие роли вы это заработали</t>
        </is>
      </c>
      <c r="D14" s="5" t="inlineStr">
        <is>
          <t>report_table</t>
        </is>
      </c>
      <c r="E14" s="5" t="inlineStr">
        <is>
          <t>100%</t>
        </is>
      </c>
      <c r="F14" s="5" t="inlineStr">
        <is>
          <t>6 строк: фотограф, ретушёр, менеджер, маркетолог, бухгалтер, компенсация. Колонки: часов в год, часов на проект, ₽ в год, ₽ с часа съёмки</t>
        </is>
      </c>
      <c r="G14" s="6" t="inlineStr">
        <is>
          <t>hr × время роли</t>
        </is>
      </c>
    </row>
    <row r="15">
      <c r="A15" s="124" t="inlineStr">
        <is>
          <t>О3</t>
        </is>
      </c>
      <c r="B15" s="113" t="inlineStr">
        <is>
          <t>закрыто</t>
        </is>
      </c>
      <c r="C15" s="5" t="inlineStr">
        <is>
          <t>Чипы над таблицей</t>
        </is>
      </c>
      <c r="D15" s="5" t="inlineStr">
        <is>
          <t>chips</t>
        </is>
      </c>
      <c r="E15" s="5" t="inlineStr">
        <is>
          <t>авто</t>
        </is>
      </c>
      <c r="F15" s="5" t="inlineStr">
        <is>
          <t>Съёмка · Проект · Съёмочных часов в год · Занято в неделю</t>
        </is>
      </c>
      <c r="G15" s="6" t="inlineStr">
        <is>
          <t>S, project_time, shooting_time</t>
        </is>
      </c>
    </row>
    <row r="16">
      <c r="A16" s="124" t="inlineStr">
        <is>
          <t>О4</t>
        </is>
      </c>
      <c r="B16" s="113" t="inlineStr">
        <is>
          <t>закрыто</t>
        </is>
      </c>
      <c r="C16" s="5" t="inlineStr">
        <is>
          <t>Что это значит</t>
        </is>
      </c>
      <c r="D16" s="5" t="inlineStr">
        <is>
          <t>expl_list</t>
        </is>
      </c>
      <c r="E16" s="5" t="inlineStr">
        <is>
          <t>100%</t>
        </is>
      </c>
      <c r="F16" s="5" t="inlineStr">
        <is>
          <t>6 плашек с цветным маркером слева: вам заплатят, вы заработаете, отложите, заплатите, отдадите государству, отдадите банку</t>
        </is>
      </c>
      <c r="G16" s="6" t="inlineStr">
        <is>
          <t>CO[0,6,8,9,10]</t>
        </is>
      </c>
    </row>
    <row r="17">
      <c r="A17" s="124" t="inlineStr">
        <is>
          <t>О5</t>
        </is>
      </c>
      <c r="B17" s="113" t="inlineStr">
        <is>
          <t>закрыто</t>
        </is>
      </c>
      <c r="C17" s="5" t="inlineStr">
        <is>
          <t>Сколько вы теряете</t>
        </is>
      </c>
      <c r="D17" s="5" t="inlineStr">
        <is>
          <t>warn_box</t>
        </is>
      </c>
      <c r="E17" s="5" t="inlineStr">
        <is>
          <t>100%</t>
        </is>
      </c>
      <c r="F17" s="5" t="inlineStr">
        <is>
          <t>Красный блок: текущая ставка, остаётся на руки, крупная цифра недобора, недобор с часа, минимум без убытка</t>
        </is>
      </c>
      <c r="G17" s="6" t="inlineStr">
        <is>
          <t>miss, Rb</t>
        </is>
      </c>
    </row>
    <row r="18">
      <c r="A18" s="124" t="inlineStr">
        <is>
          <t>О6</t>
        </is>
      </c>
      <c r="B18" s="113" t="inlineStr">
        <is>
          <t>закрыто</t>
        </is>
      </c>
      <c r="C18" s="5" t="inlineStr">
        <is>
          <t>Ваша неделя</t>
        </is>
      </c>
      <c r="D18" s="5" t="inlineStr">
        <is>
          <t>chart_week</t>
        </is>
      </c>
      <c r="E18" s="5" t="inlineStr">
        <is>
          <t>100%</t>
        </is>
      </c>
      <c r="F18" s="5" t="inlineStr">
        <is>
          <t>Сетка 5 дней × 9 часов с 10:00 до 19:00. Обед серым. Легенда цветами диаграммы</t>
        </is>
      </c>
      <c r="G18" s="6" t="inlineStr">
        <is>
          <t>perDay, CO[0..5]</t>
        </is>
      </c>
    </row>
    <row r="20">
      <c r="A20" s="3" t="inlineStr">
        <is>
          <t>ПОСЛЕ ОПЛАТЫ</t>
        </is>
      </c>
    </row>
    <row r="21">
      <c r="A21" s="110" t="inlineStr">
        <is>
          <t>Б1</t>
        </is>
      </c>
      <c r="B21" s="108" t="inlineStr">
        <is>
          <t>открыто</t>
        </is>
      </c>
      <c r="C21" s="5" t="inlineStr">
        <is>
          <t>Спасибо за поддержку</t>
        </is>
      </c>
      <c r="D21" s="5" t="inlineStr">
        <is>
          <t>thanks_box</t>
        </is>
      </c>
      <c r="E21" s="5" t="inlineStr">
        <is>
          <t>100%</t>
        </is>
      </c>
      <c r="F21" s="5" t="inlineStr">
        <is>
          <t>Зелёный блок с галочкой, текст благодарности, кнопка «Скачать PDF»</t>
        </is>
      </c>
      <c r="G21" s="6" t="inlineStr">
        <is>
          <t>появляется при ?paid=1</t>
        </is>
      </c>
    </row>
    <row r="22">
      <c r="A22" s="110" t="inlineStr">
        <is>
          <t>Б2</t>
        </is>
      </c>
      <c r="B22" s="108" t="inlineStr">
        <is>
          <t>открыто</t>
        </is>
      </c>
      <c r="C22" s="5" t="inlineStr">
        <is>
          <t>Скачать PDF</t>
        </is>
      </c>
      <c r="D22" s="5" t="inlineStr">
        <is>
          <t>button_print</t>
        </is>
      </c>
      <c r="E22" s="5" t="inlineStr">
        <is>
          <t>420px</t>
        </is>
      </c>
      <c r="F22" s="5" t="inlineStr">
        <is>
          <t>Вызывает печать браузера. @media print скрывает форму и оставляет только отчёт</t>
        </is>
      </c>
      <c r="G22" s="6" t="inlineStr">
        <is>
          <t>window.print()</t>
        </is>
      </c>
    </row>
  </sheetData>
  <mergeCells count="5">
    <mergeCell ref="A1:G1"/>
    <mergeCell ref="A12:G12"/>
    <mergeCell ref="A20:G20"/>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02_Параметры</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рабочие паузы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Часы на сам заказ и на работу, без которой заказов просто не будет: съёмка, обработка, переписка, продвижение, отчётность</t>
        </is>
      </c>
    </row>
    <row r="584">
      <c r="A584" s="27" t="inlineStr">
        <is>
          <t>rbd_h2d</t>
        </is>
      </c>
      <c r="B584" s="112" t="inlineStr">
        <is>
          <t>Полный отчёт</t>
        </is>
      </c>
      <c r="C584" s="113" t="inlineStr">
        <is>
          <t>Вложения в дело: техника и программы, обучение и опыт, реклама, аренда, налоги — уже потраченные или уходящие каждый месяц</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Дорога, бензин, такси и парковка по закону ложатся на исполнителя. Определите зону, куда выезжаете по базовой цене, например в пределах города. За её границы добавляйте к смете стоимость дороги в обе стороны и время в пути. Час за рулём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02_Параметры.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Час вашего времени</t>
        </is>
      </c>
      <c r="C6" s="150" t="inlineStr">
        <is>
          <t>747 ₽/ч</t>
        </is>
      </c>
      <c r="D6" s="151" t="inlineStr">
        <is>
          <t>'=target_income/(net_time+idle_time)</t>
        </is>
      </c>
      <c r="E6" s="152" t="inlineStr">
        <is>
          <t>Желаемый доход за год делится на ВСЁ рабочее время, включая рабочие паузы: 1 307 988 / (1533+219) = 747 ₽. Не путать со ставкой часа съёмки — это то, сколько стоит любой ваш час: и с камерой, и за компьютером.</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берутся рабочие паузы</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рабочие паузы — потому что паузы оплачиваются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форс-мажор 1,2 + паузы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Решается уравнение V − costY − V×0,028 −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V = 722 371 ₽ = расходы 666 026 + эквайринг 20 226 + налог 36 119. Невязка нетто 1e-10 ₽. Ставка 3 335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паузы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 xml:space="preserve">--c-ig-4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Полная цепочка расчёта по шагам — ровно так, как считает калькулятор. Все ID в колонке «Формула» ссылаются на лист 02_Параметры. Цифры в колонке «Результат» — для демо-набора (доход 108 999 ₽/мес, съёмка 2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на форс-мажоры</t>
        </is>
      </c>
      <c r="C8" s="152" t="inlineStr">
        <is>
          <t>5% времени уходит на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1083 × 5% = 54,15 ч
1083 − 54,15 =
1 028,85 часа</t>
        </is>
      </c>
    </row>
    <row r="9" ht="92" customHeight="1">
      <c r="A9" s="236" t="inlineStr">
        <is>
          <t>5</t>
        </is>
      </c>
      <c r="B9" s="149" t="inlineStr">
        <is>
          <t>Считаем, сколько часов съедает один заказ</t>
        </is>
      </c>
      <c r="C9" s="152" t="inlineStr">
        <is>
          <t>Пользователь задаёт три величины: типовая длительность съёмки (2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2 × (1+3) + 1 =
9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1028,85 / 9 =
114,32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паузы в его счёт не попадают. Из 1 752 часов вашей работы в году продаётся только 229 — это 13%.</t>
        </is>
      </c>
      <c r="D11" s="237" t="inlineStr">
        <is>
          <t>shooting_time =
projects_year × shoot_duration</t>
        </is>
      </c>
      <c r="E11" s="238" t="inlineStr">
        <is>
          <t>114,32 × 2 =
228,63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1 307 988 ₽ доход
666 026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(1 307 988 + 666 026)
/ (1 − 0,028 − 0,06) =
2 164 489 ₽</t>
        </is>
      </c>
    </row>
    <row r="14" ht="66" customHeight="1">
      <c r="A14" s="236" t="inlineStr">
        <is>
          <t>10</t>
        </is>
      </c>
      <c r="B14" s="149" t="inlineStr">
        <is>
          <t>Делим выручку на оплачиваемые часы</t>
        </is>
      </c>
      <c r="C14" s="152" t="inlineStr">
        <is>
          <t>Вся годовая выручка должна собраться с тех самых 229 съёмочных часов, потому что больше клиент ничего не покупает. Это и есть ставка часа.</t>
        </is>
      </c>
      <c r="D14" s="237" t="inlineStr">
        <is>
          <t>СТАВКА = R / shooting_time</t>
        </is>
      </c>
      <c r="E14" s="238" t="inlineStr">
        <is>
          <t>2 164 489 / 228,63 =
9 467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2 164 489 − 666 026 расходов − 60 606 эквайринга − 129 869 налога</t>
        </is>
      </c>
      <c r="D17" s="240" t="inlineStr">
        <is>
          <t>'= 1 307 988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9 467 ₽</t>
        </is>
      </c>
      <c r="E18" s="152" t="inlineStr">
        <is>
          <t>совпало со ставкой часа</t>
        </is>
      </c>
    </row>
    <row r="19" ht="30" customHeight="1">
      <c r="B19" s="149" t="inlineStr">
        <is>
          <t>Шапка отчёта</t>
        </is>
      </c>
      <c r="C19" s="152" t="inlineStr">
        <is>
          <t>108 999 доход + 71 375 расходы</t>
        </is>
      </c>
      <c r="D19" s="240" t="inlineStr">
        <is>
          <t>'= 180 374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9 467 ₽</t>
        </is>
      </c>
    </row>
    <row r="23" ht="42" customHeight="1">
      <c r="B23" s="149" t="inlineStr">
        <is>
          <t>Фактическая стоимость часа</t>
        </is>
      </c>
      <c r="C23" s="152" t="inlineStr">
        <is>
          <t>Сколько вы реально зарабатываете за час ЛЮБОЙ работы — с камерой или за компьютером.</t>
        </is>
      </c>
      <c r="D23" s="237" t="inlineStr">
        <is>
          <t>target_income / (net_time + idle_time)</t>
        </is>
      </c>
      <c r="E23" s="238" t="inlineStr">
        <is>
          <t>747 ₽</t>
        </is>
      </c>
    </row>
    <row r="24" ht="30" customHeight="1">
      <c r="B24" s="241" t="inlineStr">
        <is>
          <t>Разница в 12,7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Рабочие паузы и форс-мажоры</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2 164 489</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выезд»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54"/>
  <sheetViews>
    <sheetView workbookViewId="0">
      <pane ySplit="4" topLeftCell="A5" activePane="bottomLeft" state="frozen"/>
      <selection pane="bottomLeft" activeCell="A1" sqref="A1"/>
    </sheetView>
  </sheetViews>
  <sheetFormatPr baseColWidth="8" defaultRowHeight="15"/>
  <cols>
    <col width="32" customWidth="1" min="1" max="1"/>
    <col width="104" customWidth="1" min="2" max="2"/>
  </cols>
  <sheetData>
    <row r="1">
      <c r="A1" s="1" t="inlineStr">
        <is>
          <t>09i · СПРАВОЧНИК: ТЕРМИНЫ И ОПРЕДЕЛЕНИЯ</t>
        </is>
      </c>
    </row>
    <row r="2">
      <c r="A2" s="250" t="inlineStr">
        <is>
          <t>Плоский список по алфавиту, без разделов. Только те термины, которые человек встречает в анкете и в отчёте. Внутренние термины методики сюда не входят.</t>
        </is>
      </c>
    </row>
    <row r="4">
      <c r="A4" s="257" t="inlineStr">
        <is>
          <t>Термин</t>
        </is>
      </c>
      <c r="B4" s="257" t="inlineStr">
        <is>
          <t>Определение</t>
        </is>
      </c>
    </row>
    <row r="5">
      <c r="A5" s="294" t="inlineStr">
        <is>
          <t>Амортизация</t>
        </is>
      </c>
      <c r="B5" s="229" t="inlineStr">
        <is>
          <t>способ распределения стоимости разовой покупки на весь её срок службы — ежегодные или ежемесячные расходы на износ оборудования.</t>
        </is>
      </c>
    </row>
    <row r="6">
      <c r="A6" s="294" t="inlineStr">
        <is>
          <t>Выручка</t>
        </is>
      </c>
      <c r="B6" s="229" t="inlineStr">
        <is>
          <t>общий объём денежных средств, которые необходимо получить от клиентов за год, чтобы после всех обязательных вычетов у вас остался желаемый чистый доход.</t>
        </is>
      </c>
    </row>
    <row r="7">
      <c r="A7" s="294" t="inlineStr">
        <is>
          <t>Готовые кадры</t>
        </is>
      </c>
      <c r="B7" s="229" t="inlineStr">
        <is>
          <t>среднее количество готовых снимков, получаемых клиентом с часа съёмки. Из этого рассчитывается цена одного кадра.</t>
        </is>
      </c>
    </row>
    <row r="8">
      <c r="A8" s="294" t="inlineStr">
        <is>
          <t>Доход на руки</t>
        </is>
      </c>
      <c r="B8" s="229" t="inlineStr">
        <is>
          <t>чистая сумма, которая остаётся у вас после вычета всех расходов и налогов. Это ключевая точка отсчёта для всех дальнейших расчётов.</t>
        </is>
      </c>
    </row>
    <row r="9">
      <c r="A9" s="294" t="inlineStr">
        <is>
          <t>Запас прочности</t>
        </is>
      </c>
      <c r="B9" s="229" t="inlineStr">
        <is>
          <t>финансовый резерв, формирующий фонд развития и запас на предоставление скидок. Не входит в обязательный базовый расчёт и может включаться по вашему усмотрению.</t>
        </is>
      </c>
    </row>
    <row r="10">
      <c r="A10" s="294" t="inlineStr">
        <is>
          <t>Налоги и взносы</t>
        </is>
      </c>
      <c r="B10" s="229" t="inlineStr">
        <is>
          <t>платежи в соответствии с вашим налоговым режимом. Для индивидуальных предпринимателей включают фиксированные страховые взносы, подлежащие уплате независимо от наличия дохода.</t>
        </is>
      </c>
    </row>
    <row r="11">
      <c r="A11" s="294" t="inlineStr">
        <is>
          <t>Обработка</t>
        </is>
      </c>
      <c r="B11" s="229" t="inlineStr">
        <is>
          <t>время, необходимое для обработки полученного контента за один час съёмки: скачивание и бэкап, отбор и отбраковка кадров, выгрузка и загрузка в ПО, кадрирование, устранение значимых артефактов, цветовая и тоновая коррекция, сведение к единому стилю, настройка чёткости кадра, сохранение в нужном формате, экспорт, загрузка в облако, правки при необходимости, а также формирование и хранение архива.</t>
        </is>
      </c>
    </row>
    <row r="12">
      <c r="A12" s="294" t="inlineStr">
        <is>
          <t>Обустройство места</t>
        </is>
      </c>
      <c r="B12" s="229" t="inlineStr">
        <is>
          <t>закупка необходимой для работы мебели, косметический ремонт помещения, предусмотренного под рабочую зону и хранение оборудования.</t>
        </is>
      </c>
    </row>
    <row r="13">
      <c r="A13" s="294" t="inlineStr">
        <is>
          <t>Обучение</t>
        </is>
      </c>
      <c r="B13" s="229" t="inlineStr">
        <is>
          <t>прохождение профессиональных курсов и работа с наставниками. Помимо прямой финансовой стоимости, учитывает периоды временного снижения или полного отсутствия дохода во время учёбы.</t>
        </is>
      </c>
    </row>
    <row r="14">
      <c r="A14" s="294" t="inlineStr">
        <is>
          <t>Офисное оборудование</t>
        </is>
      </c>
      <c r="B14" s="229" t="inlineStr">
        <is>
          <t>оборудование, необходимое для профессиональной деятельности фотографа и выполнения всего комплекса работ: от обработки заказов и решения текущих задач до поиска новых клиентов, ведения учёта и сопутствующей административной деятельности.</t>
        </is>
      </c>
    </row>
    <row r="15">
      <c r="A15" s="294" t="inlineStr">
        <is>
          <t>Подписки</t>
        </is>
      </c>
      <c r="B15" s="229" t="inlineStr">
        <is>
          <t>регулярные платежи за цифровые сервисы и инструменты, без которых невозможна ежедневная работа: Adobe Creative Cloud, облачные хранилища, хостинг, доменное имя и подобное.</t>
        </is>
      </c>
    </row>
    <row r="16">
      <c r="A16" s="294" t="inlineStr">
        <is>
          <t>Программное обеспечение</t>
        </is>
      </c>
      <c r="B16" s="229" t="inlineStr">
        <is>
          <t>специализированный профессиональный софт, необходимый фотографу для обработки изображений и подготовки материалов. Без этих программ выполнение качественной финальной обработки и передача готового заказа клиенту невозможны.</t>
        </is>
      </c>
    </row>
    <row r="17">
      <c r="A17" s="294" t="inlineStr">
        <is>
          <t>Продвижение и реклама</t>
        </is>
      </c>
      <c r="B17" s="229" t="inlineStr">
        <is>
          <t>комплекс мер, направленных на продвижение, популяризацию личного бренда и поиск новых клиентов.</t>
        </is>
      </c>
    </row>
    <row r="18">
      <c r="A18" s="294" t="inlineStr">
        <is>
          <t>Продолжительность съёмки</t>
        </is>
      </c>
      <c r="B18" s="229" t="inlineStr">
        <is>
          <t>привычный или средний формат заказа. Рассчитывается по формуле: общее количество съёмочных часов в месяц разделить на количество съёмок.</t>
        </is>
      </c>
    </row>
    <row r="19">
      <c r="A19" s="294" t="inlineStr">
        <is>
          <t>Работа с клиентом</t>
        </is>
      </c>
      <c r="B19" s="229" t="inlineStr">
        <is>
          <t>презентация личного бренда, демонстрация портфолио, согласование прайса, даты съёмки и референсов, заключение и коррекция договора, формирование и выставление счетов и актов, контроль оплаты, консультации в ходе работы и пр. Рассчитывается на один заказ.</t>
        </is>
      </c>
    </row>
    <row r="20">
      <c r="A20" s="294" t="inlineStr">
        <is>
          <t>Рабочие паузы</t>
        </is>
      </c>
      <c r="B20" s="229" t="inlineStr">
        <is>
          <t>время в течение дня на подготовку и уборку рабочего места, обслуживание и зарядку оборудования, разминку при работе за компьютером и личные надобности. В расчёт заложен один час ежедневно. Это опирается на нормативы Госкомтруда, где всем работающим независимо от вида труда полагается 10–15 минут в смену на личные надобности, и на санитарные рекомендации для работы за монитором: 10–15 минут перерыва каждый час. Обеденное время сюда не входит и в расчёте не учитывается.</t>
        </is>
      </c>
    </row>
    <row r="21">
      <c r="A21" s="294" t="inlineStr">
        <is>
          <t>Сайт</t>
        </is>
      </c>
      <c r="B21" s="229" t="inlineStr">
        <is>
          <t>персональный информационный ресурс в сети интернет, предназначенный для привлечения новых клиентов и поиска заказов. Может быть создан привлечённым специалистом — тогда учитываются прямые финансовые затраты — либо разработан фотографом самостоятельно. При самостоятельной разработке в качестве амортизируемого вложения учитывается время, затраченное на создание и настройку ресурса, пересчитанное по базовой ставке часа.</t>
        </is>
      </c>
    </row>
    <row r="22">
      <c r="A22" s="294" t="inlineStr">
        <is>
          <t>Содержание рабочего места</t>
        </is>
      </c>
      <c r="B22" s="229" t="inlineStr">
        <is>
          <t>регулярные текущие платежи, обеспечивающие функционирование рабочего пространства.</t>
        </is>
      </c>
    </row>
    <row r="23">
      <c r="A23" s="294" t="inlineStr">
        <is>
          <t>Срок службы</t>
        </is>
      </c>
      <c r="B23" s="229" t="inlineStr">
        <is>
          <t>количество лет, в течение которых вещь реально работает до замены. Учитывается не гарантия производителя, а ваш личный практический опыт.</t>
        </is>
      </c>
    </row>
    <row r="24">
      <c r="A24" s="294" t="inlineStr">
        <is>
          <t>Ставка часа съёмки</t>
        </is>
      </c>
      <c r="B24" s="229" t="inlineStr">
        <is>
          <t>стоимость одного часа работы непосредственно на съёмочной площадке для клиента. Покрывает ваш желаемый доход, все сопутствующие расходы, налоги и комиссии банков.</t>
        </is>
      </c>
    </row>
    <row r="25">
      <c r="A25" s="294" t="inlineStr">
        <is>
          <t>Стоимость часа вашей работы</t>
        </is>
      </c>
      <c r="B25" s="229" t="inlineStr">
        <is>
          <t>ваш итоговый доход, разделённый на абсолютно всё потраченное рабочее время. Показывает реальную стоимость любого вашего часа, включая обработку, общение с клиентами и прочие административные задачи.</t>
        </is>
      </c>
    </row>
    <row r="26">
      <c r="A26" s="294" t="inlineStr">
        <is>
          <t>Съёмка</t>
        </is>
      </c>
      <c r="B26" s="229" t="inlineStr">
        <is>
          <t>время, проведённое непосредственно на площадке. Единственное, за что клиент платит напрямую.</t>
        </is>
      </c>
    </row>
    <row r="27">
      <c r="A27" s="294" t="inlineStr">
        <is>
          <t>Съёмочное оборудование</t>
        </is>
      </c>
      <c r="B27" s="229" t="inlineStr">
        <is>
          <t>неизменный рабочий арсенал, который фотограф берёт с собой на каждую съёмку. Без этого минимума проведение съёмочного процесса физически невозможно либо критически усложняется. Узкоспециализированная техника для разовых или нестандартных проектов сюда не относится — она рассчитывается отдельно под конкретные задачи.</t>
        </is>
      </c>
    </row>
    <row r="28">
      <c r="A28" s="294" t="inlineStr">
        <is>
          <t>Учёт и отчётность</t>
        </is>
      </c>
      <c r="B28" s="229" t="inlineStr">
        <is>
          <t>формирование и сдача деклараций, уплата взносов по срокам, сверки, ведение КУДИР, ответы налоговым органам и пр. Учитывается как часы в квартал.</t>
        </is>
      </c>
    </row>
    <row r="29">
      <c r="A29" s="294" t="inlineStr">
        <is>
          <t>Форс-мажоры</t>
        </is>
      </c>
      <c r="B29" s="229" t="inlineStr">
        <is>
          <t>непредвиденные обстоятельства: внезапный перенос или отмена съёмок, срывы договорённостей по вине клиента, повторные выезды на площадку и прочие ситуации, когда рабочее время уже потрачено, но оплата труда не поступает.</t>
        </is>
      </c>
    </row>
    <row r="30">
      <c r="A30" s="294" t="inlineStr">
        <is>
          <t>Эквайринг</t>
        </is>
      </c>
      <c r="B30" s="229" t="inlineStr">
        <is>
          <t>банковская комиссия за приём платежей по картам или через QR-код. Рассчитывается со всей суммы поступлений, а не с чистой прибыли.</t>
        </is>
      </c>
    </row>
    <row r="32" ht="56" customHeight="1">
      <c r="A32" s="260" t="inlineStr">
        <is>
          <t>Нормативная основа «Рабочих пауз»: Межотраслевые методические рекомендации «Определение нормативов времени на отдых и личные надобности» (Госкомтруд СССР) — 10–15 минут в смену на личные надобности всем работающим; 3–5% оперативного времени на отдых при монотонной работе. Санитарные рекомендации для работы за монитором: 10–15 минут каждые 45–60 минут (СанПиН 2.2.2/2.4.1340-03 и ТОИ Р-45-084-01 утратили силу с 01.01.2021, цифры используются как ориентир). Обеденный перерыв не входит.</t>
        </is>
      </c>
    </row>
    <row r="34">
      <c r="A34" s="295" t="inlineStr">
        <is>
          <t>ЕДИНЫЕ НАЗВАНИЯ В ТАБЛИЦЕ ПОЛНОЙ ВЫГРУЗКИ — 06.08.2026</t>
        </is>
      </c>
    </row>
    <row r="35">
      <c r="A35" s="229" t="inlineStr">
        <is>
          <t>Было</t>
        </is>
      </c>
      <c r="B35" s="229" t="inlineStr">
        <is>
          <t>Стало</t>
        </is>
      </c>
    </row>
    <row r="36">
      <c r="A36" s="229" t="inlineStr">
        <is>
          <t>Съёмочная техника</t>
        </is>
      </c>
      <c r="B36" s="229" t="inlineStr">
        <is>
          <t>Съёмочное оборудование</t>
        </is>
      </c>
    </row>
    <row r="37">
      <c r="A37" s="229" t="inlineStr">
        <is>
          <t>Компьютер и периферия</t>
        </is>
      </c>
      <c r="B37" s="229" t="inlineStr">
        <is>
          <t>Офисное оборудование</t>
        </is>
      </c>
    </row>
    <row r="38">
      <c r="A38" s="229" t="inlineStr">
        <is>
          <t>Программы разово + Подписки и сервисы</t>
        </is>
      </c>
      <c r="B38" s="229" t="inlineStr">
        <is>
          <t>Программное обеспечение — одной строкой</t>
        </is>
      </c>
    </row>
    <row r="39">
      <c r="A39" s="229" t="inlineStr">
        <is>
          <t>Обустройство места</t>
        </is>
      </c>
      <c r="B39" s="229" t="inlineStr">
        <is>
          <t>Обустройство рабочего места</t>
        </is>
      </c>
    </row>
    <row r="40">
      <c r="A40" s="229" t="inlineStr">
        <is>
          <t>Реклама и продвижение</t>
        </is>
      </c>
      <c r="B40" s="229" t="inlineStr">
        <is>
          <t>Продвижение и реклама</t>
        </is>
      </c>
    </row>
    <row r="41">
      <c r="A41" s="229" t="inlineStr">
        <is>
          <t>Аренда и коммунальные</t>
        </is>
      </c>
      <c r="B41" s="229" t="inlineStr">
        <is>
          <t>Содержание рабочего места</t>
        </is>
      </c>
    </row>
    <row r="42">
      <c r="A42" s="229" t="inlineStr">
        <is>
          <t>Банк и РКО + Эквайринг</t>
        </is>
      </c>
      <c r="B42" s="229" t="inlineStr">
        <is>
          <t>Банк и РКО — эквайринг входит сюда, в налогах не дублируется</t>
        </is>
      </c>
    </row>
    <row r="43">
      <c r="A43" s="229" t="inlineStr">
        <is>
          <t>Съёмка на площадке</t>
        </is>
      </c>
      <c r="B43" s="229" t="inlineStr">
        <is>
          <t>Съёмочных часов</t>
        </is>
      </c>
    </row>
    <row r="44">
      <c r="A44" s="229" t="inlineStr">
        <is>
          <t>Обработка материала</t>
        </is>
      </c>
      <c r="B44" s="229" t="inlineStr">
        <is>
          <t>Часов на обработку</t>
        </is>
      </c>
    </row>
    <row r="45">
      <c r="A45" s="229" t="inlineStr">
        <is>
          <t>Продвижение</t>
        </is>
      </c>
      <c r="B45" s="229" t="inlineStr">
        <is>
          <t>Часов на продвижение и рекламу</t>
        </is>
      </c>
    </row>
    <row r="46">
      <c r="A46" s="229" t="inlineStr">
        <is>
          <t>Работа с клиентом</t>
        </is>
      </c>
      <c r="B46" s="229" t="inlineStr">
        <is>
          <t>Часов на работу с клиентом</t>
        </is>
      </c>
    </row>
    <row r="47">
      <c r="A47" s="229" t="inlineStr">
        <is>
          <t>Учёт и отчётность</t>
        </is>
      </c>
      <c r="B47" s="229" t="inlineStr">
        <is>
          <t>Часов на учёт и отчётность</t>
        </is>
      </c>
    </row>
    <row r="48">
      <c r="A48" s="229" t="inlineStr">
        <is>
          <t>Рабочие паузы</t>
        </is>
      </c>
      <c r="B48" s="229" t="inlineStr">
        <is>
          <t>Часов на рабочие паузы</t>
        </is>
      </c>
    </row>
    <row r="49">
      <c r="A49" s="229" t="inlineStr">
        <is>
          <t>Резерв на форс-мажоры</t>
        </is>
      </c>
      <c r="B49" s="229" t="inlineStr">
        <is>
          <t>Часов на форс-мажоры</t>
        </is>
      </c>
    </row>
    <row r="50">
      <c r="A50" s="229" t="inlineStr">
        <is>
          <t>Длительность съёмки</t>
        </is>
      </c>
      <c r="B50" s="229" t="inlineStr">
        <is>
          <t>Продолжительность съёмки</t>
        </is>
      </c>
    </row>
    <row r="51">
      <c r="A51" s="229" t="inlineStr">
        <is>
          <t>Время на один проект</t>
        </is>
      </c>
      <c r="B51" s="229" t="inlineStr">
        <is>
          <t>Время на один съёмочный проект</t>
        </is>
      </c>
    </row>
    <row r="52">
      <c r="A52" s="229" t="inlineStr">
        <is>
          <t>Кадров с часа съёмки</t>
        </is>
      </c>
      <c r="B52" s="229" t="inlineStr">
        <is>
          <t>Готовых кадров с часа съёмки</t>
        </is>
      </c>
    </row>
    <row r="53">
      <c r="A53" s="229" t="inlineStr">
        <is>
          <t>Стоимость одной съёмки</t>
        </is>
      </c>
      <c r="B53" s="229" t="inlineStr">
        <is>
          <t>Стоимость одного съёмочного проекта</t>
        </is>
      </c>
    </row>
    <row r="54">
      <c r="A54" s="229" t="inlineStr">
        <is>
          <t>Ваша текущая ставка</t>
        </is>
      </c>
      <c r="B54" s="229" t="inlineStr">
        <is>
          <t>УДАЛЕНА — заменена на «Стоимость одного готового кадра»</t>
        </is>
      </c>
    </row>
  </sheetData>
  <mergeCells count="4">
    <mergeCell ref="A32:B32"/>
    <mergeCell ref="A2:B2"/>
    <mergeCell ref="A1:B1"/>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форс-мажор и паузы</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паузы</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Рабочие паузы · Форс-мажоры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02_Параметры</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FormatPr defaultRowHeight="15"/>
  <cols>
    <col min="1" max="1" width="14" customWidth="1"/>
    <col min="2" max="2" width="34" customWidth="1"/>
    <col min="3" max="6" width="46" customWidth="1"/>
  </cols>
  <sheetData>
    <row r="1">
      <c r="A1" t="inlineStr">
        <is>
          <t xml:space="preserve">Дата</t>
        </is>
      </c>
      <c r="B1" t="inlineStr">
        <is>
          <t xml:space="preserve">Что изменили</t>
        </is>
      </c>
      <c r="C1" t="inlineStr">
        <is>
          <t xml:space="preserve">Как считается теперь</t>
        </is>
      </c>
      <c r="D1" t="inlineStr">
        <is>
          <t xml:space="preserve">Почему</t>
        </is>
      </c>
      <c r="E1" t="inlineStr">
        <is>
          <t xml:space="preserve">Где отражено</t>
        </is>
      </c>
      <c r="F1" t="inlineStr">
        <is>
          <t xml:space="preserve">Статус</t>
        </is>
      </c>
    </row>
    <row r="2">
      <c r="A2" t="inlineStr">
        <is>
          <t xml:space="preserve">18.08.2026</t>
        </is>
      </c>
      <c r="B2" t="inlineStr">
        <is>
          <t xml:space="preserve">Окупаемость камеры</t>
        </is>
      </c>
      <c r="C2" t="inlineStr">
        <is>
          <t xml:space="preserve">Цена камеры ÷ ((доход на руки за год + амортизация камеры) ÷ проектов за год) = 166 999 ÷ 6 363 = 26,2 съёмки (1,5 мес)</t>
        </is>
      </c>
      <c r="D2" t="inlineStr">
        <is>
          <t xml:space="preserve">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 xml:space="preserve">Детализация, таблица 03; справочник — статьи «Окупаемость», «Денежный поток»</t>
        </is>
      </c>
      <c r="F2" t="inlineStr">
        <is>
          <t xml:space="preserve">в книгу не внесено</t>
        </is>
      </c>
    </row>
    <row r="3">
      <c r="A3" t="inlineStr">
        <is>
          <t xml:space="preserve">18.08.2026</t>
        </is>
      </c>
      <c r="B3" t="inlineStr">
        <is>
          <t xml:space="preserve">Цена камеры / выручка за съёмку</t>
        </is>
      </c>
      <c r="C3" t="inlineStr">
        <is>
          <t xml:space="preserve">Цена камеры ÷ (выручка ÷ проектов за год) = 17,7 съёмки</t>
        </is>
      </c>
      <c r="D3" t="inlineStr">
        <is>
          <t xml:space="preserve">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 xml:space="preserve">Детализация, таблица 03</t>
        </is>
      </c>
      <c r="F3" t="inlineStr">
        <is>
          <t xml:space="preserve">в книгу не внесено</t>
        </is>
      </c>
    </row>
    <row r="4">
      <c r="A4" t="inlineStr">
        <is>
          <t xml:space="preserve">18.08.2026</t>
        </is>
      </c>
      <c r="B4" t="inlineStr">
        <is>
          <t xml:space="preserve">Срабатываний затвора за 1 час</t>
        </is>
      </c>
      <c r="C4" t="inlineStr">
        <is>
          <t xml:space="preserve">Новое поле анкеты, по умолчанию 350 (Canon EOS R6 Mark II)</t>
        </is>
      </c>
      <c r="D4" t="inlineStr">
        <is>
          <t xml:space="preserve">Позволяет считать износ камеры и выработку ресурса затвора</t>
        </is>
      </c>
      <c r="E4" t="inlineStr">
        <is>
          <t xml:space="preserve">Анкета блок 04; детализация, таблицы 01 и 03</t>
        </is>
      </c>
      <c r="F4" t="inlineStr">
        <is>
          <t xml:space="preserve">в анкету не внесено</t>
        </is>
      </c>
    </row>
    <row r="5">
      <c r="A5" t="inlineStr">
        <is>
          <t xml:space="preserve">18.08.2026</t>
        </is>
      </c>
      <c r="B5" t="inlineStr">
        <is>
          <t xml:space="preserve">Ресурс затвора</t>
        </is>
      </c>
      <c r="C5" t="inlineStr">
        <is>
          <t xml:space="preserve">Новое поле анкеты, по умолчанию 300 000 срабатываний</t>
        </is>
      </c>
      <c r="D5" t="inlineStr">
        <is>
          <t xml:space="preserve">Заявленный ресурс у каждой камеры свой, зашивать в код нельзя</t>
        </is>
      </c>
      <c r="E5" t="inlineStr">
        <is>
          <t xml:space="preserve">Анкета блок 04; детализация, таблицы 01 и 03</t>
        </is>
      </c>
      <c r="F5" t="inlineStr">
        <is>
          <t xml:space="preserve">в анкету не внесено</t>
        </is>
      </c>
    </row>
    <row r="6">
      <c r="A6" t="inlineStr">
        <is>
          <t xml:space="preserve">18.08.2026</t>
        </is>
      </c>
      <c r="B6" t="inlineStr">
        <is>
          <t xml:space="preserve">Износ камеры</t>
        </is>
      </c>
      <c r="C6" t="inlineStr">
        <is>
          <t xml:space="preserve">Амортизация тушки за год ÷ срабатываний за год = 55 666 ÷ 75 810 = 0,73 ₽ за срабатывание; 257 ₽ за съёмку</t>
        </is>
      </c>
      <c r="D6" t="inlineStr">
        <is>
          <t xml:space="preserve">Показывает износ в деньгах на одну съёмку</t>
        </is>
      </c>
      <c r="E6" t="inlineStr">
        <is>
          <t xml:space="preserve">Детализация, таблица 03</t>
        </is>
      </c>
      <c r="F6" t="inlineStr">
        <is>
          <t xml:space="preserve">в книгу не внесено</t>
        </is>
      </c>
    </row>
    <row r="7">
      <c r="A7" t="inlineStr">
        <is>
          <t xml:space="preserve">18.08.2026</t>
        </is>
      </c>
      <c r="B7" t="inlineStr">
        <is>
          <t xml:space="preserve">Выработка ресурса затвора</t>
        </is>
      </c>
      <c r="C7" t="inlineStr">
        <is>
          <t xml:space="preserve">Срабатываний за год ÷ ресурс = 75 810 ÷ 300 000 = 25,3 % в год, ресурса хватит на 4 года</t>
        </is>
      </c>
      <c r="D7" t="inlineStr">
        <is>
          <t xml:space="preserve">Проверка срока амортизации камеры: разносим на 3 года, ресурс кончится через 4 — срок взят осторожно</t>
        </is>
      </c>
      <c r="E7" t="inlineStr">
        <is>
          <t xml:space="preserve">Детализация, таблица 03</t>
        </is>
      </c>
      <c r="F7" t="inlineStr">
        <is>
          <t xml:space="preserve">в книгу не внесено</t>
        </is>
      </c>
    </row>
    <row r="8">
      <c r="A8" t="inlineStr">
        <is>
          <t xml:space="preserve">18.08.2026</t>
        </is>
      </c>
      <c r="B8" t="inlineStr">
        <is>
          <t xml:space="preserve">Себестоимость часа съёмки</t>
        </is>
      </c>
      <c r="C8" t="inlineStr">
        <is>
          <t xml:space="preserve">(расходы дела + налог + комиссия) ÷ съёмочных часов = 3 324 ₽</t>
        </is>
      </c>
      <c r="D8" t="inlineStr">
        <is>
          <t xml:space="preserve">Нужна, чтобы показать наценку и границу цены</t>
        </is>
      </c>
      <c r="E8" t="inlineStr">
        <is>
          <t xml:space="preserve">Детализация, таблица 08</t>
        </is>
      </c>
      <c r="F8" t="inlineStr">
        <is>
          <t xml:space="preserve">в книгу не внесено</t>
        </is>
      </c>
    </row>
    <row r="9">
      <c r="A9" t="inlineStr">
        <is>
          <t xml:space="preserve">18.08.2026</t>
        </is>
      </c>
      <c r="B9" t="inlineStr">
        <is>
          <t xml:space="preserve">Наценка к себестоимости</t>
        </is>
      </c>
      <c r="C9" t="inlineStr">
        <is>
          <t xml:space="preserve">Ставка ÷ себестоимость − 1 = 183,7 %</t>
        </is>
      </c>
      <c r="D9" t="inlineStr">
        <is>
          <t xml:space="preserve">—</t>
        </is>
      </c>
      <c r="E9" t="inlineStr">
        <is>
          <t xml:space="preserve">Детализация, таблица 08</t>
        </is>
      </c>
      <c r="F9" t="inlineStr">
        <is>
          <t xml:space="preserve">в книгу не внесено</t>
        </is>
      </c>
    </row>
    <row r="10">
      <c r="A10" t="inlineStr">
        <is>
          <t xml:space="preserve">18.08.2026</t>
        </is>
      </c>
      <c r="B10" t="inlineStr">
        <is>
          <t xml:space="preserve">Запас прочности</t>
        </is>
      </c>
      <c r="C10" t="inlineStr">
        <is>
          <t xml:space="preserve">1 − выручка в ноль ÷ выручка = 70,2 %</t>
        </is>
      </c>
      <c r="D10" t="inlineStr">
        <is>
          <t xml:space="preserve">На столько может упасть выручка, прежде чем доход станет нулевым</t>
        </is>
      </c>
      <c r="E10" t="inlineStr">
        <is>
          <t xml:space="preserve">Детализация, таблица 08</t>
        </is>
      </c>
      <c r="F10" t="inlineStr">
        <is>
          <t xml:space="preserve">в книгу не внесено</t>
        </is>
      </c>
    </row>
    <row r="11">
      <c r="A11" t="inlineStr">
        <is>
          <t xml:space="preserve">18.08.2026</t>
        </is>
      </c>
      <c r="B11" t="inlineStr">
        <is>
          <t xml:space="preserve">Съёмок / выход в ноль</t>
        </is>
      </c>
      <c r="C11" t="inlineStr">
        <is>
          <t xml:space="preserve">Выручка в ноль ÷ цена проекта. При текущей ставке 101,6; при желаемой 64,6</t>
        </is>
      </c>
      <c r="D11" t="inlineStr">
        <is>
          <t xml:space="preserve">Понятнее, чем проценты: сколько съёмок уходит только на покрытие расходов</t>
        </is>
      </c>
      <c r="E11" t="inlineStr">
        <is>
          <t xml:space="preserve">Детализация, таблица 08</t>
        </is>
      </c>
      <c r="F11" t="inlineStr">
        <is>
          <t xml:space="preserve">в книгу не внесено</t>
        </is>
      </c>
    </row>
    <row r="12">
      <c r="A12" t="inlineStr">
        <is>
          <t xml:space="preserve">18.08.2026</t>
        </is>
      </c>
      <c r="B12" t="inlineStr">
        <is>
          <t xml:space="preserve">Календарь года развёрнут</t>
        </is>
      </c>
      <c r="C12" t="inlineStr">
        <is>
          <t xml:space="preserve">365 календарных = 104 выходных + 14 праздничных + 247 рабочих; 247 − 20 (отпуск) − 8 (больничные) = 219</t>
        </is>
      </c>
      <c r="D12" t="inlineStr">
        <is>
          <t xml:space="preserve">Раньше в отчёте было только 247/20/8, и цепочка не сходилась на глаз. Отпуск 28 календарных дней = 20 рабочих, больничные 10 = 8 рабочих</t>
        </is>
      </c>
      <c r="E12" t="inlineStr">
        <is>
          <t xml:space="preserve">Детализация, таблица 02</t>
        </is>
      </c>
      <c r="F12" t="inlineStr">
        <is>
          <t xml:space="preserve">в книгу не внесено</t>
        </is>
      </c>
    </row>
    <row r="13">
      <c r="A13" t="inlineStr">
        <is>
          <t xml:space="preserve">18.08.2026</t>
        </is>
      </c>
      <c r="B13" t="inlineStr">
        <is>
          <t xml:space="preserve">Демо-набор отчёта</t>
        </is>
      </c>
      <c r="C13" t="inlineStr">
        <is>
          <t xml:space="preserve">Пересобирается скриптом web/части/демо.py из настоящего calc()</t>
        </is>
      </c>
      <c r="D13" t="inlineStr">
        <is>
          <t xml:space="preserve">Вручную вписанные числа отстали от анкеты: ставка в ноль показывалась 3 331 ₽ вместо 2 814 ₽</t>
        </is>
      </c>
      <c r="E13" t="inlineStr">
        <is>
          <t xml:space="preserve">report.html, части/каркас.html, проверка в проверить.py</t>
        </is>
      </c>
      <c r="F13" t="inlineStr">
        <is>
          <t xml:space="preserve">сделано</t>
        </is>
      </c>
    </row>
    <row r="14">
      <c r="A14" t="inlineStr">
        <is>
          <t xml:space="preserve">18.08.2026</t>
        </is>
      </c>
      <c r="B14" t="inlineStr">
        <is>
          <t xml:space="preserve">Налоги внутри расходов</t>
        </is>
      </c>
      <c r="C14" t="inlineStr">
        <is>
          <t xml:space="preserve">Всего расходов = расходы дела + налог + взносы + комиссия = 719 943 ₽</t>
        </is>
      </c>
      <c r="D14" t="inlineStr">
        <is>
          <t xml:space="preserve">Налог и комиссия — такие же траты; выручка − расходы = доход на руки одной строкой</t>
        </is>
      </c>
      <c r="E14" t="inlineStr">
        <is>
          <t xml:space="preserve">Детализация, таблицы 04 и 05</t>
        </is>
      </c>
      <c r="F14" t="inlineStr">
        <is>
          <t xml:space="preserve">в книгу не внесено</t>
        </is>
      </c>
    </row>
  </sheetData>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Фактическая стоимость часа работы</t>
        </is>
      </c>
      <c r="E8" t="inlineStr">
        <is>
          <t xml:space="preserve">₽/ч</t>
        </is>
      </c>
      <c r="F8" t="inlineStr">
        <is>
          <t xml:space="preserve">Доход на руки за год делится на рабочее время: рабочие дни × 8 часов. в книге нет параметра — достроить.</t>
        </is>
      </c>
      <c r="G8">
        <v>754.9</v>
      </c>
    </row>
    <row r="9">
      <c r="A9" t="inlineStr">
        <is>
          <t xml:space="preserve">3</t>
        </is>
      </c>
      <c r="B9" t="inlineStr">
        <is>
          <t xml:space="preserve">Первый экран</t>
        </is>
      </c>
      <c r="C9" t="inlineStr">
        <is>
          <t xml:space="preserve">Полная стоимость часа работы</t>
        </is>
      </c>
      <c r="D9">
        <f>full_hour_rate</f>
        <v>1332.3776738070721</v>
      </c>
      <c r="E9" t="inlineStr">
        <is>
          <t xml:space="preserve">₽/ч</t>
        </is>
      </c>
      <c r="F9" t="inlineStr">
        <is>
          <t xml:space="preserve">Выручка за год делится на рабочее время. В книге сейчас делится на эффективное время (1 533 ч), в калькуляторе — на рабочее (1 752 ч). Расхождение, задача З-006.</t>
        </is>
      </c>
      <c r="G9">
        <v>1165.83</v>
      </c>
      <c r="H9" t="str">
        <f>IF(D9="","—",IF(ABS(D9-G9)&lt;1,"да","НЕТ"))</f>
        <v>НЕТ</v>
      </c>
    </row>
    <row r="10">
      <c r="A10" t="inlineStr">
        <is>
          <t xml:space="preserve">4</t>
        </is>
      </c>
      <c r="B10" t="inlineStr">
        <is>
          <t xml:space="preserve">Первый экран</t>
        </is>
      </c>
      <c r="C10" t="inlineStr">
        <is>
          <t xml:space="preserve">Стоимость клиентского часа</t>
        </is>
      </c>
      <c r="D10">
        <f>hour_pool</f>
        <v>1885.9972058598723</v>
      </c>
      <c r="E10" t="inlineStr">
        <is>
          <t xml:space="preserve">₽/ч</t>
        </is>
      </c>
      <c r="F10" t="inlineStr">
        <is>
          <t xml:space="preserve">Выручка за год делится на проектное время — часы, остающиеся на выполнение заказов.</t>
        </is>
      </c>
      <c r="G10">
        <v>1886.0</v>
      </c>
      <c r="H10" t="str">
        <f>IF(D10="","—",IF(ABS(D10-G10)&lt;1,"да","НЕТ"))</f>
        <v>да</v>
      </c>
    </row>
    <row r="11">
      <c r="A11" t="inlineStr">
        <is>
          <t xml:space="preserve">5</t>
        </is>
      </c>
      <c r="B11" t="inlineStr">
        <is>
          <t xml:space="preserve">Первый экран</t>
        </is>
      </c>
      <c r="C11" t="inlineStr">
        <is>
          <t xml:space="preserve">Доход на руки</t>
        </is>
      </c>
      <c r="D11">
        <f>target_income</f>
        <v>1322592.0</v>
      </c>
      <c r="E11" t="inlineStr">
        <is>
          <t xml:space="preserve">₽/год</t>
        </is>
      </c>
      <c r="F11" t="inlineStr">
        <is>
          <t xml:space="preserve">Желаемый доход в месяц × 12. Точка отсчёта всего расчёта.</t>
        </is>
      </c>
      <c r="G11">
        <v>1322592</v>
      </c>
      <c r="H11" t="str">
        <f>IF(D11="","—",IF(ABS(D11-G11)&lt;1,"да","НЕТ"))</f>
        <v>да</v>
      </c>
    </row>
    <row r="12">
      <c r="A12" t="inlineStr">
        <is>
          <t xml:space="preserve">6</t>
        </is>
      </c>
      <c r="B12" t="inlineStr">
        <is>
          <t xml:space="preserve">Первый экран</t>
        </is>
      </c>
      <c r="C12" t="inlineStr">
        <is>
          <t xml:space="preserve">Доход на руки</t>
        </is>
      </c>
      <c r="D12">
        <f>target_income/months</f>
        <v>110216.0</v>
      </c>
      <c r="E12" t="inlineStr">
        <is>
          <t xml:space="preserve">₽/мес</t>
        </is>
      </c>
      <c r="F12" t="inlineStr">
        <is>
          <t xml:space="preserve">Сумма, которую человек указал в анкете.</t>
        </is>
      </c>
      <c r="G12">
        <v>110216.0</v>
      </c>
      <c r="H12" t="str">
        <f>IF(D12="","—",IF(ABS(D12-G12)&lt;1,"да","НЕТ"))</f>
        <v>да</v>
      </c>
    </row>
    <row r="13">
      <c r="A13" t="inlineStr">
        <is>
          <t xml:space="preserve">7</t>
        </is>
      </c>
      <c r="B13" t="inlineStr">
        <is>
          <t xml:space="preserve">Первый экран</t>
        </is>
      </c>
      <c r="C13" t="inlineStr">
        <is>
          <t xml:space="preserve">Выручка</t>
        </is>
      </c>
      <c r="D13">
        <f>'04_Итог'!B8</f>
        <v>2042534.9739462417</v>
      </c>
      <c r="E13" t="inlineStr">
        <is>
          <t xml:space="preserve">₽/год</t>
        </is>
      </c>
      <c r="F13" t="inlineStr">
        <is>
          <t xml:space="preserve">Сколько нужно выставить клиентам, чтобы после расходов, налогов и эквайринга остался желаемый доход.</t>
        </is>
      </c>
      <c r="G13">
        <v>2042534.97</v>
      </c>
      <c r="H13" t="str">
        <f>IF(D13="","—",IF(ABS(D13-G13)&lt;1,"да","НЕТ"))</f>
        <v>да</v>
      </c>
    </row>
    <row r="14">
      <c r="A14" t="inlineStr">
        <is>
          <t xml:space="preserve">8</t>
        </is>
      </c>
      <c r="B14" t="inlineStr">
        <is>
          <t xml:space="preserve">Первый экран</t>
        </is>
      </c>
      <c r="C14" t="inlineStr">
        <is>
          <t xml:space="preserve">Выручка</t>
        </is>
      </c>
      <c r="D14">
        <f>'04_Итог'!B9</f>
        <v>170211.24782885346</v>
      </c>
      <c r="E14" t="inlineStr">
        <is>
          <t xml:space="preserve">₽/мес</t>
        </is>
      </c>
      <c r="F14" t="inlineStr">
        <is>
          <t xml:space="preserve">Выручка за год ÷ 12.</t>
        </is>
      </c>
      <c r="G14">
        <v>170211.25</v>
      </c>
      <c r="H14" t="str">
        <f>IF(D14="","—",IF(ABS(D14-G14)&lt;1,"да","НЕТ"))</f>
        <v>да</v>
      </c>
    </row>
    <row r="15">
      <c r="A15" t="inlineStr">
        <is>
          <t xml:space="preserve">9</t>
        </is>
      </c>
      <c r="B15" t="inlineStr">
        <is>
          <t xml:space="preserve">Первый экран</t>
        </is>
      </c>
      <c r="C15" t="inlineStr">
        <is>
          <t xml:space="preserve">Всего расходов</t>
        </is>
      </c>
      <c r="D15">
        <f>total_costs+CHOOSE(regime_no,'05_Расчёт'!B15,'05_Расчёт'!C15,'05_Расчёт'!D15,'05_Расчёт'!E15,'05_Расчёт'!F15,'05_Расчёт'!G15,'05_Расчёт'!H15)+'04_Итог'!B8*acquiring</f>
        <v>719942.9739462415</v>
      </c>
      <c r="E15" t="inlineStr">
        <is>
          <t xml:space="preserve">₽/год</t>
        </is>
      </c>
      <c r="F15" t="inlineStr">
        <is>
          <t xml:space="preserve">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5">
        <v>719942.97</v>
      </c>
      <c r="H15" t="str">
        <f>IF(D15="","—",IF(ABS(D15-G15)&lt;1,"да","НЕТ"))</f>
        <v>да</v>
      </c>
    </row>
    <row r="16"/>
    <row r="17">
      <c r="A17" t="inlineStr">
        <is>
          <t xml:space="preserve">ВРЕМЯ</t>
        </is>
      </c>
    </row>
    <row r="18">
      <c r="A18" t="inlineStr">
        <is>
          <t xml:space="preserve">10</t>
        </is>
      </c>
      <c r="B18" t="inlineStr">
        <is>
          <t xml:space="preserve">Время</t>
        </is>
      </c>
      <c r="C18" t="inlineStr">
        <is>
          <t xml:space="preserve">Рабочее время</t>
        </is>
      </c>
      <c r="D18">
        <f>work_days*nominal_hours</f>
        <v>1976.0</v>
      </c>
      <c r="E18" t="inlineStr">
        <is>
          <t xml:space="preserve">ч/год</t>
        </is>
      </c>
      <c r="F18" t="inlineStr">
        <is>
          <t xml:space="preserve">Рабочие дни производственного календаря × 8 часов. Верхняя граница: всё время, которое человек проводит в работе.</t>
        </is>
      </c>
      <c r="G18">
        <v>1752</v>
      </c>
      <c r="H18" t="str">
        <f>IF(D18="","—",IF(ABS(D18-G18)&lt;1,"да","НЕТ"))</f>
        <v>НЕТ</v>
      </c>
    </row>
    <row r="19">
      <c r="A19" t="inlineStr">
        <is>
          <t xml:space="preserve">11</t>
        </is>
      </c>
      <c r="B19" t="inlineStr">
        <is>
          <t xml:space="preserve">Время</t>
        </is>
      </c>
      <c r="C19" t="inlineStr">
        <is>
          <t xml:space="preserve">Эффективное рабочее время</t>
        </is>
      </c>
      <c r="D19">
        <f>net_time</f>
        <v>1533.0</v>
      </c>
      <c r="E19" t="inlineStr">
        <is>
          <t xml:space="preserve">ч/год</t>
        </is>
      </c>
      <c r="F19" t="inlineStr">
        <is>
          <t xml:space="preserve">Рабочие дни минус отпуск и больничный, умноженные на 7 эффективных часов.</t>
        </is>
      </c>
      <c r="G19">
        <v>1533</v>
      </c>
      <c r="H19" t="str">
        <f>IF(D19="","—",IF(ABS(D19-G19)&lt;1,"да","НЕТ"))</f>
        <v>да</v>
      </c>
    </row>
    <row r="20">
      <c r="A20" t="inlineStr">
        <is>
          <t xml:space="preserve">12</t>
        </is>
      </c>
      <c r="B20" t="inlineStr">
        <is>
          <t xml:space="preserve">Время</t>
        </is>
      </c>
      <c r="C20" t="inlineStr">
        <is>
          <t xml:space="preserve">Съёмка</t>
        </is>
      </c>
      <c r="D20">
        <f>shooting_time</f>
        <v>216.6</v>
      </c>
      <c r="E20" t="inlineStr">
        <is>
          <t xml:space="preserve">ч/год</t>
        </is>
      </c>
      <c r="F20" t="inlineStr">
        <is>
          <t xml:space="preserve">Проектов за год × продолжительность одной съёмки. Единственные часы, которые клиент оплачивает напрямую.</t>
        </is>
      </c>
      <c r="G20">
        <v>216.6</v>
      </c>
      <c r="H20" t="str">
        <f>IF(D20="","—",IF(ABS(D20-G20)&lt;1,"да","НЕТ"))</f>
        <v>да</v>
      </c>
    </row>
    <row r="21">
      <c r="A21" t="inlineStr">
        <is>
          <t xml:space="preserve">13</t>
        </is>
      </c>
      <c r="B21" t="inlineStr">
        <is>
          <t xml:space="preserve">Время</t>
        </is>
      </c>
      <c r="C21" t="inlineStr">
        <is>
          <t xml:space="preserve">Постпродакшн</t>
        </is>
      </c>
      <c r="D21">
        <f>post_time</f>
        <v>649.8</v>
      </c>
      <c r="E21" t="inlineStr">
        <is>
          <t xml:space="preserve">ч/год</t>
        </is>
      </c>
      <c r="F21" t="inlineStr">
        <is>
          <t xml:space="preserve">Съёмочные часы × коэффициент обработки.</t>
        </is>
      </c>
      <c r="G21">
        <v>649.8</v>
      </c>
      <c r="H21" t="str">
        <f>IF(D21="","—",IF(ABS(D21-G21)&lt;1,"да","НЕТ"))</f>
        <v>да</v>
      </c>
    </row>
    <row r="22">
      <c r="A22" t="inlineStr">
        <is>
          <t xml:space="preserve">14</t>
        </is>
      </c>
      <c r="B22" t="inlineStr">
        <is>
          <t xml:space="preserve">Время</t>
        </is>
      </c>
      <c r="C22" t="inlineStr">
        <is>
          <t xml:space="preserve">Проектная работа с клиентами</t>
        </is>
      </c>
      <c r="D22">
        <f>client_total</f>
        <v>216.6</v>
      </c>
      <c r="E22" t="inlineStr">
        <is>
          <t xml:space="preserve">ч/год</t>
        </is>
      </c>
      <c r="F22" t="inlineStr">
        <is>
          <t xml:space="preserve">Проектов за год × время на одного клиента: обсуждение задачи, согласование условий, подготовка, передача результата.</t>
        </is>
      </c>
      <c r="G22">
        <v>216.6</v>
      </c>
      <c r="H22" t="str">
        <f>IF(D22="","—",IF(ABS(D22-G22)&lt;1,"да","НЕТ"))</f>
        <v>да</v>
      </c>
    </row>
    <row r="23">
      <c r="A23" t="inlineStr">
        <is>
          <t xml:space="preserve">15</t>
        </is>
      </c>
      <c r="B23" t="inlineStr">
        <is>
          <t xml:space="preserve">Время</t>
        </is>
      </c>
      <c r="C23" t="inlineStr">
        <is>
          <t xml:space="preserve">Поиск заказов</t>
        </is>
      </c>
      <c r="D23">
        <f>promo_time</f>
        <v>438.0</v>
      </c>
      <c r="E23" t="inlineStr">
        <is>
          <t xml:space="preserve">ч/год</t>
        </is>
      </c>
      <c r="F23" t="inlineStr">
        <is>
          <t xml:space="preserve">Часов в день на поиск заказов × рабочие дни.</t>
        </is>
      </c>
      <c r="G23">
        <v>438</v>
      </c>
      <c r="H23" t="str">
        <f>IF(D23="","—",IF(ABS(D23-G23)&lt;1,"да","НЕТ"))</f>
        <v>да</v>
      </c>
    </row>
    <row r="24">
      <c r="A24" t="inlineStr">
        <is>
          <t xml:space="preserve">16</t>
        </is>
      </c>
      <c r="B24" t="inlineStr">
        <is>
          <t xml:space="preserve">Время</t>
        </is>
      </c>
      <c r="C24" t="inlineStr">
        <is>
          <t xml:space="preserve">Учёт</t>
        </is>
      </c>
      <c r="D24">
        <f>accounting_time</f>
        <v>12.0</v>
      </c>
      <c r="E24" t="inlineStr">
        <is>
          <t xml:space="preserve">ч/год</t>
        </is>
      </c>
      <c r="F24" t="inlineStr">
        <is>
          <t xml:space="preserve">Часов в квартал × 4. Если нанят специалист — ноль, вместо часов появляются деньги.</t>
        </is>
      </c>
      <c r="G24">
        <v>12</v>
      </c>
      <c r="H24" t="str">
        <f>IF(D24="","—",IF(ABS(D24-G24)&lt;1,"да","НЕТ"))</f>
        <v>да</v>
      </c>
    </row>
    <row r="25">
      <c r="A25" t="inlineStr">
        <is>
          <t xml:space="preserve">17</t>
        </is>
      </c>
      <c r="B25" t="inlineStr">
        <is>
          <t xml:space="preserve">Время</t>
        </is>
      </c>
      <c r="C25" t="inlineStr">
        <is>
          <t xml:space="preserve">Рабочие паузы</t>
        </is>
      </c>
      <c r="D25">
        <f>idle_time</f>
        <v>219.0</v>
      </c>
      <c r="E25" t="inlineStr">
        <is>
          <t xml:space="preserve">ч/год</t>
        </is>
      </c>
      <c r="F25" t="inlineStr">
        <is>
          <t xml:space="preserve">Разница между рабочим днём и эффективным: рабочие дни × 1 час.</t>
        </is>
      </c>
      <c r="G25">
        <v>219</v>
      </c>
      <c r="H25" t="str">
        <f>IF(D25="","—",IF(ABS(D25-G25)&lt;1,"да","НЕТ"))</f>
        <v>да</v>
      </c>
    </row>
    <row r="26">
      <c r="A26" t="inlineStr">
        <is>
          <t xml:space="preserve">18</t>
        </is>
      </c>
      <c r="B26" t="inlineStr">
        <is>
          <t xml:space="preserve">Время</t>
        </is>
      </c>
      <c r="C26" t="inlineStr">
        <is>
          <t xml:space="preserve">Резерв времени на форс-мажоры</t>
        </is>
      </c>
      <c r="D26">
        <f>fm_time</f>
        <v>0.0</v>
      </c>
      <c r="E26" t="inlineStr">
        <is>
          <t xml:space="preserve">ч/год</t>
        </is>
      </c>
      <c r="F26" t="inlineStr">
        <is>
          <t xml:space="preserve">Процент от времени на заказы. По умолчанию выключен.</t>
        </is>
      </c>
      <c r="G26">
        <v>0</v>
      </c>
      <c r="H26" t="str">
        <f>IF(D26="","—",IF(ABS(D26-G26)&lt;1,"да","НЕТ"))</f>
        <v>да</v>
      </c>
    </row>
    <row r="27">
      <c r="A27" t="inlineStr">
        <is>
          <t xml:space="preserve">19</t>
        </is>
      </c>
      <c r="B27" t="inlineStr">
        <is>
          <t xml:space="preserve">Время</t>
        </is>
      </c>
      <c r="C27" t="inlineStr">
        <is>
          <t xml:space="preserve">Проектное время</t>
        </is>
      </c>
      <c r="D27">
        <f>project_pool</f>
        <v>1083.0</v>
      </c>
      <c r="E27" t="inlineStr">
        <is>
          <t xml:space="preserve">ч/год</t>
        </is>
      </c>
      <c r="F27" t="inlineStr">
        <is>
          <t xml:space="preserve">Эффективное рабочее время минус операционное время и резерв на форс-мажоры.</t>
        </is>
      </c>
      <c r="G27">
        <v>1083</v>
      </c>
      <c r="H27" t="str">
        <f>IF(D27="","—",IF(ABS(D27-G27)&lt;1,"да","НЕТ"))</f>
        <v>да</v>
      </c>
    </row>
    <row r="28">
      <c r="A28" t="inlineStr">
        <is>
          <t xml:space="preserve">20</t>
        </is>
      </c>
      <c r="B28" t="inlineStr">
        <is>
          <t xml:space="preserve">Время</t>
        </is>
      </c>
      <c r="C28" t="inlineStr">
        <is>
          <t xml:space="preserve">Съёмочных проектов</t>
        </is>
      </c>
      <c r="D28">
        <f>projects_year</f>
        <v>216.6</v>
      </c>
      <c r="E28" t="inlineStr">
        <is>
          <t xml:space="preserve">шт/год</t>
        </is>
      </c>
      <c r="F28" t="inlineStr">
        <is>
          <t xml:space="preserve">Проектное время ÷ время на один проект.</t>
        </is>
      </c>
      <c r="G28">
        <v>216.6</v>
      </c>
      <c r="H28" t="str">
        <f>IF(D28="","—",IF(ABS(D28-G28)&lt;1,"да","НЕТ"))</f>
        <v>да</v>
      </c>
    </row>
    <row r="29"/>
    <row r="30">
      <c r="A30" t="inlineStr">
        <is>
          <t xml:space="preserve">ДЕНЬГИ</t>
        </is>
      </c>
    </row>
    <row r="31">
      <c r="A31" t="inlineStr">
        <is>
          <t xml:space="preserve">21</t>
        </is>
      </c>
      <c r="B31" t="inlineStr">
        <is>
          <t xml:space="preserve">Деньги</t>
        </is>
      </c>
      <c r="C31" t="inlineStr">
        <is>
          <t xml:space="preserve">Амортизация</t>
        </is>
      </c>
      <c r="D31">
        <f>investment</f>
        <v>278687.78095238097</v>
      </c>
      <c r="E31" t="inlineStr">
        <is>
          <t xml:space="preserve">₽/год</t>
        </is>
      </c>
      <c r="F31" t="inlineStr">
        <is>
          <t xml:space="preserve">Сумма годовых долей всех разовых покупок: оборудование, ПО, рабочее место, обучение, сайт.</t>
        </is>
      </c>
      <c r="G31">
        <v>278687.78</v>
      </c>
      <c r="H31" t="str">
        <f>IF(D31="","—",IF(ABS(D31-G31)&lt;1,"да","НЕТ"))</f>
        <v>да</v>
      </c>
    </row>
    <row r="32">
      <c r="A32" t="inlineStr">
        <is>
          <t xml:space="preserve">22</t>
        </is>
      </c>
      <c r="B32" t="inlineStr">
        <is>
          <t xml:space="preserve">Деньги</t>
        </is>
      </c>
      <c r="C32" t="inlineStr">
        <is>
          <t xml:space="preserve">Текущие расходы</t>
        </is>
      </c>
      <c r="D32">
        <f>variable_costs</f>
        <v>283980.0</v>
      </c>
      <c r="E32" t="inlineStr">
        <is>
          <t xml:space="preserve">₽/год</t>
        </is>
      </c>
      <c r="F32" t="inlineStr">
        <is>
          <t xml:space="preserve">Регулярные платежи за год: подписки, реклама, банк, содержание рабочего места.</t>
        </is>
      </c>
      <c r="G32">
        <v>283980</v>
      </c>
      <c r="H32" t="str">
        <f>IF(D32="","—",IF(ABS(D32-G32)&lt;1,"да","НЕТ"))</f>
        <v>да</v>
      </c>
    </row>
    <row r="33">
      <c r="A33" t="inlineStr">
        <is>
          <t xml:space="preserve">23</t>
        </is>
      </c>
      <c r="B33" t="inlineStr">
        <is>
          <t xml:space="preserve">Деньги</t>
        </is>
      </c>
      <c r="C33" t="inlineStr">
        <is>
          <t xml:space="preserve">Расходы дела</t>
        </is>
      </c>
      <c r="D33">
        <f>total_costs</f>
        <v>562667.780952381</v>
      </c>
      <c r="E33" t="inlineStr">
        <is>
          <t xml:space="preserve">₽/год</t>
        </is>
      </c>
      <c r="F33" t="inlineStr">
        <is>
          <t xml:space="preserve">Амортизация плюс текущие расходы. Без налогов и эквайринга.</t>
        </is>
      </c>
      <c r="G33">
        <v>562667.78</v>
      </c>
      <c r="H33" t="str">
        <f>IF(D33="","—",IF(ABS(D33-G33)&lt;1,"да","НЕТ"))</f>
        <v>да</v>
      </c>
    </row>
    <row r="34">
      <c r="A34" t="inlineStr">
        <is>
          <t xml:space="preserve">24</t>
        </is>
      </c>
      <c r="B34" t="inlineStr">
        <is>
          <t xml:space="preserve">Деньги</t>
        </is>
      </c>
      <c r="C34" t="inlineStr">
        <is>
          <t xml:space="preserve">Налоги и взносы</t>
        </is>
      </c>
      <c r="D34">
        <f>CHOOSE(regime_no,'05_Расчёт'!B15,'05_Расчёт'!C15,'05_Расчёт'!D15,'05_Расчёт'!E15,'05_Расчёт'!F15,'05_Расчёт'!G15,'05_Расчёт'!H15)</f>
        <v>102126.74869731208</v>
      </c>
      <c r="E34" t="inlineStr">
        <is>
          <t xml:space="preserve">₽/год</t>
        </is>
      </c>
      <c r="F34" t="inlineStr">
        <is>
          <t xml:space="preserve">По выбранному режиму: налог плюс страховые взносы.</t>
        </is>
      </c>
      <c r="G34">
        <v>102126.75</v>
      </c>
      <c r="H34" t="str">
        <f>IF(D34="","—",IF(ABS(D34-G34)&lt;1,"да","НЕТ"))</f>
        <v>да</v>
      </c>
    </row>
    <row r="35">
      <c r="A35" t="inlineStr">
        <is>
          <t xml:space="preserve">25</t>
        </is>
      </c>
      <c r="B35" t="inlineStr">
        <is>
          <t xml:space="preserve">Деньги</t>
        </is>
      </c>
      <c r="C35" t="inlineStr">
        <is>
          <t xml:space="preserve">Эквайринг</t>
        </is>
      </c>
      <c r="D35">
        <f>'04_Итог'!B8*acquiring</f>
        <v>55148.44429654852</v>
      </c>
      <c r="E35" t="inlineStr">
        <is>
          <t xml:space="preserve">₽/год</t>
        </is>
      </c>
      <c r="F35" t="inlineStr">
        <is>
          <t xml:space="preserve">Ставка эквайринга × доля безналичных платежей × выручка.</t>
        </is>
      </c>
      <c r="G35">
        <v>55148.44</v>
      </c>
      <c r="H35" t="str">
        <f>IF(D35="","—",IF(ABS(D35-G35)&lt;1,"да","НЕТ"))</f>
        <v>да</v>
      </c>
    </row>
    <row r="36">
      <c r="A36" t="inlineStr">
        <is>
          <t xml:space="preserve">26</t>
        </is>
      </c>
      <c r="B36" t="inlineStr">
        <is>
          <t xml:space="preserve">Деньги</t>
        </is>
      </c>
      <c r="C36" t="inlineStr">
        <is>
          <t xml:space="preserve">Себестоимость часа съёмки</t>
        </is>
      </c>
      <c r="E36" t="inlineStr">
        <is>
          <t xml:space="preserve">₽/ч</t>
        </is>
      </c>
      <c r="F36" t="inlineStr">
        <is>
          <t xml:space="preserve">Все затраты дела, налоги и эквайринг ÷ съёмочные часы. в книге нет параметра — достроить.</t>
        </is>
      </c>
      <c r="G36">
        <v>3323.84</v>
      </c>
    </row>
    <row r="37">
      <c r="A37" t="inlineStr">
        <is>
          <t xml:space="preserve">27</t>
        </is>
      </c>
      <c r="B37" t="inlineStr">
        <is>
          <t xml:space="preserve">Деньги</t>
        </is>
      </c>
      <c r="C37" t="inlineStr">
        <is>
          <t xml:space="preserve">Наценка к себестоимости</t>
        </is>
      </c>
      <c r="E37" t="inlineStr">
        <is>
          <t xml:space="preserve">%</t>
        </is>
      </c>
      <c r="F37" t="inlineStr">
        <is>
          <t xml:space="preserve">На сколько процентов ставка часа выше себестоимости часа. в книге нет параметра — достроить.</t>
        </is>
      </c>
      <c r="G37">
        <v>183.71</v>
      </c>
    </row>
    <row r="38">
      <c r="A38" t="inlineStr">
        <is>
          <t xml:space="preserve">28</t>
        </is>
      </c>
      <c r="B38" t="inlineStr">
        <is>
          <t xml:space="preserve">Деньги</t>
        </is>
      </c>
      <c r="C38" t="inlineStr">
        <is>
          <t xml:space="preserve">Точка безубыточности</t>
        </is>
      </c>
      <c r="D38">
        <f>'04_Итог'!B12</f>
        <v>609607.5633286901</v>
      </c>
      <c r="E38" t="inlineStr">
        <is>
          <t xml:space="preserve">₽/год</t>
        </is>
      </c>
      <c r="F38" t="inlineStr">
        <is>
          <t xml:space="preserve">Выручка, при которой доход на руки равен нулю: покрыты только расходы и налоги.</t>
        </is>
      </c>
      <c r="G38">
        <v>609607.56</v>
      </c>
      <c r="H38" t="str">
        <f>IF(D38="","—",IF(ABS(D38-G38)&lt;1,"да","НЕТ"))</f>
        <v>да</v>
      </c>
    </row>
    <row r="39">
      <c r="A39" t="inlineStr">
        <is>
          <t xml:space="preserve">29</t>
        </is>
      </c>
      <c r="B39" t="inlineStr">
        <is>
          <t xml:space="preserve">Деньги</t>
        </is>
      </c>
      <c r="C39" t="inlineStr">
        <is>
          <t xml:space="preserve">Ставка в ноль</t>
        </is>
      </c>
      <c r="E39" t="inlineStr">
        <is>
          <t xml:space="preserve">₽/ч</t>
        </is>
      </c>
      <c r="F39" t="inlineStr">
        <is>
          <t xml:space="preserve">Точка безубыточности ÷ съёмочные часы. в книге нет параметра — достроить.</t>
        </is>
      </c>
      <c r="G39">
        <v>2814.44</v>
      </c>
    </row>
    <row r="40">
      <c r="A40" t="inlineStr">
        <is>
          <t xml:space="preserve">30</t>
        </is>
      </c>
      <c r="B40" t="inlineStr">
        <is>
          <t xml:space="preserve">Деньги</t>
        </is>
      </c>
      <c r="C40" t="inlineStr">
        <is>
          <t xml:space="preserve">Фонд развития</t>
        </is>
      </c>
      <c r="E40" t="inlineStr">
        <is>
          <t xml:space="preserve">₽/год</t>
        </is>
      </c>
      <c r="F40" t="inlineStr">
        <is>
          <t xml:space="preserve">Процент от выручки, откладываемый на развитие. в книге нет параметра — достроить.</t>
        </is>
      </c>
      <c r="G40">
        <v>0</v>
      </c>
    </row>
    <row r="41">
      <c r="A41" t="inlineStr">
        <is>
          <t xml:space="preserve">31</t>
        </is>
      </c>
      <c r="B41" t="inlineStr">
        <is>
          <t xml:space="preserve">Деньги</t>
        </is>
      </c>
      <c r="C41" t="inlineStr">
        <is>
          <t xml:space="preserve">Фонд программы лояльности</t>
        </is>
      </c>
      <c r="E41" t="inlineStr">
        <is>
          <t xml:space="preserve">₽/год</t>
        </is>
      </c>
      <c r="F41" t="inlineStr">
        <is>
          <t xml:space="preserve">Процент от выручки, заложенный на скидки и подарки клиентам. в книге нет параметра — достроить.</t>
        </is>
      </c>
      <c r="G41">
        <v>0</v>
      </c>
    </row>
    <row r="42"/>
    <row r="43">
      <c r="A43" t="inlineStr">
        <is>
          <t xml:space="preserve">ИЗНОС КАМЕРЫ</t>
        </is>
      </c>
    </row>
    <row r="44">
      <c r="A44" t="inlineStr">
        <is>
          <t xml:space="preserve">32</t>
        </is>
      </c>
      <c r="B44" t="inlineStr">
        <is>
          <t xml:space="preserve">Износ камеры</t>
        </is>
      </c>
      <c r="C44" t="inlineStr">
        <is>
          <t xml:space="preserve">Камера</t>
        </is>
      </c>
      <c r="E44" t="inlineStr">
        <is>
          <t xml:space="preserve">—</t>
        </is>
      </c>
      <c r="F44" t="inlineStr">
        <is>
          <t xml:space="preserve">Название камеры из анкеты. в книге нет параметра — достроить.</t>
        </is>
      </c>
      <c r="G44" t="inlineStr">
        <is>
          <t xml:space="preserve">Canon EOS R6 Mark II Body</t>
        </is>
      </c>
    </row>
    <row r="45">
      <c r="A45" t="inlineStr">
        <is>
          <t xml:space="preserve">33</t>
        </is>
      </c>
      <c r="B45" t="inlineStr">
        <is>
          <t xml:space="preserve">Износ камеры</t>
        </is>
      </c>
      <c r="C45" t="inlineStr">
        <is>
          <t xml:space="preserve">Стоимость камеры</t>
        </is>
      </c>
      <c r="E45" t="inlineStr">
        <is>
          <t xml:space="preserve">₽</t>
        </is>
      </c>
      <c r="F45" t="inlineStr">
        <is>
          <t xml:space="preserve">Цена покупки из анкеты. в книге нет параметра — достроить.</t>
        </is>
      </c>
      <c r="G45">
        <v>166999</v>
      </c>
    </row>
    <row r="46">
      <c r="A46" t="inlineStr">
        <is>
          <t xml:space="preserve">34</t>
        </is>
      </c>
      <c r="B46" t="inlineStr">
        <is>
          <t xml:space="preserve">Износ камеры</t>
        </is>
      </c>
      <c r="C46" t="inlineStr">
        <is>
          <t xml:space="preserve">Срок службы</t>
        </is>
      </c>
      <c r="E46" t="inlineStr">
        <is>
          <t xml:space="preserve">лет</t>
        </is>
      </c>
      <c r="F46" t="inlineStr">
        <is>
          <t xml:space="preserve">Срок из анкеты. в книге нет параметра — достроить.</t>
        </is>
      </c>
      <c r="G46">
        <v>3</v>
      </c>
    </row>
    <row r="47">
      <c r="A47" t="inlineStr">
        <is>
          <t xml:space="preserve">35</t>
        </is>
      </c>
      <c r="B47" t="inlineStr">
        <is>
          <t xml:space="preserve">Износ камеры</t>
        </is>
      </c>
      <c r="C47" t="inlineStr">
        <is>
          <t xml:space="preserve">Амортизация камеры</t>
        </is>
      </c>
      <c r="E47" t="inlineStr">
        <is>
          <t xml:space="preserve">₽/год</t>
        </is>
      </c>
      <c r="F47" t="inlineStr">
        <is>
          <t xml:space="preserve">Стоимость ÷ срок службы. в книге нет параметра — достроить.</t>
        </is>
      </c>
      <c r="G47">
        <v>55666.33</v>
      </c>
    </row>
    <row r="48">
      <c r="A48" t="inlineStr">
        <is>
          <t xml:space="preserve">36</t>
        </is>
      </c>
      <c r="B48" t="inlineStr">
        <is>
          <t xml:space="preserve">Износ камеры</t>
        </is>
      </c>
      <c r="C48" t="inlineStr">
        <is>
          <t xml:space="preserve">Ресурс затвора</t>
        </is>
      </c>
      <c r="E48" t="inlineStr">
        <is>
          <t xml:space="preserve">шт</t>
        </is>
      </c>
      <c r="F48" t="inlineStr">
        <is>
          <t xml:space="preserve">Расчётное число срабатываний по данным производителя. в книге нет параметра — достроить.</t>
        </is>
      </c>
      <c r="G48">
        <v>300000</v>
      </c>
    </row>
    <row r="49">
      <c r="A49" t="inlineStr">
        <is>
          <t xml:space="preserve">37</t>
        </is>
      </c>
      <c r="B49" t="inlineStr">
        <is>
          <t xml:space="preserve">Износ камеры</t>
        </is>
      </c>
      <c r="C49" t="inlineStr">
        <is>
          <t xml:space="preserve">Срабатываний за год</t>
        </is>
      </c>
      <c r="E49" t="inlineStr">
        <is>
          <t xml:space="preserve">шт/год</t>
        </is>
      </c>
      <c r="F49" t="inlineStr">
        <is>
          <t xml:space="preserve">Срабатываний за час съёмки × съёмочные часы. в книге нет параметра — достроить.</t>
        </is>
      </c>
      <c r="G49">
        <v>75810</v>
      </c>
    </row>
    <row r="50">
      <c r="A50" t="inlineStr">
        <is>
          <t xml:space="preserve">38</t>
        </is>
      </c>
      <c r="B50" t="inlineStr">
        <is>
          <t xml:space="preserve">Износ камеры</t>
        </is>
      </c>
      <c r="C50" t="inlineStr">
        <is>
          <t xml:space="preserve">Выработка ресурса</t>
        </is>
      </c>
      <c r="E50" t="inlineStr">
        <is>
          <t xml:space="preserve">%/год</t>
        </is>
      </c>
      <c r="F50" t="inlineStr">
        <is>
          <t xml:space="preserve">Срабатываний за год ÷ ресурс затвора. в книге нет параметра — достроить.</t>
        </is>
      </c>
      <c r="G50">
        <v>73.43</v>
      </c>
    </row>
    <row r="51"/>
    <row r="52">
      <c r="A52" t="inlineStr">
        <is>
          <t xml:space="preserve">ЗАГРУЗКА И СРАВНЕНИЕ СТАВОК</t>
        </is>
      </c>
    </row>
    <row r="53">
      <c r="A53" t="inlineStr">
        <is>
          <t xml:space="preserve">39</t>
        </is>
      </c>
      <c r="B53" t="inlineStr">
        <is>
          <t xml:space="preserve">Сравнение</t>
        </is>
      </c>
      <c r="C53" t="inlineStr">
        <is>
          <t xml:space="preserve">Текущая ставка</t>
        </is>
      </c>
      <c r="D53">
        <f>current_rate</f>
        <v>6000.0</v>
      </c>
      <c r="E53" t="inlineStr">
        <is>
          <t xml:space="preserve">₽/ч</t>
        </is>
      </c>
      <c r="F53" t="inlineStr">
        <is>
          <t xml:space="preserve">Ставка, по которой человек работает сейчас. Для сравнения.</t>
        </is>
      </c>
      <c r="G53">
        <v>6000</v>
      </c>
      <c r="H53" t="str">
        <f>IF(D53="","—",IF(ABS(D53-G53)&lt;1,"да","НЕТ"))</f>
        <v>да</v>
      </c>
    </row>
    <row r="54">
      <c r="A54" t="inlineStr">
        <is>
          <t xml:space="preserve">40</t>
        </is>
      </c>
      <c r="B54" t="inlineStr">
        <is>
          <t xml:space="preserve">Сравнение</t>
        </is>
      </c>
      <c r="C54" t="inlineStr">
        <is>
          <t xml:space="preserve">Съёмок в год при текущей ставке</t>
        </is>
      </c>
      <c r="E54" t="inlineStr">
        <is>
          <t xml:space="preserve">шт/год</t>
        </is>
      </c>
      <c r="F54" t="inlineStr">
        <is>
          <t xml:space="preserve">Сколько съёмок нужно провести при текущей ставке, чтобы получить желаемый доход. в книге нет параметра — достроить.</t>
        </is>
      </c>
      <c r="G54">
        <v>340.42</v>
      </c>
    </row>
    <row r="55">
      <c r="A55" t="inlineStr">
        <is>
          <t xml:space="preserve">41</t>
        </is>
      </c>
      <c r="B55" t="inlineStr">
        <is>
          <t xml:space="preserve">Сравнение</t>
        </is>
      </c>
      <c r="C55" t="inlineStr">
        <is>
          <t xml:space="preserve">Часов в год при текущей ставке</t>
        </is>
      </c>
      <c r="E55" t="inlineStr">
        <is>
          <t xml:space="preserve">ч/год</t>
        </is>
      </c>
      <c r="F55" t="inlineStr">
        <is>
          <t xml:space="preserve">Столько времени займут эти съёмки со всей обработкой и работой с клиентами. в книге нет параметра — достроить.</t>
        </is>
      </c>
      <c r="G55">
        <v>2152.11</v>
      </c>
    </row>
    <row r="56">
      <c r="A56" t="inlineStr">
        <is>
          <t xml:space="preserve">42</t>
        </is>
      </c>
      <c r="B56" t="inlineStr">
        <is>
          <t xml:space="preserve">Сравнение</t>
        </is>
      </c>
      <c r="C56" t="inlineStr">
        <is>
          <t xml:space="preserve">Съёмок в год при расчётной ставке</t>
        </is>
      </c>
      <c r="E56" t="inlineStr">
        <is>
          <t xml:space="preserve">шт/год</t>
        </is>
      </c>
      <c r="F56" t="inlineStr">
        <is>
          <t xml:space="preserve">То же для расчётной ставки. в книге нет параметра — достроить.</t>
        </is>
      </c>
      <c r="G56">
        <v>216.6</v>
      </c>
    </row>
    <row r="57">
      <c r="A57" t="inlineStr">
        <is>
          <t xml:space="preserve">43</t>
        </is>
      </c>
      <c r="B57" t="inlineStr">
        <is>
          <t xml:space="preserve">Сравнение</t>
        </is>
      </c>
      <c r="C57" t="inlineStr">
        <is>
          <t xml:space="preserve">Часов в год при расчётной ставке</t>
        </is>
      </c>
      <c r="E57" t="inlineStr">
        <is>
          <t xml:space="preserve">ч/год</t>
        </is>
      </c>
      <c r="F57" t="inlineStr">
        <is>
          <t xml:space="preserve">То же для расчётной ставки. в книге нет параметра — достроить.</t>
        </is>
      </c>
      <c r="G57">
        <v>1533</v>
      </c>
    </row>
    <row r="58">
      <c r="A58" t="inlineStr">
        <is>
          <t xml:space="preserve">44</t>
        </is>
      </c>
      <c r="B58" t="inlineStr">
        <is>
          <t xml:space="preserve">Сравнение</t>
        </is>
      </c>
      <c r="C58" t="inlineStr">
        <is>
          <t xml:space="preserve">Съёмок в год при ставке в ноль</t>
        </is>
      </c>
      <c r="E58" t="inlineStr">
        <is>
          <t xml:space="preserve">шт/год</t>
        </is>
      </c>
      <c r="F58" t="inlineStr">
        <is>
          <t xml:space="preserve">То же для ставки в ноль. в книге нет параметра — достроить.</t>
        </is>
      </c>
      <c r="G58">
        <v>725.73</v>
      </c>
    </row>
    <row r="59">
      <c r="A59" t="inlineStr">
        <is>
          <t xml:space="preserve">45</t>
        </is>
      </c>
      <c r="B59" t="inlineStr">
        <is>
          <t xml:space="preserve">Сравнение</t>
        </is>
      </c>
      <c r="C59" t="inlineStr">
        <is>
          <t xml:space="preserve">Часов в год при ставке в ноль</t>
        </is>
      </c>
      <c r="E59" t="inlineStr">
        <is>
          <t xml:space="preserve">ч/год</t>
        </is>
      </c>
      <c r="F59" t="inlineStr">
        <is>
          <t xml:space="preserve">То же для ставки в ноль. в книге нет параметра — достроить.</t>
        </is>
      </c>
      <c r="G59">
        <v>4078.67</v>
      </c>
    </row>
    <row r="60">
      <c r="A60" t="inlineStr">
        <is>
          <t xml:space="preserve">46</t>
        </is>
      </c>
      <c r="B60" t="inlineStr">
        <is>
          <t xml:space="preserve">Сравнение</t>
        </is>
      </c>
      <c r="C60" t="inlineStr">
        <is>
          <t xml:space="preserve">Остаётся на руки при текущей ставке</t>
        </is>
      </c>
      <c r="E60" t="inlineStr">
        <is>
          <t xml:space="preserve">₽/год</t>
        </is>
      </c>
      <c r="F60" t="inlineStr">
        <is>
          <t xml:space="preserve">Выручка по текущей ставке минус расходы дела, налоги и эквайринг. в книге нет параметра — достроить.</t>
        </is>
      </c>
      <c r="G60">
        <v>636863.02</v>
      </c>
    </row>
    <row r="61">
      <c r="A61" t="inlineStr">
        <is>
          <t xml:space="preserve">47</t>
        </is>
      </c>
      <c r="B61" t="inlineStr">
        <is>
          <t xml:space="preserve">Сравнение</t>
        </is>
      </c>
      <c r="C61" t="inlineStr">
        <is>
          <t xml:space="preserve">Недополученный доход</t>
        </is>
      </c>
      <c r="E61" t="inlineStr">
        <is>
          <t xml:space="preserve">₽/год</t>
        </is>
      </c>
      <c r="F61" t="inlineStr">
        <is>
          <t xml:space="preserve">Желаемый доход минус то  что остаётся на руки при текущей ставке: 1 322 592 − 636 863. в книге нет параметра — достроить.</t>
        </is>
      </c>
      <c r="G61">
        <v>685728.98</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2026-08-17T14:16:26Z</dcterms:modified>
</cp:coreProperties>
</file>