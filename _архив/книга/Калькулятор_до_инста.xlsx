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Читать" sheetId="1" state="visible" r:id="rId1"/>
    <sheet xmlns:r="http://schemas.openxmlformats.org/officeDocument/2006/relationships" name="01_Глоссарий" sheetId="2" state="visible" r:id="rId2"/>
    <sheet xmlns:r="http://schemas.openxmlformats.org/officeDocument/2006/relationships" name="02_Параметры" sheetId="3" state="visible" r:id="rId3"/>
    <sheet xmlns:r="http://schemas.openxmlformats.org/officeDocument/2006/relationships" name="03_Каталоги" sheetId="4" state="visible" r:id="rId4"/>
    <sheet xmlns:r="http://schemas.openxmlformats.org/officeDocument/2006/relationships" name="04_Итог" sheetId="5" state="visible" r:id="rId5"/>
    <sheet xmlns:r="http://schemas.openxmlformats.org/officeDocument/2006/relationships" name="05_Расчёт" sheetId="6" state="visible" r:id="rId6"/>
    <sheet xmlns:r="http://schemas.openxmlformats.org/officeDocument/2006/relationships" name="06_Отчёт" sheetId="7" state="visible" r:id="rId7"/>
    <sheet xmlns:r="http://schemas.openxmlformats.org/officeDocument/2006/relationships" name="07_Интерфейс" sheetId="8" state="visible" r:id="rId8"/>
    <sheet xmlns:r="http://schemas.openxmlformats.org/officeDocument/2006/relationships" name="08_UI" sheetId="9" state="visible" r:id="rId9"/>
    <sheet xmlns:r="http://schemas.openxmlformats.org/officeDocument/2006/relationships" name="08b_UI_Отчёт" sheetId="10" state="visible" r:id="rId10"/>
    <sheet xmlns:r="http://schemas.openxmlformats.org/officeDocument/2006/relationships" name="08c_Структура_отчёта" sheetId="11" state="visible" r:id="rId11"/>
    <sheet xmlns:r="http://schemas.openxmlformats.org/officeDocument/2006/relationships" name="09_Тексты" sheetId="12" state="visible" r:id="rId12"/>
    <sheet xmlns:r="http://schemas.openxmlformats.org/officeDocument/2006/relationships" name="09b_Методика_цифр" sheetId="13" state="visible" r:id="rId13"/>
    <sheet xmlns:r="http://schemas.openxmlformats.org/officeDocument/2006/relationships" name="09c_Палитра" sheetId="14" state="visible" r:id="rId14"/>
    <sheet xmlns:r="http://schemas.openxmlformats.org/officeDocument/2006/relationships" name="09d_Логотип" sheetId="15" state="visible" r:id="rId15"/>
    <sheet xmlns:r="http://schemas.openxmlformats.org/officeDocument/2006/relationships" name="09e_Как_считается" sheetId="16" state="visible" r:id="rId16"/>
    <sheet xmlns:r="http://schemas.openxmlformats.org/officeDocument/2006/relationships" name="09f_Группы_затрат" sheetId="17" state="visible" r:id="rId17"/>
    <sheet xmlns:r="http://schemas.openxmlformats.org/officeDocument/2006/relationships" name="09g_Сокращения" sheetId="18" state="visible" r:id="rId18"/>
    <sheet xmlns:r="http://schemas.openxmlformats.org/officeDocument/2006/relationships" name="09h_Элементы" sheetId="19" state="visible" r:id="rId19"/>
    <sheet xmlns:r="http://schemas.openxmlformats.org/officeDocument/2006/relationships" name="09i_Справочник" sheetId="20" state="visible" r:id="rId20"/>
    <sheet xmlns:r="http://schemas.openxmlformats.org/officeDocument/2006/relationships" name="10_Монетизация" sheetId="21" state="visible" r:id="rId21"/>
    <sheet xmlns:r="http://schemas.openxmlformats.org/officeDocument/2006/relationships" name="11_Ссылки" sheetId="22" state="visible" r:id="rId22"/>
    <sheet xmlns:r="http://schemas.openxmlformats.org/officeDocument/2006/relationships" name="11b_Связка" sheetId="23" state="visible" r:id="rId23"/>
    <sheet xmlns:r="http://schemas.openxmlformats.org/officeDocument/2006/relationships" name="12_Диаграммы" sheetId="24" state="visible" r:id="rId24"/>
    <sheet xmlns:r="http://schemas.openxmlformats.org/officeDocument/2006/relationships" name="13_Сетка_скидок" sheetId="25" state="visible" r:id="rId25"/>
    <sheet xmlns:r="http://schemas.openxmlformats.org/officeDocument/2006/relationships" name="14_Опрос" sheetId="26" state="visible" r:id="rId26"/>
  </sheets>
  <definedNames>
    <definedName name="days_year">'02_Параметры'!$C$6</definedName>
    <definedName name="work_days">'02_Параметры'!$C$7</definedName>
    <definedName name="days_week">'02_Параметры'!$C$8</definedName>
    <definedName name="months">'02_Параметры'!$C$9</definedName>
    <definedName name="quarters">'02_Параметры'!$C$10</definedName>
    <definedName name="weeks_year">'02_Параметры'!$C$11</definedName>
    <definedName name="nominal_hours">'02_Параметры'!$C$12</definedName>
    <definedName name="work_months">'02_Параметры'!$C$13</definedName>
    <definedName name="vacation_cal">'02_Параметры'!$C$14</definedName>
    <definedName name="vacation_work">'02_Параметры'!$C$15</definedName>
    <definedName name="sick_cal">'02_Параметры'!$C$16</definedName>
    <definedName name="sick_work">'02_Параметры'!$C$17</definedName>
    <definedName name="eff_hours">'02_Параметры'!$C$18</definedName>
    <definedName name="work_time">'02_Параметры'!$C$21</definedName>
    <definedName name="net_days">'02_Параметры'!$C$22</definedName>
    <definedName name="net_time">'02_Параметры'!$C$23</definedName>
    <definedName name="net_weeks">'02_Параметры'!$C$24</definedName>
    <definedName name="promo_per_day">'02_Параметры'!$C$25</definedName>
    <definedName name="promo_time">'02_Параметры'!$C$26</definedName>
    <definedName name="acc_mode">'02_Параметры'!$C$27</definedName>
    <definedName name="acc_per_quarter">'02_Параметры'!$C$28</definedName>
    <definedName name="accounting_time">'02_Параметры'!$C$29</definedName>
    <definedName name="side_time">'02_Параметры'!$C$30</definedName>
    <definedName name="pool_gross">'02_Параметры'!$C$31</definedName>
    <definedName name="fm_on">'02_Параметры'!$C$32</definedName>
    <definedName name="fm_pct">'02_Параметры'!$C$33</definedName>
    <definedName name="fm_time">'02_Параметры'!$C$34</definedName>
    <definedName name="fm_week">'02_Параметры'!$C$35</definedName>
    <definedName name="project_pool">'02_Параметры'!$C$36</definedName>
    <definedName name="post_ratio">'02_Параметры'!$C$39</definedName>
    <definedName name="profile_multiplier">'02_Параметры'!$C$40</definedName>
    <definedName name="client_time">'02_Параметры'!$C$41</definedName>
    <definedName name="shoot_duration">'02_Параметры'!$C$42</definedName>
    <definedName name="week_target">'02_Параметры'!$C$43</definedName>
    <definedName name="shoot_auto">'02_Параметры'!$C$44</definedName>
    <definedName name="project_time">'02_Параметры'!$C$45</definedName>
    <definedName name="hour_pool">'02_Параметры'!$C$46</definedName>
    <definedName name="projects_year">'02_Параметры'!$C$47</definedName>
    <definedName name="projects_month">'02_Параметры'!$C$48</definedName>
    <definedName name="projects_week">'02_Параметры'!$C$49</definedName>
    <definedName name="shooting_time">'02_Параметры'!$C$50</definedName>
    <definedName name="shooting_month">'02_Параметры'!$C$51</definedName>
    <definedName name="shooting_week">'02_Параметры'!$C$52</definedName>
    <definedName name="post_time">'02_Параметры'!$C$53</definedName>
    <definedName name="core_time">'02_Параметры'!$C$54</definedName>
    <definedName name="client_total">'02_Параметры'!$C$55</definedName>
    <definedName name="ops_per_shoot">'02_Параметры'!$C$56</definedName>
    <definedName name="income_month">'02_Параметры'!$C$59</definedName>
    <definedName name="target_income">'02_Параметры'!$C$60</definedName>
    <definedName name="current_rate">'02_Параметры'!$C$61</definedName>
    <definedName name="ws_mode">'02_Параметры'!$C$64</definedName>
    <definedName name="own_home">'02_Параметры'!$C$65</definedName>
    <definedName name="home_rent">'02_Параметры'!$C$66</definedName>
    <definedName name="home_util">'02_Параметры'!$C$67</definedName>
    <definedName name="home_area">'02_Параметры'!$C$68</definedName>
    <definedName name="cab_area">'02_Параметры'!$C$69</definedName>
    <definedName name="cab_share">'02_Параметры'!$C$70</definedName>
    <definedName name="office_rent">'02_Параметры'!$C$71</definedName>
    <definedName name="office_util">'02_Параметры'!$C$72</definedName>
    <definedName name="var_workspace">'02_Параметры'!$C$73</definedName>
    <definedName name="edu_cost">'02_Параметры'!$C$76</definedName>
    <definedName name="edu_months">'02_Параметры'!$C$77</definedName>
    <definedName name="edu_life">'02_Параметры'!$C$78</definedName>
    <definedName name="edu_mode">'02_Параметры'!$C$79</definedName>
    <definedName name="edu_opportunity">'02_Параметры'!$C$80</definedName>
    <definedName name="dep_education">'02_Параметры'!$C$81</definedName>
    <definedName name="site_mode">'02_Параметры'!$C$82</definedName>
    <definedName name="site_cost">'02_Параметры'!$C$83</definedName>
    <definedName name="site_hours">'02_Параметры'!$C$84</definedName>
    <definedName name="site_life">'02_Параметры'!$C$85</definedName>
    <definedName name="dep_website">'02_Параметры'!$C$86</definedName>
    <definedName name="site_divisor">'02_Параметры'!$C$87</definedName>
    <definedName name="dep_shoot">'02_Параметры'!$C$90</definedName>
    <definedName name="dep_office">'02_Параметры'!$C$91</definedName>
    <definedName name="dep_software">'02_Параметры'!$C$92</definedName>
    <definedName name="dep_workspace">'02_Параметры'!$C$93</definedName>
    <definedName name="investment">'02_Параметры'!$C$94</definedName>
    <definedName name="var_software">'02_Параметры'!$C$95</definedName>
    <definedName name="var_ads">'02_Параметры'!$C$96</definedName>
    <definedName name="var_bank">'02_Параметры'!$C$97</definedName>
    <definedName name="acc_cost_month">'02_Параметры'!$C$98</definedName>
    <definedName name="var_accounting">'02_Параметры'!$C$99</definedName>
    <definedName name="variable_costs">'02_Параметры'!$C$100</definedName>
    <definedName name="total_costs">'02_Параметры'!$C$101</definedName>
    <definedName name="revenue_base">'02_Параметры'!$C$102</definedName>
    <definedName name="regime">'02_Параметры'!$C$105</definedName>
    <definedName name="rate_npd_avg">'02_Параметры'!$C$106</definedName>
    <definedName name="rate_npd_fiz">'02_Параметры'!$C$107</definedName>
    <definedName name="rate_npd_ur">'02_Параметры'!$C$108</definedName>
    <definedName name="rate_usn_inc">'02_Параметры'!$C$109</definedName>
    <definedName name="rate_usn_prof">'02_Параметры'!$C$110</definedName>
    <definedName name="rate_ausn_inc">'02_Параметры'!$C$111</definedName>
    <definedName name="rate_ausn_prof">'02_Параметры'!$C$112</definedName>
    <definedName name="regime_no">'02_Параметры'!$C$113</definedName>
    <definedName name="rate_current">'02_Параметры'!$C$114</definedName>
    <definedName name="fixed_contrib">'02_Параметры'!$C$115</definedName>
    <definedName name="extra_contrib">'02_Параметры'!$C$116</definedName>
    <definedName name="contrib_threshold">'02_Параметры'!$C$117</definedName>
    <definedName name="contrib_cap">'02_Параметры'!$C$118</definedName>
    <definedName name="threshold_credit">'02_Параметры'!$C$119</definedName>
    <definedName name="min_tax_usn">'02_Параметры'!$C$120</definedName>
    <definedName name="min_tax_ausn">'02_Параметры'!$C$121</definedName>
    <definedName name="injury_contrib">'02_Параметры'!$C$122</definedName>
    <definedName name="acq_rate">'02_Параметры'!$C$123</definedName>
    <definedName name="acq_share">'02_Параметры'!$C$124</definedName>
    <definedName name="acquiring">'02_Параметры'!$C$125</definedName>
    <definedName name="vat_threshold">'02_Параметры'!$C$126</definedName>
    <definedName name="limit_npd">'02_Параметры'!$C$127</definedName>
    <definedName name="limit_ausn">'02_Параметры'!$C$128</definedName>
    <definedName name="naive_rate">'02_Параметры'!$C$131</definedName>
    <definedName name="base_rate">'02_Параметры'!$C$132</definedName>
    <definedName name="ops_rate">'02_Параметры'!$C$133</definedName>
    <definedName name="full_hour_rate">'02_Параметры'!$C$134</definedName>
    <definedName name="site_value">'02_Параметры'!$C$135</definedName>
    <definedName name="cat_form">'03_Каталоги'!$A$5:$A$41</definedName>
    <definedName name="cat_year">'03_Каталоги'!$G$5:$G$41</definedName>
    <definedName name="idle_time">'02_Параметры'!$C$138</definedName>
    <definedName name="idle_week">'02_Параметры'!$C$139</definedName>
    <definedName name="hour_all">'02_Параметры'!$C$140</definedName>
    <definedName name="frames_out">'02_Параметры'!$C$141</definedName>
    <definedName name="frames_total">'02_Параметры'!$C$142</definedName>
    <definedName name="equip_only">'02_Параметры'!$C$143</definedName>
    <definedName name="_xlnm._FilterDatabase" localSheetId="11" hidden="1">'09_Тексты'!$A$4:$C$514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 ##0"/>
    <numFmt numFmtId="165" formatCode="# ##0.00"/>
    <numFmt numFmtId="166" formatCode="# ##0.00 ₽"/>
    <numFmt numFmtId="167" formatCode="# ##0 ₽"/>
    <numFmt numFmtId="168" formatCode="0.000000"/>
  </numFmts>
  <fonts count="39">
    <font>
      <name val="Calibri"/>
      <family val="2"/>
      <color theme="1"/>
      <sz val="11"/>
      <scheme val="minor"/>
    </font>
    <font>
      <b val="1"/>
      <sz val="14"/>
    </font>
    <font>
      <i val="1"/>
      <color rgb="00808080"/>
      <sz val="9"/>
    </font>
    <font>
      <b val="1"/>
      <color rgb="00FFFFFF"/>
    </font>
    <font>
      <b val="1"/>
    </font>
    <font>
      <name val="Consolas"/>
      <sz val="10"/>
    </font>
    <font>
      <i val="1"/>
      <color rgb="00C00000"/>
      <sz val="9"/>
    </font>
    <font>
      <b val="1"/>
      <sz val="12"/>
    </font>
    <font>
      <sz val="8"/>
    </font>
    <font>
      <sz val="9"/>
    </font>
    <font>
      <i val="1"/>
      <color rgb="00FFFFFF"/>
      <sz val="9"/>
    </font>
    <font>
      <b val="1"/>
      <color rgb="00FFFFFF"/>
      <sz val="11"/>
    </font>
    <font>
      <name val="Consolas"/>
      <sz val="9"/>
    </font>
    <font>
      <name val="Arial"/>
      <color rgb="00C00000"/>
      <sz val="10"/>
    </font>
    <font>
      <name val="Arial"/>
      <b val="1"/>
      <color rgb="001F3864"/>
      <sz val="14"/>
    </font>
    <font>
      <name val="Arial"/>
      <i val="1"/>
      <color rgb="00808080"/>
      <sz val="9"/>
    </font>
    <font>
      <name val="Arial"/>
      <b val="1"/>
      <color rgb="001F3864"/>
      <sz val="11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Consolas"/>
      <color rgb="001F4E79"/>
      <sz val="9"/>
    </font>
    <font>
      <name val="Arial"/>
      <b val="1"/>
      <color rgb="001F3864"/>
      <sz val="15"/>
    </font>
    <font>
      <name val="Consolas"/>
      <color rgb="001F4E79"/>
      <sz val="8"/>
    </font>
    <font>
      <name val="Arial"/>
      <b val="1"/>
      <color rgb="00FFFFFF"/>
      <sz val="10"/>
    </font>
    <font>
      <name val="Arial"/>
      <sz val="9.5"/>
    </font>
    <font>
      <name val="Consolas"/>
      <color rgb="001F4E79"/>
      <sz val="8.5"/>
    </font>
    <font>
      <name val="Arial"/>
      <b val="1"/>
      <color rgb="00FFFFFF"/>
      <sz val="12"/>
    </font>
    <font>
      <name val="Consolas"/>
      <b val="1"/>
      <color rgb="001F4E79"/>
      <sz val="10"/>
    </font>
    <font>
      <name val="Consolas"/>
      <b val="1"/>
      <color rgb="000B6B22"/>
      <sz val="11"/>
    </font>
    <font>
      <name val="Arial"/>
      <b val="1"/>
      <color rgb="001F3864"/>
      <sz val="12"/>
    </font>
    <font>
      <name val="Arial"/>
      <b val="1"/>
      <color rgb="00B45309"/>
      <sz val="10"/>
    </font>
    <font>
      <color rgb="FF808080"/>
      <sz val="9"/>
    </font>
    <font>
      <b val="1"/>
      <color rgb="FFFFFFFF"/>
    </font>
    <font>
      <color rgb="FF9C5555"/>
      <sz val="9"/>
    </font>
    <font>
      <sz val="11"/>
    </font>
    <font>
      <sz val="10"/>
    </font>
    <font>
      <color rgb="FF9C0006"/>
      <sz val="9"/>
    </font>
    <font>
      <color rgb="FF7F6000"/>
      <sz val="9"/>
    </font>
    <font>
      <color rgb="FFFFFFFF"/>
    </font>
  </fonts>
  <fills count="10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FCE4D6"/>
      </patternFill>
    </fill>
    <fill>
      <patternFill patternType="solid">
        <fgColor rgb="00FFD7D7"/>
      </patternFill>
    </fill>
    <fill>
      <patternFill patternType="solid">
        <fgColor rgb="0070AD47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7030A0"/>
      </patternFill>
    </fill>
    <fill>
      <patternFill patternType="solid">
        <fgColor rgb="004472C4"/>
      </patternFill>
    </fill>
    <fill>
      <patternFill patternType="solid">
        <fgColor rgb="00D9D9D9"/>
      </patternFill>
    </fill>
    <fill>
      <patternFill patternType="solid">
        <fgColor rgb="00FFC000"/>
      </patternFill>
    </fill>
    <fill>
      <patternFill patternType="solid">
        <fgColor rgb="00A6A6A6"/>
      </patternFill>
    </fill>
    <fill>
      <patternFill patternType="solid">
        <fgColor rgb="000B6B22"/>
      </patternFill>
    </fill>
    <fill>
      <patternFill patternType="solid">
        <fgColor rgb="001B9331"/>
      </patternFill>
    </fill>
    <fill>
      <patternFill patternType="solid">
        <fgColor rgb="0035B94C"/>
      </patternFill>
    </fill>
    <fill>
      <patternFill patternType="solid">
        <fgColor rgb="006FD183"/>
      </patternFill>
    </fill>
    <fill>
      <patternFill patternType="solid">
        <fgColor rgb="00A6E5B2"/>
      </patternFill>
    </fill>
    <fill>
      <patternFill patternType="solid">
        <fgColor rgb="00CDF2D5"/>
      </patternFill>
    </fill>
    <fill>
      <patternFill patternType="solid">
        <fgColor rgb="00EF4444"/>
      </patternFill>
    </fill>
    <fill>
      <patternFill patternType="solid">
        <fgColor rgb="00F59E0B"/>
      </patternFill>
    </fill>
    <fill>
      <patternFill patternType="solid">
        <fgColor rgb="00FB923C"/>
      </patternFill>
    </fill>
    <fill>
      <patternFill patternType="solid">
        <fgColor rgb="008B5CF6"/>
      </patternFill>
    </fill>
    <fill>
      <patternFill patternType="solid">
        <fgColor rgb="003B82F6"/>
      </patternFill>
    </fill>
    <fill>
      <patternFill patternType="solid">
        <fgColor rgb="00E5E7EB"/>
      </patternFill>
    </fill>
    <fill>
      <patternFill patternType="solid">
        <fgColor rgb="001A1A1A"/>
      </patternFill>
    </fill>
    <fill>
      <patternFill patternType="solid">
        <fgColor rgb="00374151"/>
      </patternFill>
    </fill>
    <fill>
      <patternFill patternType="solid">
        <fgColor rgb="004B5563"/>
      </patternFill>
    </fill>
    <fill>
      <patternFill patternType="solid">
        <fgColor rgb="006B7280"/>
      </patternFill>
    </fill>
    <fill>
      <patternFill patternType="solid">
        <fgColor rgb="009CA3AF"/>
      </patternFill>
    </fill>
    <fill>
      <patternFill patternType="solid">
        <fgColor rgb="00B6BCC4"/>
      </patternFill>
    </fill>
    <fill>
      <patternFill patternType="solid">
        <fgColor rgb="00F0F2F5"/>
      </patternFill>
    </fill>
    <fill>
      <patternFill patternType="solid">
        <fgColor rgb="00F5F6F8"/>
      </patternFill>
    </fill>
    <fill>
      <patternFill patternType="solid">
        <fgColor rgb="00FAFBFC"/>
      </patternFill>
    </fill>
    <fill>
      <patternFill patternType="solid">
        <fgColor rgb="00FFFFFF"/>
      </patternFill>
    </fill>
    <fill>
      <patternFill patternType="solid">
        <fgColor rgb="00F5FBF7"/>
      </patternFill>
    </fill>
    <fill>
      <patternFill patternType="solid">
        <fgColor rgb="00EAF6EE"/>
      </patternFill>
    </fill>
    <fill>
      <patternFill patternType="solid">
        <fgColor rgb="00D8EEDF"/>
      </patternFill>
    </fill>
    <fill>
      <patternFill patternType="solid">
        <fgColor rgb="00A9DDB8"/>
      </patternFill>
    </fill>
    <fill>
      <patternFill patternType="solid">
        <fgColor rgb="004FC26A"/>
      </patternFill>
    </fill>
    <fill>
      <patternFill patternType="solid">
        <fgColor rgb="0021A038"/>
      </patternFill>
    </fill>
    <fill>
      <patternFill patternType="solid">
        <fgColor rgb="00158026"/>
      </patternFill>
    </fill>
    <fill>
      <patternFill patternType="solid">
        <fgColor rgb="0014532D"/>
      </patternFill>
    </fill>
    <fill>
      <patternFill patternType="solid">
        <fgColor rgb="005C9C6C"/>
      </patternFill>
    </fill>
    <fill>
      <patternFill patternType="solid">
        <fgColor rgb="00FFF6F6"/>
      </patternFill>
    </fill>
    <fill>
      <patternFill patternType="solid">
        <fgColor rgb="00FDE8E8"/>
      </patternFill>
    </fill>
    <fill>
      <patternFill patternType="solid">
        <fgColor rgb="00F7D3D3"/>
      </patternFill>
    </fill>
    <fill>
      <patternFill patternType="solid">
        <fgColor rgb="00E4A9A9"/>
      </patternFill>
    </fill>
    <fill>
      <patternFill patternType="solid">
        <fgColor rgb="00E8828E"/>
      </patternFill>
    </fill>
    <fill>
      <patternFill patternType="solid">
        <fgColor rgb="00D6566A"/>
      </patternFill>
    </fill>
    <fill>
      <patternFill patternType="solid">
        <fgColor rgb="00C43D51"/>
      </patternFill>
    </fill>
    <fill>
      <patternFill patternType="solid">
        <fgColor rgb="00D0342F"/>
      </patternFill>
    </fill>
    <fill>
      <patternFill patternType="solid">
        <fgColor rgb="00B91C1C"/>
      </patternFill>
    </fill>
    <fill>
      <patternFill patternType="solid">
        <fgColor rgb="00991B1B"/>
      </patternFill>
    </fill>
    <fill>
      <patternFill patternType="solid">
        <fgColor rgb="007F1D1D"/>
      </patternFill>
    </fill>
    <fill>
      <patternFill patternType="solid">
        <fgColor rgb="00FFFBEF"/>
      </patternFill>
    </fill>
    <fill>
      <patternFill patternType="solid">
        <fgColor rgb="00FEF3D6"/>
      </patternFill>
    </fill>
    <fill>
      <patternFill patternType="solid">
        <fgColor rgb="00FBE3AE"/>
      </patternFill>
    </fill>
    <fill>
      <patternFill patternType="solid">
        <fgColor rgb="00F2C48A"/>
      </patternFill>
    </fill>
    <fill>
      <patternFill patternType="solid">
        <fgColor rgb="00E8A05C"/>
      </patternFill>
    </fill>
    <fill>
      <patternFill patternType="solid">
        <fgColor rgb="00F5B301"/>
      </patternFill>
    </fill>
    <fill>
      <patternFill patternType="solid">
        <fgColor rgb="00D9762E"/>
      </patternFill>
    </fill>
    <fill>
      <patternFill patternType="solid">
        <fgColor rgb="00C4551F"/>
      </patternFill>
    </fill>
    <fill>
      <patternFill patternType="solid">
        <fgColor rgb="00B45309"/>
      </patternFill>
    </fill>
    <fill>
      <patternFill patternType="solid">
        <fgColor rgb="0092400E"/>
      </patternFill>
    </fill>
    <fill>
      <patternFill patternType="solid">
        <fgColor rgb="007A5309"/>
      </patternFill>
    </fill>
    <fill>
      <patternFill patternType="solid">
        <fgColor rgb="008A5C4A"/>
      </patternFill>
    </fill>
    <fill>
      <patternFill patternType="solid">
        <fgColor rgb="005F3B2E"/>
      </patternFill>
    </fill>
    <fill>
      <patternFill patternType="solid">
        <fgColor rgb="00F6FAFE"/>
      </patternFill>
    </fill>
    <fill>
      <patternFill patternType="solid">
        <fgColor rgb="00E7F0FA"/>
      </patternFill>
    </fill>
    <fill>
      <patternFill patternType="solid">
        <fgColor rgb="00CFE0F3"/>
      </patternFill>
    </fill>
    <fill>
      <patternFill patternType="solid">
        <fgColor rgb="00B7C9E8"/>
      </patternFill>
    </fill>
    <fill>
      <patternFill patternType="solid">
        <fgColor rgb="008FC7E8"/>
      </patternFill>
    </fill>
    <fill>
      <patternFill patternType="solid">
        <fgColor rgb="005CA8E0"/>
      </patternFill>
    </fill>
    <fill>
      <patternFill patternType="solid">
        <fgColor rgb="002F80C4"/>
      </patternFill>
    </fill>
    <fill>
      <patternFill patternType="solid">
        <fgColor rgb="002A6FAB"/>
      </patternFill>
    </fill>
    <fill>
      <patternFill patternType="solid">
        <fgColor rgb="001D4ED8"/>
      </patternFill>
    </fill>
    <fill>
      <patternFill patternType="solid">
        <fgColor rgb="003B6398"/>
      </patternFill>
    </fill>
    <fill>
      <patternFill patternType="solid">
        <fgColor rgb="007189AE"/>
      </patternFill>
    </fill>
    <fill>
      <patternFill patternType="solid">
        <fgColor rgb="00F8F5FE"/>
      </patternFill>
    </fill>
    <fill>
      <patternFill patternType="solid">
        <fgColor rgb="00C7B9EC"/>
      </patternFill>
    </fill>
    <fill>
      <patternFill patternType="solid">
        <fgColor rgb="006D3FD4"/>
      </patternFill>
    </fill>
    <fill>
      <patternFill patternType="solid">
        <fgColor rgb="00FFF7FB"/>
      </patternFill>
    </fill>
    <fill>
      <patternFill patternType="solid">
        <fgColor rgb="00FCE7F3"/>
      </patternFill>
    </fill>
    <fill>
      <patternFill patternType="solid">
        <fgColor rgb="00EC4899"/>
      </patternFill>
    </fill>
    <fill>
      <patternFill patternType="solid">
        <fgColor rgb="009D174D"/>
      </patternFill>
    </fill>
    <fill>
      <patternFill patternType="solid">
        <fgColor rgb="00FFF9E6"/>
      </patternFill>
    </fill>
    <fill>
      <patternFill patternType="solid">
        <fgColor rgb="00E8F5EA"/>
      </patternFill>
    </fill>
    <fill>
      <patternFill patternType="solid">
        <fgColor rgb="00F9BBD4"/>
      </patternFill>
    </fill>
    <fill>
      <patternFill patternType="solid">
        <fgColor rgb="00F5C6DC"/>
      </patternFill>
    </fill>
    <fill>
      <patternFill patternType="solid">
        <fgColor rgb="00F385B4"/>
      </patternFill>
    </fill>
    <fill>
      <patternFill patternType="solid">
        <fgColor rgb="00B93A6B"/>
      </patternFill>
    </fill>
    <fill>
      <patternFill patternType="solid">
        <fgColor rgb="00EDEDED"/>
      </patternFill>
    </fill>
    <fill>
      <patternFill patternType="solid">
        <fgColor rgb="002FA84A"/>
      </patternFill>
    </fill>
    <fill>
      <patternFill patternType="solid">
        <fgColor rgb="005F8A1B"/>
      </patternFill>
    </fill>
    <fill>
      <patternFill patternType="solid">
        <fgColor rgb="008CB82F"/>
      </patternFill>
    </fill>
    <fill>
      <patternFill patternType="solid">
        <fgColor rgb="00B9D96F"/>
      </patternFill>
    </fill>
    <fill>
      <patternFill patternType="solid">
        <fgColor rgb="00833AB4"/>
      </patternFill>
    </fill>
    <fill>
      <patternFill patternType="solid">
        <fgColor rgb="00C13584"/>
      </patternFill>
    </fill>
    <fill>
      <patternFill patternType="solid">
        <fgColor rgb="00E1306C"/>
      </patternFill>
    </fill>
    <fill>
      <patternFill patternType="solid">
        <fgColor rgb="00F56040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97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4" fillId="3" borderId="1" pivotButton="0" quotePrefix="0" xfId="0"/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/>
    </xf>
    <xf numFmtId="0" fontId="0" fillId="8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5" fillId="8" borderId="1" applyAlignment="1" pivotButton="0" quotePrefix="0" xfId="0">
      <alignment horizontal="center"/>
    </xf>
    <xf numFmtId="0" fontId="0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/>
    </xf>
    <xf numFmtId="0" fontId="0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/>
    </xf>
    <xf numFmtId="0" fontId="0" fillId="9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/>
    </xf>
    <xf numFmtId="0" fontId="0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/>
    </xf>
    <xf numFmtId="0" fontId="0" fillId="3" borderId="0" pivotButton="0" quotePrefix="0" xfId="0"/>
    <xf numFmtId="0" fontId="4" fillId="3" borderId="0" pivotButton="0" quotePrefix="0" xfId="0"/>
    <xf numFmtId="0" fontId="2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0" fillId="0" borderId="1" pivotButton="0" quotePrefix="0" xfId="0"/>
    <xf numFmtId="164" fontId="4" fillId="4" borderId="1" pivotButton="0" quotePrefix="0" xfId="0"/>
    <xf numFmtId="0" fontId="2" fillId="0" borderId="1" applyAlignment="1" pivotButton="0" quotePrefix="0" xfId="0">
      <alignment vertical="top" wrapText="1"/>
    </xf>
    <xf numFmtId="165" fontId="0" fillId="5" borderId="1" pivotButton="0" quotePrefix="0" xfId="0"/>
    <xf numFmtId="164" fontId="0" fillId="5" borderId="1" pivotButton="0" quotePrefix="0" xfId="0"/>
    <xf numFmtId="165" fontId="4" fillId="6" borderId="1" pivotButton="0" quotePrefix="0" xfId="0"/>
    <xf numFmtId="0" fontId="4" fillId="7" borderId="1" pivotButton="0" quotePrefix="0" xfId="0"/>
    <xf numFmtId="10" fontId="4" fillId="6" borderId="1" pivotButton="0" quotePrefix="0" xfId="0"/>
    <xf numFmtId="166" fontId="0" fillId="5" borderId="1" pivotButton="0" quotePrefix="0" xfId="0"/>
    <xf numFmtId="167" fontId="4" fillId="6" borderId="1" pivotButton="0" quotePrefix="0" xfId="0"/>
    <xf numFmtId="167" fontId="0" fillId="5" borderId="1" pivotButton="0" quotePrefix="0" xfId="0"/>
    <xf numFmtId="10" fontId="0" fillId="5" borderId="1" pivotButton="0" quotePrefix="0" xfId="0"/>
    <xf numFmtId="164" fontId="4" fillId="6" borderId="1" pivotButton="0" quotePrefix="0" xfId="0"/>
    <xf numFmtId="168" fontId="0" fillId="5" borderId="1" pivotButton="0" quotePrefix="0" xfId="0"/>
    <xf numFmtId="10" fontId="4" fillId="4" borderId="1" pivotButton="0" quotePrefix="0" xfId="0"/>
    <xf numFmtId="167" fontId="4" fillId="4" borderId="1" pivotButton="0" quotePrefix="0" xfId="0"/>
    <xf numFmtId="0" fontId="4" fillId="3" borderId="1" applyAlignment="1" pivotButton="0" quotePrefix="0" xfId="0">
      <alignment horizontal="center" wrapText="1"/>
    </xf>
    <xf numFmtId="167" fontId="0" fillId="6" borderId="1" pivotButton="0" quotePrefix="0" xfId="0"/>
    <xf numFmtId="0" fontId="0" fillId="6" borderId="1" pivotButton="0" quotePrefix="0" xfId="0"/>
    <xf numFmtId="0" fontId="0" fillId="7" borderId="1" pivotButton="0" quotePrefix="0" xfId="0"/>
    <xf numFmtId="167" fontId="4" fillId="8" borderId="1" pivotButton="0" quotePrefix="0" xfId="0"/>
    <xf numFmtId="166" fontId="4" fillId="3" borderId="1" pivotButton="0" quotePrefix="0" xfId="0"/>
    <xf numFmtId="10" fontId="4" fillId="8" borderId="1" pivotButton="0" quotePrefix="0" xfId="0"/>
    <xf numFmtId="167" fontId="4" fillId="3" borderId="1" pivotButton="0" quotePrefix="0" xfId="0"/>
    <xf numFmtId="165" fontId="0" fillId="8" borderId="1" pivotButton="0" quotePrefix="0" xfId="0"/>
    <xf numFmtId="0" fontId="4" fillId="5" borderId="1" applyAlignment="1" pivotButton="0" quotePrefix="0" xfId="0">
      <alignment horizontal="center"/>
    </xf>
    <xf numFmtId="167" fontId="4" fillId="9" borderId="1" pivotButton="0" quotePrefix="0" xfId="0"/>
    <xf numFmtId="167" fontId="0" fillId="8" borderId="1" pivotButton="0" quotePrefix="0" xfId="0"/>
    <xf numFmtId="0" fontId="3" fillId="2" borderId="1" applyAlignment="1" pivotButton="0" quotePrefix="0" xfId="0">
      <alignment horizontal="center" vertical="center" wrapText="1"/>
    </xf>
    <xf numFmtId="167" fontId="0" fillId="0" borderId="1" pivotButton="0" quotePrefix="0" xfId="0"/>
    <xf numFmtId="167" fontId="4" fillId="5" borderId="1" pivotButton="0" quotePrefix="0" xfId="0"/>
    <xf numFmtId="10" fontId="4" fillId="5" borderId="1" pivotButton="0" quotePrefix="0" xfId="0"/>
    <xf numFmtId="167" fontId="0" fillId="3" borderId="1" pivotButton="0" quotePrefix="0" xfId="0"/>
    <xf numFmtId="0" fontId="0" fillId="0" borderId="1" applyAlignment="1" pivotButton="0" quotePrefix="0" xfId="0">
      <alignment horizontal="center"/>
    </xf>
    <xf numFmtId="10" fontId="0" fillId="0" borderId="1" pivotButton="0" quotePrefix="0" xfId="0"/>
    <xf numFmtId="165" fontId="2" fillId="0" borderId="1" pivotButton="0" quotePrefix="0" xfId="0"/>
    <xf numFmtId="0" fontId="4" fillId="5" borderId="1" pivotButton="0" quotePrefix="0" xfId="0"/>
    <xf numFmtId="10" fontId="0" fillId="8" borderId="1" pivotButton="0" quotePrefix="0" xfId="0"/>
    <xf numFmtId="167" fontId="0" fillId="9" borderId="1" pivotButton="0" quotePrefix="0" xfId="0"/>
    <xf numFmtId="10" fontId="0" fillId="9" borderId="1" pivotButton="0" quotePrefix="0" xfId="0"/>
    <xf numFmtId="167" fontId="0" fillId="4" borderId="1" pivotButton="0" quotePrefix="0" xfId="0"/>
    <xf numFmtId="10" fontId="0" fillId="4" borderId="1" pivotButton="0" quotePrefix="0" xfId="0"/>
    <xf numFmtId="0" fontId="6" fillId="0" borderId="0" pivotButton="0" quotePrefix="0" xfId="0"/>
    <xf numFmtId="0" fontId="4" fillId="8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9" borderId="1" pivotButton="0" quotePrefix="0" xfId="0"/>
    <xf numFmtId="0" fontId="4" fillId="4" borderId="1" pivotButton="0" quotePrefix="0" xfId="0"/>
    <xf numFmtId="0" fontId="4" fillId="3" borderId="1" applyAlignment="1" pivotButton="0" quotePrefix="0" xfId="0">
      <alignment horizontal="center"/>
    </xf>
    <xf numFmtId="0" fontId="4" fillId="0" borderId="1" pivotButton="0" quotePrefix="0" xfId="0"/>
    <xf numFmtId="10" fontId="4" fillId="9" borderId="1" pivotButton="0" quotePrefix="0" xfId="0"/>
    <xf numFmtId="167" fontId="7" fillId="8" borderId="1" pivotButton="0" quotePrefix="0" xfId="0"/>
    <xf numFmtId="167" fontId="3" fillId="10" borderId="1" pivotButton="0" quotePrefix="0" xfId="0"/>
    <xf numFmtId="167" fontId="3" fillId="11" borderId="1" pivotButton="0" quotePrefix="0" xfId="0"/>
    <xf numFmtId="167" fontId="3" fillId="12" borderId="1" pivotButton="0" quotePrefix="0" xfId="0"/>
    <xf numFmtId="167" fontId="3" fillId="13" borderId="1" pivotButton="0" quotePrefix="0" xfId="0"/>
    <xf numFmtId="167" fontId="3" fillId="14" borderId="1" pivotButton="0" quotePrefix="0" xfId="0"/>
    <xf numFmtId="165" fontId="0" fillId="0" borderId="1" pivotButton="0" quotePrefix="0" xfId="0"/>
    <xf numFmtId="165" fontId="4" fillId="8" borderId="1" pivotButton="0" quotePrefix="0" xfId="0"/>
    <xf numFmtId="0" fontId="4" fillId="9" borderId="0" pivotButton="0" quotePrefix="0" xfId="0"/>
    <xf numFmtId="167" fontId="7" fillId="9" borderId="1" pivotButton="0" quotePrefix="0" xfId="0"/>
    <xf numFmtId="0" fontId="4" fillId="4" borderId="0" pivotButton="0" quotePrefix="0" xfId="0"/>
    <xf numFmtId="167" fontId="7" fillId="4" borderId="1" pivotButton="0" quotePrefix="0" xfId="0"/>
    <xf numFmtId="0" fontId="8" fillId="0" borderId="1" pivotButton="0" quotePrefix="0" xfId="0"/>
    <xf numFmtId="0" fontId="0" fillId="15" borderId="1" pivotButton="0" quotePrefix="0" xfId="0"/>
    <xf numFmtId="0" fontId="0" fillId="4" borderId="1" pivotButton="0" quotePrefix="0" xfId="0"/>
    <xf numFmtId="0" fontId="9" fillId="0" borderId="0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6" borderId="1" pivotButton="0" quotePrefix="0" xfId="0"/>
    <xf numFmtId="0" fontId="0" fillId="14" borderId="1" pivotButton="0" quotePrefix="0" xfId="0"/>
    <xf numFmtId="0" fontId="0" fillId="13" borderId="1" pivotButton="0" quotePrefix="0" xfId="0"/>
    <xf numFmtId="0" fontId="0" fillId="17" borderId="1" pivotButton="0" quotePrefix="0" xfId="0"/>
    <xf numFmtId="0" fontId="3" fillId="2" borderId="0" applyAlignment="1" pivotButton="0" quotePrefix="0" xfId="0">
      <alignment horizontal="center"/>
    </xf>
    <xf numFmtId="0" fontId="10" fillId="2" borderId="0" pivotButton="0" quotePrefix="0" xfId="0"/>
    <xf numFmtId="0" fontId="0" fillId="2" borderId="0" pivotButton="0" quotePrefix="0" xfId="0"/>
    <xf numFmtId="0" fontId="0" fillId="3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2" fillId="0" borderId="1" pivotButton="0" quotePrefix="0" xfId="0"/>
    <xf numFmtId="0" fontId="0" fillId="6" borderId="1" applyAlignment="1" pivotButton="0" quotePrefix="0" xfId="0">
      <alignment vertical="top" wrapText="1"/>
    </xf>
    <xf numFmtId="167" fontId="0" fillId="6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167" fontId="0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167" fontId="0" fillId="8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167" fontId="0" fillId="9" borderId="1" applyAlignment="1" pivotButton="0" quotePrefix="0" xfId="0">
      <alignment vertical="top" wrapText="1"/>
    </xf>
    <xf numFmtId="0" fontId="5" fillId="6" borderId="1" pivotButton="0" quotePrefix="0" xfId="0"/>
    <xf numFmtId="0" fontId="5" fillId="0" borderId="1" applyAlignment="1" pivotButton="0" quotePrefix="0" xfId="0">
      <alignment wrapText="1"/>
    </xf>
    <xf numFmtId="0" fontId="0" fillId="5" borderId="1" pivotButton="0" quotePrefix="0" xfId="0"/>
    <xf numFmtId="0" fontId="0" fillId="6" borderId="1" applyAlignment="1" pivotButton="0" quotePrefix="0" xfId="0">
      <alignment horizontal="center"/>
    </xf>
    <xf numFmtId="0" fontId="5" fillId="18" borderId="1" applyAlignment="1" pivotButton="0" quotePrefix="0" xfId="0">
      <alignment vertical="top" wrapText="1"/>
    </xf>
    <xf numFmtId="0" fontId="5" fillId="19" borderId="1" applyAlignment="1" pivotButton="0" quotePrefix="0" xfId="0">
      <alignment vertical="top" wrapText="1"/>
    </xf>
    <xf numFmtId="0" fontId="5" fillId="20" borderId="1" applyAlignment="1" pivotButton="0" quotePrefix="0" xfId="0">
      <alignment vertical="top" wrapText="1"/>
    </xf>
    <xf numFmtId="0" fontId="5" fillId="21" borderId="1" applyAlignment="1" pivotButton="0" quotePrefix="0" xfId="0">
      <alignment vertical="top" wrapText="1"/>
    </xf>
    <xf numFmtId="0" fontId="5" fillId="22" borderId="1" applyAlignment="1" pivotButton="0" quotePrefix="0" xfId="0">
      <alignment vertical="top" wrapText="1"/>
    </xf>
    <xf numFmtId="0" fontId="5" fillId="23" borderId="1" applyAlignment="1" pivotButton="0" quotePrefix="0" xfId="0">
      <alignment vertical="top" wrapText="1"/>
    </xf>
    <xf numFmtId="0" fontId="5" fillId="24" borderId="1" applyAlignment="1" pivotButton="0" quotePrefix="0" xfId="0">
      <alignment vertical="top" wrapText="1"/>
    </xf>
    <xf numFmtId="0" fontId="5" fillId="25" borderId="1" applyAlignment="1" pivotButton="0" quotePrefix="0" xfId="0">
      <alignment vertical="top" wrapText="1"/>
    </xf>
    <xf numFmtId="0" fontId="5" fillId="26" borderId="1" applyAlignment="1" pivotButton="0" quotePrefix="0" xfId="0">
      <alignment vertical="top" wrapText="1"/>
    </xf>
    <xf numFmtId="0" fontId="5" fillId="27" borderId="1" applyAlignment="1" pivotButton="0" quotePrefix="0" xfId="0">
      <alignment vertical="top" wrapText="1"/>
    </xf>
    <xf numFmtId="0" fontId="5" fillId="28" borderId="1" applyAlignment="1" pivotButton="0" quotePrefix="0" xfId="0">
      <alignment vertical="top" wrapText="1"/>
    </xf>
    <xf numFmtId="0" fontId="5" fillId="29" borderId="1" applyAlignment="1" pivotButton="0" quotePrefix="0" xfId="0">
      <alignment vertical="top" wrapText="1"/>
    </xf>
    <xf numFmtId="167" fontId="0" fillId="0" borderId="1" applyAlignment="1" pivotButton="0" quotePrefix="0" xfId="0">
      <alignment vertical="top" wrapText="1"/>
    </xf>
    <xf numFmtId="0" fontId="6" fillId="0" borderId="1" pivotButton="0" quotePrefix="0" xfId="0"/>
    <xf numFmtId="0" fontId="6" fillId="0" borderId="1" applyAlignment="1" pivotButton="0" quotePrefix="0" xfId="0">
      <alignment vertical="top" wrapText="1"/>
    </xf>
    <xf numFmtId="0" fontId="11" fillId="2" borderId="0" pivotButton="0" quotePrefix="0" xfId="0"/>
    <xf numFmtId="0" fontId="12" fillId="6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13" fillId="6" borderId="1" applyAlignment="1" pivotButton="0" quotePrefix="0" xfId="0">
      <alignment vertical="top" wrapText="1"/>
    </xf>
    <xf numFmtId="0" fontId="14" fillId="0" borderId="0" pivotButton="0" quotePrefix="0" xfId="0"/>
    <xf numFmtId="0" fontId="15" fillId="0" borderId="0" pivotButton="0" quotePrefix="0" xfId="0"/>
    <xf numFmtId="0" fontId="16" fillId="3" borderId="6" pivotButton="0" quotePrefix="0" xfId="0"/>
    <xf numFmtId="0" fontId="0" fillId="3" borderId="6" pivotButton="0" quotePrefix="0" xfId="0"/>
    <xf numFmtId="0" fontId="17" fillId="14" borderId="6" applyAlignment="1" pivotButton="0" quotePrefix="0" xfId="0">
      <alignment vertical="top" wrapText="1"/>
    </xf>
    <xf numFmtId="0" fontId="18" fillId="0" borderId="6" applyAlignment="1" pivotButton="0" quotePrefix="0" xfId="0">
      <alignment vertical="top" wrapText="1"/>
    </xf>
    <xf numFmtId="0" fontId="19" fillId="6" borderId="6" applyAlignment="1" pivotButton="0" quotePrefix="0" xfId="0">
      <alignment vertical="top" wrapText="1"/>
    </xf>
    <xf numFmtId="0" fontId="20" fillId="0" borderId="6" applyAlignment="1" pivotButton="0" quotePrefix="0" xfId="0">
      <alignment vertical="top" wrapText="1"/>
    </xf>
    <xf numFmtId="0" fontId="19" fillId="0" borderId="6" applyAlignment="1" pivotButton="0" quotePrefix="0" xfId="0">
      <alignment vertical="top" wrapText="1"/>
    </xf>
    <xf numFmtId="0" fontId="15" fillId="2" borderId="0" pivotButton="0" quotePrefix="0" xfId="0"/>
    <xf numFmtId="0" fontId="16" fillId="0" borderId="0" pivotButton="0" quotePrefix="0" xfId="0"/>
    <xf numFmtId="0" fontId="17" fillId="14" borderId="6" applyAlignment="1" pivotButton="0" quotePrefix="0" xfId="0">
      <alignment vertical="center" wrapText="1"/>
    </xf>
    <xf numFmtId="0" fontId="5" fillId="0" borderId="6" applyAlignment="1" pivotButton="0" quotePrefix="0" xfId="0">
      <alignment vertical="center" wrapText="1"/>
    </xf>
    <xf numFmtId="0" fontId="0" fillId="30" borderId="6" applyAlignment="1" pivotButton="0" quotePrefix="0" xfId="0">
      <alignment vertical="center" wrapText="1"/>
    </xf>
    <xf numFmtId="0" fontId="19" fillId="0" borderId="6" applyAlignment="1" pivotButton="0" quotePrefix="0" xfId="0">
      <alignment vertical="center" wrapText="1"/>
    </xf>
    <xf numFmtId="0" fontId="0" fillId="31" borderId="6" applyAlignment="1" pivotButton="0" quotePrefix="0" xfId="0">
      <alignment vertical="center" wrapText="1"/>
    </xf>
    <xf numFmtId="0" fontId="0" fillId="32" borderId="6" applyAlignment="1" pivotButton="0" quotePrefix="0" xfId="0">
      <alignment vertical="center" wrapText="1"/>
    </xf>
    <xf numFmtId="0" fontId="0" fillId="33" borderId="6" applyAlignment="1" pivotButton="0" quotePrefix="0" xfId="0">
      <alignment vertical="center" wrapText="1"/>
    </xf>
    <xf numFmtId="0" fontId="0" fillId="34" borderId="6" applyAlignment="1" pivotButton="0" quotePrefix="0" xfId="0">
      <alignment vertical="center" wrapText="1"/>
    </xf>
    <xf numFmtId="0" fontId="0" fillId="35" borderId="6" applyAlignment="1" pivotButton="0" quotePrefix="0" xfId="0">
      <alignment vertical="center" wrapText="1"/>
    </xf>
    <xf numFmtId="0" fontId="0" fillId="29" borderId="6" applyAlignment="1" pivotButton="0" quotePrefix="0" xfId="0">
      <alignment vertical="center" wrapText="1"/>
    </xf>
    <xf numFmtId="0" fontId="0" fillId="36" borderId="6" applyAlignment="1" pivotButton="0" quotePrefix="0" xfId="0">
      <alignment vertical="center" wrapText="1"/>
    </xf>
    <xf numFmtId="0" fontId="0" fillId="37" borderId="6" applyAlignment="1" pivotButton="0" quotePrefix="0" xfId="0">
      <alignment vertical="center" wrapText="1"/>
    </xf>
    <xf numFmtId="0" fontId="0" fillId="38" borderId="6" applyAlignment="1" pivotButton="0" quotePrefix="0" xfId="0">
      <alignment vertical="center" wrapText="1"/>
    </xf>
    <xf numFmtId="0" fontId="0" fillId="39" borderId="6" applyAlignment="1" pivotButton="0" quotePrefix="0" xfId="0">
      <alignment vertical="center" wrapText="1"/>
    </xf>
    <xf numFmtId="0" fontId="0" fillId="40" borderId="6" applyAlignment="1" pivotButton="0" quotePrefix="0" xfId="0">
      <alignment vertical="center" wrapText="1"/>
    </xf>
    <xf numFmtId="0" fontId="0" fillId="41" borderId="6" applyAlignment="1" pivotButton="0" quotePrefix="0" xfId="0">
      <alignment vertical="center" wrapText="1"/>
    </xf>
    <xf numFmtId="0" fontId="0" fillId="42" borderId="6" applyAlignment="1" pivotButton="0" quotePrefix="0" xfId="0">
      <alignment vertical="center" wrapText="1"/>
    </xf>
    <xf numFmtId="0" fontId="0" fillId="43" borderId="6" applyAlignment="1" pivotButton="0" quotePrefix="0" xfId="0">
      <alignment vertical="center" wrapText="1"/>
    </xf>
    <xf numFmtId="0" fontId="0" fillId="21" borderId="6" applyAlignment="1" pivotButton="0" quotePrefix="0" xfId="0">
      <alignment vertical="center" wrapText="1"/>
    </xf>
    <xf numFmtId="0" fontId="0" fillId="44" borderId="6" applyAlignment="1" pivotButton="0" quotePrefix="0" xfId="0">
      <alignment vertical="center" wrapText="1"/>
    </xf>
    <xf numFmtId="0" fontId="0" fillId="45" borderId="6" applyAlignment="1" pivotButton="0" quotePrefix="0" xfId="0">
      <alignment vertical="center" wrapText="1"/>
    </xf>
    <xf numFmtId="0" fontId="0" fillId="19" borderId="6" applyAlignment="1" pivotButton="0" quotePrefix="0" xfId="0">
      <alignment vertical="center" wrapText="1"/>
    </xf>
    <xf numFmtId="0" fontId="0" fillId="46" borderId="6" applyAlignment="1" pivotButton="0" quotePrefix="0" xfId="0">
      <alignment vertical="center" wrapText="1"/>
    </xf>
    <xf numFmtId="0" fontId="0" fillId="18" borderId="6" applyAlignment="1" pivotButton="0" quotePrefix="0" xfId="0">
      <alignment vertical="center" wrapText="1"/>
    </xf>
    <xf numFmtId="0" fontId="0" fillId="47" borderId="6" applyAlignment="1" pivotButton="0" quotePrefix="0" xfId="0">
      <alignment vertical="center" wrapText="1"/>
    </xf>
    <xf numFmtId="0" fontId="0" fillId="48" borderId="6" applyAlignment="1" pivotButton="0" quotePrefix="0" xfId="0">
      <alignment vertical="center" wrapText="1"/>
    </xf>
    <xf numFmtId="0" fontId="0" fillId="49" borderId="6" applyAlignment="1" pivotButton="0" quotePrefix="0" xfId="0">
      <alignment vertical="center" wrapText="1"/>
    </xf>
    <xf numFmtId="0" fontId="0" fillId="50" borderId="6" applyAlignment="1" pivotButton="0" quotePrefix="0" xfId="0">
      <alignment vertical="center" wrapText="1"/>
    </xf>
    <xf numFmtId="0" fontId="0" fillId="51" borderId="6" applyAlignment="1" pivotButton="0" quotePrefix="0" xfId="0">
      <alignment vertical="center" wrapText="1"/>
    </xf>
    <xf numFmtId="0" fontId="0" fillId="52" borderId="6" applyAlignment="1" pivotButton="0" quotePrefix="0" xfId="0">
      <alignment vertical="center" wrapText="1"/>
    </xf>
    <xf numFmtId="0" fontId="0" fillId="53" borderId="6" applyAlignment="1" pivotButton="0" quotePrefix="0" xfId="0">
      <alignment vertical="center" wrapText="1"/>
    </xf>
    <xf numFmtId="0" fontId="0" fillId="24" borderId="6" applyAlignment="1" pivotButton="0" quotePrefix="0" xfId="0">
      <alignment vertical="center" wrapText="1"/>
    </xf>
    <xf numFmtId="0" fontId="0" fillId="54" borderId="6" applyAlignment="1" pivotButton="0" quotePrefix="0" xfId="0">
      <alignment vertical="center" wrapText="1"/>
    </xf>
    <xf numFmtId="0" fontId="0" fillId="55" borderId="6" applyAlignment="1" pivotButton="0" quotePrefix="0" xfId="0">
      <alignment vertical="center" wrapText="1"/>
    </xf>
    <xf numFmtId="0" fontId="0" fillId="56" borderId="6" applyAlignment="1" pivotButton="0" quotePrefix="0" xfId="0">
      <alignment vertical="center" wrapText="1"/>
    </xf>
    <xf numFmtId="0" fontId="0" fillId="57" borderId="6" applyAlignment="1" pivotButton="0" quotePrefix="0" xfId="0">
      <alignment vertical="center" wrapText="1"/>
    </xf>
    <xf numFmtId="0" fontId="0" fillId="58" borderId="6" applyAlignment="1" pivotButton="0" quotePrefix="0" xfId="0">
      <alignment vertical="center" wrapText="1"/>
    </xf>
    <xf numFmtId="0" fontId="0" fillId="59" borderId="6" applyAlignment="1" pivotButton="0" quotePrefix="0" xfId="0">
      <alignment vertical="center" wrapText="1"/>
    </xf>
    <xf numFmtId="0" fontId="0" fillId="60" borderId="6" applyAlignment="1" pivotButton="0" quotePrefix="0" xfId="0">
      <alignment vertical="center" wrapText="1"/>
    </xf>
    <xf numFmtId="0" fontId="0" fillId="61" borderId="6" applyAlignment="1" pivotButton="0" quotePrefix="0" xfId="0">
      <alignment vertical="center" wrapText="1"/>
    </xf>
    <xf numFmtId="0" fontId="0" fillId="62" borderId="6" applyAlignment="1" pivotButton="0" quotePrefix="0" xfId="0">
      <alignment vertical="center" wrapText="1"/>
    </xf>
    <xf numFmtId="0" fontId="0" fillId="63" borderId="6" applyAlignment="1" pivotButton="0" quotePrefix="0" xfId="0">
      <alignment vertical="center" wrapText="1"/>
    </xf>
    <xf numFmtId="0" fontId="0" fillId="64" borderId="6" applyAlignment="1" pivotButton="0" quotePrefix="0" xfId="0">
      <alignment vertical="center" wrapText="1"/>
    </xf>
    <xf numFmtId="0" fontId="0" fillId="65" borderId="6" applyAlignment="1" pivotButton="0" quotePrefix="0" xfId="0">
      <alignment vertical="center" wrapText="1"/>
    </xf>
    <xf numFmtId="0" fontId="0" fillId="66" borderId="6" applyAlignment="1" pivotButton="0" quotePrefix="0" xfId="0">
      <alignment vertical="center" wrapText="1"/>
    </xf>
    <xf numFmtId="0" fontId="0" fillId="67" borderId="6" applyAlignment="1" pivotButton="0" quotePrefix="0" xfId="0">
      <alignment vertical="center" wrapText="1"/>
    </xf>
    <xf numFmtId="0" fontId="0" fillId="68" borderId="6" applyAlignment="1" pivotButton="0" quotePrefix="0" xfId="0">
      <alignment vertical="center" wrapText="1"/>
    </xf>
    <xf numFmtId="0" fontId="0" fillId="69" borderId="6" applyAlignment="1" pivotButton="0" quotePrefix="0" xfId="0">
      <alignment vertical="center" wrapText="1"/>
    </xf>
    <xf numFmtId="0" fontId="0" fillId="70" borderId="6" applyAlignment="1" pivotButton="0" quotePrefix="0" xfId="0">
      <alignment vertical="center" wrapText="1"/>
    </xf>
    <xf numFmtId="0" fontId="0" fillId="71" borderId="6" applyAlignment="1" pivotButton="0" quotePrefix="0" xfId="0">
      <alignment vertical="center" wrapText="1"/>
    </xf>
    <xf numFmtId="0" fontId="0" fillId="72" borderId="6" applyAlignment="1" pivotButton="0" quotePrefix="0" xfId="0">
      <alignment vertical="center" wrapText="1"/>
    </xf>
    <xf numFmtId="0" fontId="0" fillId="73" borderId="6" applyAlignment="1" pivotButton="0" quotePrefix="0" xfId="0">
      <alignment vertical="center" wrapText="1"/>
    </xf>
    <xf numFmtId="0" fontId="0" fillId="74" borderId="6" applyAlignment="1" pivotButton="0" quotePrefix="0" xfId="0">
      <alignment vertical="center" wrapText="1"/>
    </xf>
    <xf numFmtId="0" fontId="0" fillId="75" borderId="6" applyAlignment="1" pivotButton="0" quotePrefix="0" xfId="0">
      <alignment vertical="center" wrapText="1"/>
    </xf>
    <xf numFmtId="0" fontId="0" fillId="76" borderId="6" applyAlignment="1" pivotButton="0" quotePrefix="0" xfId="0">
      <alignment vertical="center" wrapText="1"/>
    </xf>
    <xf numFmtId="0" fontId="0" fillId="77" borderId="6" applyAlignment="1" pivotButton="0" quotePrefix="0" xfId="0">
      <alignment vertical="center" wrapText="1"/>
    </xf>
    <xf numFmtId="0" fontId="0" fillId="78" borderId="6" applyAlignment="1" pivotButton="0" quotePrefix="0" xfId="0">
      <alignment vertical="center" wrapText="1"/>
    </xf>
    <xf numFmtId="0" fontId="0" fillId="28" borderId="6" applyAlignment="1" pivotButton="0" quotePrefix="0" xfId="0">
      <alignment vertical="center" wrapText="1"/>
    </xf>
    <xf numFmtId="0" fontId="0" fillId="79" borderId="6" applyAlignment="1" pivotButton="0" quotePrefix="0" xfId="0">
      <alignment vertical="center" wrapText="1"/>
    </xf>
    <xf numFmtId="0" fontId="0" fillId="80" borderId="6" applyAlignment="1" pivotButton="0" quotePrefix="0" xfId="0">
      <alignment vertical="center" wrapText="1"/>
    </xf>
    <xf numFmtId="0" fontId="0" fillId="81" borderId="6" applyAlignment="1" pivotButton="0" quotePrefix="0" xfId="0">
      <alignment vertical="center" wrapText="1"/>
    </xf>
    <xf numFmtId="0" fontId="0" fillId="82" borderId="6" applyAlignment="1" pivotButton="0" quotePrefix="0" xfId="0">
      <alignment vertical="center" wrapText="1"/>
    </xf>
    <xf numFmtId="0" fontId="0" fillId="83" borderId="6" applyAlignment="1" pivotButton="0" quotePrefix="0" xfId="0">
      <alignment vertical="center" wrapText="1"/>
    </xf>
    <xf numFmtId="0" fontId="0" fillId="84" borderId="6" applyAlignment="1" pivotButton="0" quotePrefix="0" xfId="0">
      <alignment vertical="center" wrapText="1"/>
    </xf>
    <xf numFmtId="0" fontId="0" fillId="85" borderId="6" applyAlignment="1" pivotButton="0" quotePrefix="0" xfId="0">
      <alignment vertical="center" wrapText="1"/>
    </xf>
    <xf numFmtId="0" fontId="0" fillId="27" borderId="6" applyAlignment="1" pivotButton="0" quotePrefix="0" xfId="0">
      <alignment vertical="center" wrapText="1"/>
    </xf>
    <xf numFmtId="0" fontId="0" fillId="86" borderId="6" applyAlignment="1" pivotButton="0" quotePrefix="0" xfId="0">
      <alignment vertical="center" wrapText="1"/>
    </xf>
    <xf numFmtId="0" fontId="0" fillId="87" borderId="6" applyAlignment="1" pivotButton="0" quotePrefix="0" xfId="0">
      <alignment vertical="center" wrapText="1"/>
    </xf>
    <xf numFmtId="0" fontId="0" fillId="88" borderId="6" applyAlignment="1" pivotButton="0" quotePrefix="0" xfId="0">
      <alignment vertical="center" wrapText="1"/>
    </xf>
    <xf numFmtId="0" fontId="0" fillId="89" borderId="6" applyAlignment="1" pivotButton="0" quotePrefix="0" xfId="0">
      <alignment vertical="center" wrapText="1"/>
    </xf>
    <xf numFmtId="0" fontId="0" fillId="90" borderId="6" applyAlignment="1" pivotButton="0" quotePrefix="0" xfId="0">
      <alignment vertical="center" wrapText="1"/>
    </xf>
    <xf numFmtId="0" fontId="19" fillId="0" borderId="0" pivotButton="0" quotePrefix="0" xfId="0"/>
    <xf numFmtId="0" fontId="15" fillId="0" borderId="0" applyAlignment="1" pivotButton="0" quotePrefix="0" xfId="0">
      <alignment vertical="top" wrapText="1"/>
    </xf>
    <xf numFmtId="0" fontId="13" fillId="0" borderId="1" pivotButton="0" quotePrefix="0" xfId="0"/>
    <xf numFmtId="0" fontId="0" fillId="0" borderId="0" applyAlignment="1" pivotButton="0" quotePrefix="0" xfId="0">
      <alignment vertical="top" wrapText="1"/>
    </xf>
    <xf numFmtId="0" fontId="21" fillId="0" borderId="0" pivotButton="0" quotePrefix="0" xfId="0"/>
    <xf numFmtId="0" fontId="22" fillId="0" borderId="6" applyAlignment="1" pivotButton="0" quotePrefix="0" xfId="0">
      <alignment vertical="top" wrapText="1"/>
    </xf>
    <xf numFmtId="0" fontId="23" fillId="14" borderId="6" applyAlignment="1" pivotButton="0" quotePrefix="0" xfId="0">
      <alignment vertical="top" wrapText="1"/>
    </xf>
    <xf numFmtId="0" fontId="24" fillId="0" borderId="6" applyAlignment="1" pivotButton="0" quotePrefix="0" xfId="0">
      <alignment vertical="top" wrapText="1"/>
    </xf>
    <xf numFmtId="0" fontId="25" fillId="0" borderId="6" applyAlignment="1" pivotButton="0" quotePrefix="0" xfId="0">
      <alignment vertical="top" wrapText="1"/>
    </xf>
    <xf numFmtId="0" fontId="26" fillId="14" borderId="6" applyAlignment="1" pivotButton="0" quotePrefix="0" xfId="0">
      <alignment horizontal="center" vertical="center"/>
    </xf>
    <xf numFmtId="0" fontId="18" fillId="0" borderId="6" applyAlignment="1" pivotButton="0" quotePrefix="0" xfId="0">
      <alignment horizontal="center" vertical="center"/>
    </xf>
    <xf numFmtId="0" fontId="27" fillId="91" borderId="6" applyAlignment="1" pivotButton="0" quotePrefix="0" xfId="0">
      <alignment vertical="top" wrapText="1"/>
    </xf>
    <xf numFmtId="0" fontId="28" fillId="92" borderId="6" applyAlignment="1" pivotButton="0" quotePrefix="0" xfId="0">
      <alignment vertical="top" wrapText="1"/>
    </xf>
    <xf numFmtId="0" fontId="29" fillId="3" borderId="6" pivotButton="0" quotePrefix="0" xfId="0"/>
    <xf numFmtId="0" fontId="28" fillId="0" borderId="6" applyAlignment="1" pivotButton="0" quotePrefix="0" xfId="0">
      <alignment vertical="top" wrapText="1"/>
    </xf>
    <xf numFmtId="0" fontId="30" fillId="0" borderId="0" applyAlignment="1" pivotButton="0" quotePrefix="0" xfId="0">
      <alignment vertical="top" wrapText="1"/>
    </xf>
    <xf numFmtId="0" fontId="24" fillId="0" borderId="0" pivotButton="0" quotePrefix="0" xfId="0"/>
    <xf numFmtId="0" fontId="5" fillId="0" borderId="6" pivotButton="0" quotePrefix="0" xfId="0"/>
    <xf numFmtId="0" fontId="0" fillId="93" borderId="6" pivotButton="0" quotePrefix="0" xfId="0"/>
    <xf numFmtId="0" fontId="19" fillId="0" borderId="6" pivotButton="0" quotePrefix="0" xfId="0"/>
    <xf numFmtId="0" fontId="0" fillId="94" borderId="6" pivotButton="0" quotePrefix="0" xfId="0"/>
    <xf numFmtId="0" fontId="0" fillId="95" borderId="6" pivotButton="0" quotePrefix="0" xfId="0"/>
    <xf numFmtId="0" fontId="0" fillId="96" borderId="6" pivotButton="0" quotePrefix="0" xfId="0"/>
    <xf numFmtId="0" fontId="0" fillId="6" borderId="0" pivotButton="0" quotePrefix="0" xfId="0"/>
    <xf numFmtId="0" fontId="31" fillId="0" borderId="0" pivotButton="0" quotePrefix="0" xfId="0"/>
    <xf numFmtId="0" fontId="5" fillId="67" borderId="1" applyAlignment="1" pivotButton="0" quotePrefix="0" xfId="0">
      <alignment vertical="top" wrapText="1"/>
    </xf>
    <xf numFmtId="0" fontId="5" fillId="64" borderId="1" applyAlignment="1" pivotButton="0" quotePrefix="0" xfId="0">
      <alignment vertical="top" wrapText="1"/>
    </xf>
    <xf numFmtId="0" fontId="5" fillId="63" borderId="1" applyAlignment="1" pivotButton="0" quotePrefix="0" xfId="0">
      <alignment vertical="top" wrapText="1"/>
    </xf>
    <xf numFmtId="0" fontId="0" fillId="97" borderId="1" applyAlignment="1" pivotButton="0" quotePrefix="0" xfId="0">
      <alignment vertical="top" wrapText="1"/>
    </xf>
    <xf numFmtId="0" fontId="5" fillId="35" borderId="1" applyAlignment="1" pivotButton="0" quotePrefix="0" xfId="0">
      <alignment vertical="top" wrapText="1"/>
    </xf>
    <xf numFmtId="0" fontId="32" fillId="2" borderId="0" pivotButton="0" quotePrefix="0" xfId="0"/>
    <xf numFmtId="0" fontId="4" fillId="3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33" fillId="8" borderId="0" applyAlignment="1" pivotButton="0" quotePrefix="0" xfId="0">
      <alignment vertical="top" wrapText="1"/>
    </xf>
    <xf numFmtId="0" fontId="31" fillId="0" borderId="0" applyAlignment="1" pivotButton="0" quotePrefix="0" xfId="0">
      <alignment vertical="top" wrapText="1"/>
    </xf>
    <xf numFmtId="0" fontId="5" fillId="98" borderId="1" applyAlignment="1" pivotButton="0" quotePrefix="0" xfId="0">
      <alignment vertical="top" wrapText="1"/>
    </xf>
    <xf numFmtId="0" fontId="5" fillId="99" borderId="1" applyAlignment="1" pivotButton="0" quotePrefix="0" xfId="0">
      <alignment vertical="top" wrapText="1"/>
    </xf>
    <xf numFmtId="0" fontId="5" fillId="100" borderId="1" applyAlignment="1" pivotButton="0" quotePrefix="0" xfId="0">
      <alignment vertical="top" wrapText="1"/>
    </xf>
    <xf numFmtId="0" fontId="5" fillId="101" borderId="1" applyAlignment="1" pivotButton="0" quotePrefix="0" xfId="0">
      <alignment vertical="top" wrapText="1"/>
    </xf>
    <xf numFmtId="0" fontId="34" fillId="0" borderId="0" applyAlignment="1" pivotButton="0" quotePrefix="0" xfId="0">
      <alignment vertical="top" wrapText="1"/>
    </xf>
    <xf numFmtId="0" fontId="34" fillId="8" borderId="0" applyAlignment="1" pivotButton="0" quotePrefix="0" xfId="0">
      <alignment vertical="top" wrapText="1"/>
    </xf>
    <xf numFmtId="0" fontId="35" fillId="0" borderId="0" applyAlignment="1" pivotButton="0" quotePrefix="0" xfId="0">
      <alignment vertical="top" wrapText="1"/>
    </xf>
    <xf numFmtId="0" fontId="34" fillId="6" borderId="0" applyAlignment="1" pivotButton="0" quotePrefix="0" xfId="0">
      <alignment vertical="top" wrapText="1"/>
    </xf>
    <xf numFmtId="0" fontId="35" fillId="83" borderId="0" applyAlignment="1" pivotButton="0" quotePrefix="0" xfId="0">
      <alignment vertical="top" wrapText="1"/>
    </xf>
    <xf numFmtId="0" fontId="35" fillId="76" borderId="0" applyAlignment="1" pivotButton="0" quotePrefix="0" xfId="0">
      <alignment vertical="top" wrapText="1"/>
    </xf>
    <xf numFmtId="0" fontId="7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8" fillId="8" borderId="6" applyAlignment="1" pivotButton="0" quotePrefix="0" xfId="0">
      <alignment vertical="top" wrapText="1"/>
    </xf>
    <xf numFmtId="0" fontId="24" fillId="8" borderId="6" applyAlignment="1" pivotButton="0" quotePrefix="0" xfId="0">
      <alignment vertical="top" wrapText="1"/>
    </xf>
    <xf numFmtId="0" fontId="25" fillId="8" borderId="6" applyAlignment="1" pivotButton="0" quotePrefix="0" xfId="0">
      <alignment vertical="top" wrapText="1"/>
    </xf>
    <xf numFmtId="0" fontId="0" fillId="8" borderId="0" pivotButton="0" quotePrefix="0" xfId="0"/>
    <xf numFmtId="0" fontId="36" fillId="8" borderId="0" pivotButton="0" quotePrefix="0" xfId="0"/>
    <xf numFmtId="0" fontId="5" fillId="8" borderId="1" pivotButton="0" quotePrefix="0" xfId="0"/>
    <xf numFmtId="0" fontId="13" fillId="8" borderId="1" pivotButton="0" quotePrefix="0" xfId="0"/>
    <xf numFmtId="0" fontId="13" fillId="8" borderId="1" applyAlignment="1" pivotButton="0" quotePrefix="0" xfId="0">
      <alignment vertical="top" wrapText="1"/>
    </xf>
    <xf numFmtId="0" fontId="2" fillId="6" borderId="1" pivotButton="0" quotePrefix="0" xfId="0"/>
    <xf numFmtId="0" fontId="37" fillId="6" borderId="0" pivotButton="0" quotePrefix="0" xfId="0"/>
    <xf numFmtId="0" fontId="37" fillId="0" borderId="0" pivotButton="0" quotePrefix="0" xfId="0"/>
    <xf numFmtId="0" fontId="0" fillId="8" borderId="0" applyAlignment="1" pivotButton="0" quotePrefix="0" xfId="0">
      <alignment vertical="top" wrapText="1"/>
    </xf>
    <xf numFmtId="0" fontId="2" fillId="8" borderId="1" pivotButton="0" quotePrefix="0" xfId="0"/>
    <xf numFmtId="0" fontId="6" fillId="8" borderId="1" pivotButton="0" quotePrefix="0" xfId="0"/>
    <xf numFmtId="0" fontId="38" fillId="102" borderId="0" pivotButton="0" quotePrefix="0" xfId="0"/>
    <xf numFmtId="0" fontId="38" fillId="103" borderId="0" pivotButton="0" quotePrefix="0" xfId="0"/>
    <xf numFmtId="0" fontId="38" fillId="104" borderId="0" pivotButton="0" quotePrefix="0" xfId="0"/>
    <xf numFmtId="0" fontId="38" fillId="105" borderId="0" pivotButton="0" quotePrefix="0" xfId="0"/>
    <xf numFmtId="0" fontId="4" fillId="6" borderId="0" applyAlignment="1" pivotButton="0" quotePrefix="0" xfId="0">
      <alignment vertical="top" wrapText="1"/>
    </xf>
    <xf numFmtId="0" fontId="32" fillId="2" borderId="0" applyAlignment="1" pivotButton="0" quotePrefix="0" xfId="0">
      <alignment vertical="top" wrapText="1"/>
    </xf>
    <xf numFmtId="0" fontId="3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ВАША РАСЧЁТНАЯ СТАВКА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prstDash val="solid"/>
              </a:ln>
            </spPr>
          </dPt>
          <cat>
            <numRef>
              <f>'06_Отчёт'!$A$56:$A$60</f>
            </numRef>
          </cat>
          <val>
            <numRef>
              <f>'06_Отчёт'!$B$56:$B$60</f>
            </numRef>
          </val>
        </ser>
        <dLbls>
          <showVal val="0"/>
          <showCatName val="0"/>
          <showPercent val="1"/>
        </dLbls>
        <firstSliceAng val="0"/>
        <holeSize val="52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ВАША ТЕКУЩАЯ СТАВКА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prstDash val="solid"/>
              </a:ln>
            </spPr>
          </dPt>
          <cat>
            <numRef>
              <f>'06_Отчёт'!$F$56:$F$60</f>
            </numRef>
          </cat>
          <val>
            <numRef>
              <f>'06_Отчёт'!$G$56:$G$60</f>
            </numRef>
          </val>
        </ser>
        <dLbls>
          <showVal val="0"/>
          <showCatName val="0"/>
          <showPercent val="1"/>
        </dLbls>
        <firstSliceAng val="0"/>
        <holeSize val="52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РАБОТА В НОЛЬ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prstDash val="solid"/>
              </a:ln>
            </spPr>
          </dPt>
          <cat>
            <numRef>
              <f>'06_Отчёт'!$K$56:$K$60</f>
            </numRef>
          </cat>
          <val>
            <numRef>
              <f>'06_Отчёт'!$L$56:$L$60</f>
            </numRef>
          </val>
        </ser>
        <dLbls>
          <showVal val="0"/>
          <showCatName val="0"/>
          <showPercent val="1"/>
        </dLbls>
        <firstSliceAng val="0"/>
        <holeSize val="52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62</row>
      <rowOff>0</rowOff>
    </from>
    <ext cx="378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62</row>
      <rowOff>0</rowOff>
    </from>
    <ext cx="378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62</row>
      <rowOff>0</rowOff>
    </from>
    <ext cx="3780000" cy="34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86" customWidth="1" min="2" max="2"/>
  </cols>
  <sheetData>
    <row r="1">
      <c r="A1" s="230" t="inlineStr">
        <is>
          <t>СЧЁТИКС · калькулятор стоимости часа</t>
        </is>
      </c>
    </row>
    <row r="2">
      <c r="A2" s="145" t="inlineStr">
        <is>
          <t>Расчёт юнит-экономики для фотографов и видеографов. Обновлено 5 августа 2026.</t>
        </is>
      </c>
    </row>
    <row r="3">
      <c r="A3" s="2" t="n"/>
    </row>
    <row r="4">
      <c r="A4" s="146" t="inlineStr">
        <is>
          <t>ИЗ ЧЕГО СОСТОИТ ПРОДУКТ — три файла</t>
        </is>
      </c>
      <c r="B4" s="147" t="n"/>
    </row>
    <row r="5">
      <c r="A5" s="148" t="inlineStr">
        <is>
          <t>Файл</t>
        </is>
      </c>
      <c r="B5" s="148" t="inlineStr">
        <is>
          <t>Что это и где живёт</t>
        </is>
      </c>
    </row>
    <row r="6" ht="32" customHeight="1">
      <c r="A6" s="149" t="inlineStr">
        <is>
          <t>Калькулятор_ставки_часа.xlsx</t>
        </is>
      </c>
      <c r="B6" s="152" t="inlineStr">
        <is>
          <t>ЭТА КНИГА. Вся логика, параметры, тексты и методика. Источник правды — правки начинаются здесь.</t>
        </is>
      </c>
    </row>
    <row r="7" ht="32" customHeight="1">
      <c r="A7" s="149" t="inlineStr">
        <is>
          <t>web/calc.html</t>
        </is>
      </c>
      <c r="B7" s="152" t="inlineStr">
        <is>
          <t>ФОРМА. 23 вопроса, считает результат, показывает краткий итог и блок оплаты. Ставится на Tilda как HTML-блок. Иконки вшиты внутрь, внешних файлов не требует.</t>
        </is>
      </c>
    </row>
    <row r="8" ht="32" customHeight="1">
      <c r="A8" s="149" t="inlineStr">
        <is>
          <t>web/report.html</t>
        </is>
      </c>
      <c r="B8" s="152" t="inlineStr">
        <is>
          <t>ПОЛНЫЙ ОТЧЁТ. 10 блоков, открывается после оплаты. Данные принимает из формы. Тоже автономный файл.</t>
        </is>
      </c>
    </row>
    <row r="9">
      <c r="A9" s="2" t="n"/>
    </row>
    <row r="10">
      <c r="A10" s="146" t="inlineStr">
        <is>
          <t>КАК УСТРОЕНА КНИГА — 19 листов</t>
        </is>
      </c>
      <c r="B10" s="147" t="n"/>
    </row>
    <row r="11">
      <c r="A11" s="148" t="inlineStr">
        <is>
          <t>Лист</t>
        </is>
      </c>
      <c r="B11" s="148" t="inlineStr">
        <is>
          <t>Назначение</t>
        </is>
      </c>
    </row>
    <row r="12" ht="32" customHeight="1">
      <c r="A12" s="149" t="inlineStr">
        <is>
          <t>00_Читать</t>
        </is>
      </c>
      <c r="B12" s="152" t="inlineStr">
        <is>
          <t>Этот лист — карта проекта</t>
        </is>
      </c>
    </row>
    <row r="13" ht="32" customHeight="1">
      <c r="A13" s="149" t="inlineStr">
        <is>
          <t>01_Глоссарий</t>
        </is>
      </c>
      <c r="B13" s="152" t="inlineStr">
        <is>
          <t>Термины: что такое ставка, амортизация, юнит-экономика</t>
        </is>
      </c>
    </row>
    <row r="14" ht="32" customHeight="1">
      <c r="A14" s="149" t="inlineStr">
        <is>
          <t>02_Параметры</t>
        </is>
      </c>
      <c r="B14" s="152" t="inlineStr">
        <is>
          <t>143 строки. Все входные величины и формулы через ID. ГЛАВНЫЙ лист для правки цифр</t>
        </is>
      </c>
    </row>
    <row r="15" ht="32" customHeight="1">
      <c r="A15" s="149" t="inlineStr">
        <is>
          <t>03_Каталоги</t>
        </is>
      </c>
      <c r="B15" s="152" t="inlineStr">
        <is>
          <t>Оборудование, ПО, реклама — построчно, с ценами и сроками службы</t>
        </is>
      </c>
    </row>
    <row r="16" ht="32" customHeight="1">
      <c r="A16" s="149" t="inlineStr">
        <is>
          <t>04_Итог / 05_Расчёт</t>
        </is>
      </c>
      <c r="B16" s="152" t="inlineStr">
        <is>
          <t>Свод и расчёт по семи налоговым режимам</t>
        </is>
      </c>
    </row>
    <row r="17" ht="32" customHeight="1">
      <c r="A17" s="149" t="inlineStr">
        <is>
          <t>06_Отчёт</t>
        </is>
      </c>
      <c r="B17" s="152" t="inlineStr">
        <is>
          <t>Все цифры отчёта: доход по ролям, расходы, сценарии</t>
        </is>
      </c>
    </row>
    <row r="18" ht="32" customHeight="1">
      <c r="A18" s="149" t="inlineStr">
        <is>
          <t>07_Интерфейс / 08_UI / 08b / 08c</t>
        </is>
      </c>
      <c r="B18" s="152" t="inlineStr">
        <is>
          <t>Структура формы и отчёта: какой блок за каким идёт</t>
        </is>
      </c>
    </row>
    <row r="19" ht="32" customHeight="1">
      <c r="A19" s="149" t="inlineStr">
        <is>
          <t>09_Тексты</t>
        </is>
      </c>
      <c r="B19" s="152" t="inlineStr">
        <is>
          <t>514 надписей. Колонка «Где находится» — поверхность (форма, отчёт, подсказки). Есть автофильтр</t>
        </is>
      </c>
    </row>
    <row r="20" ht="32" customHeight="1">
      <c r="A20" s="149" t="inlineStr">
        <is>
          <t>09b_Методика_цифр</t>
        </is>
      </c>
      <c r="B20" s="152" t="inlineStr">
        <is>
          <t>Как посчитана каждая цифра блока 09, откуда берутся рабочие паузы, правило округления</t>
        </is>
      </c>
    </row>
    <row r="21" ht="32" customHeight="1">
      <c r="A21" s="149" t="inlineStr">
        <is>
          <t>09e_Как_считается</t>
        </is>
      </c>
      <c r="B21" s="152" t="inlineStr">
        <is>
          <t>Полная цепочка расчёта ставки часа: 10 шагов от календаря до цены, с формулами и проверкой сходимости</t>
        </is>
      </c>
    </row>
    <row r="22" ht="32" customHeight="1">
      <c r="A22" s="149" t="inlineStr">
        <is>
          <t>09c_Палитра</t>
        </is>
      </c>
      <c r="B22" s="152" t="inlineStr">
        <is>
          <t>68 цветов. Единая система для формы и отчёта</t>
        </is>
      </c>
    </row>
    <row r="23" ht="32" customHeight="1">
      <c r="A23" s="149" t="inlineStr">
        <is>
          <t>10_Монетизация / 11_Ссылки</t>
        </is>
      </c>
      <c r="B23" s="152" t="inlineStr">
        <is>
          <t>Цена продукта, источники данных</t>
        </is>
      </c>
    </row>
    <row r="24">
      <c r="A24" s="149" t="inlineStr">
        <is>
          <t>12_Диаграммы / 13_Сетка_скидок / 14_Опрос</t>
        </is>
      </c>
      <c r="B24" s="152" t="inlineStr">
        <is>
          <t>Данные для графиков, скидки за объём, опрос в форме</t>
        </is>
      </c>
    </row>
    <row r="25">
      <c r="A25" s="2" t="n"/>
    </row>
    <row r="26">
      <c r="A26" s="146" t="inlineStr">
        <is>
          <t>ЧТО ГДЕ ПРАВИТЬ</t>
        </is>
      </c>
      <c r="B26" s="147" t="n"/>
    </row>
    <row r="27" ht="32" customHeight="1">
      <c r="A27" s="148" t="inlineStr">
        <is>
          <t>Задача</t>
        </is>
      </c>
      <c r="B27" s="148" t="inlineStr">
        <is>
          <t>Куда идти</t>
        </is>
      </c>
    </row>
    <row r="28" ht="32" customHeight="1">
      <c r="A28" s="149" t="inlineStr">
        <is>
          <t>Поменять текст надписи</t>
        </is>
      </c>
      <c r="B28" s="152" t="inlineStr">
        <is>
          <t>09_Тексты → найти по ключу → колонка «Текст». Ключ виден в HTML как data-t="..."</t>
        </is>
      </c>
    </row>
    <row r="29" ht="32" customHeight="1">
      <c r="A29" s="149" t="inlineStr">
        <is>
          <t>Поменять цифру или формулу</t>
        </is>
      </c>
      <c r="B29" s="152" t="inlineStr">
        <is>
          <t>02_Параметры → колонка «Значение»</t>
        </is>
      </c>
    </row>
    <row r="30" ht="32" customHeight="1">
      <c r="A30" s="149" t="inlineStr">
        <is>
          <t>Поменять цвет</t>
        </is>
      </c>
      <c r="B30" s="152" t="inlineStr">
        <is>
          <t>09c_Палитра → HEX. Затем тот же токен в :root обоих HTML</t>
        </is>
      </c>
    </row>
    <row r="31" ht="32" customHeight="1">
      <c r="A31" s="149" t="inlineStr">
        <is>
          <t>Добавить оборудование</t>
        </is>
      </c>
      <c r="B31" s="152" t="inlineStr">
        <is>
          <t>03_Каталоги → новая строка с кодом формы</t>
        </is>
      </c>
    </row>
    <row r="32">
      <c r="A32" s="149" t="inlineStr">
        <is>
          <t>Изменить порядок блоков</t>
        </is>
      </c>
      <c r="B32" s="152" t="inlineStr">
        <is>
          <t>08c_Структура_отчёта</t>
        </is>
      </c>
    </row>
    <row r="33">
      <c r="A33" s="2" t="n"/>
    </row>
    <row r="34">
      <c r="A34" s="146" t="inlineStr">
        <is>
          <t>ПЕРЕД ПУБЛИКАЦИЕЙ — обязательно</t>
        </is>
      </c>
      <c r="B34" s="147" t="n"/>
    </row>
    <row r="35" ht="32" customHeight="1">
      <c r="A35" s="148" t="inlineStr">
        <is>
          <t>Что</t>
        </is>
      </c>
      <c r="B35" s="148" t="inlineStr">
        <is>
          <t>Где в calc.html</t>
        </is>
      </c>
    </row>
    <row r="36" ht="32" customHeight="1">
      <c r="A36" s="149" t="inlineStr">
        <is>
          <t>DEV_NO_BLUR = false</t>
        </is>
      </c>
      <c r="B36" s="152" t="inlineStr">
        <is>
          <t>сейчас true — отчёт не размыт, виден бесплатно</t>
        </is>
      </c>
    </row>
    <row r="37" ht="32" customHeight="1">
      <c r="A37" s="149" t="inlineStr">
        <is>
          <t>YM_ID = номер счётчика</t>
        </is>
      </c>
      <c r="B37" s="152" t="inlineStr">
        <is>
          <t>сейчас 0 — Яндекс.Метрика не подключена</t>
        </is>
      </c>
    </row>
    <row r="38" ht="32" customHeight="1">
      <c r="A38" s="149" t="inlineStr">
        <is>
          <t>PAY_URL = ссылка оплаты</t>
        </is>
      </c>
      <c r="B38" s="152" t="inlineStr">
        <is>
          <t>сейчас '#order' — заглушка</t>
        </is>
      </c>
    </row>
    <row r="39">
      <c r="A39" s="149" t="inlineStr">
        <is>
          <t>Связка форма → отчёт</t>
        </is>
      </c>
      <c r="B39" s="152" t="inlineStr">
        <is>
          <t>форма пока не передаёт данные в отчёт, отчёт показывает демо-набор</t>
        </is>
      </c>
    </row>
    <row r="40">
      <c r="A40" s="2" t="n"/>
    </row>
    <row r="41">
      <c r="A41" s="145" t="inlineStr">
        <is>
          <t>Папка _архив — старые версии и черновики. Для работы не нужны, удалять не обязательно.</t>
        </is>
      </c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2" t="n"/>
    </row>
    <row r="48">
      <c r="A48" s="2" t="n"/>
    </row>
    <row r="49">
      <c r="A49" s="2" t="n"/>
    </row>
    <row r="50">
      <c r="A50" s="2" t="n"/>
    </row>
    <row r="51">
      <c r="A51" s="2" t="n"/>
    </row>
    <row r="52">
      <c r="A52" s="2" t="n"/>
    </row>
    <row r="53">
      <c r="A53" s="2" t="n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1" customWidth="1" min="3" max="3"/>
    <col width="62" customWidth="1" min="4" max="4"/>
    <col width="34" customWidth="1" min="5" max="5"/>
  </cols>
  <sheetData>
    <row r="1">
      <c r="A1" s="1" t="inlineStr">
        <is>
          <t>01 · ГЛОССАРИЙ — понятия, типы, обозначения</t>
        </is>
      </c>
    </row>
    <row r="3">
      <c r="A3" s="3" t="inlineStr">
        <is>
          <t>A · МАРКЕРЫ ТИПОВ</t>
        </is>
      </c>
    </row>
    <row r="4">
      <c r="A4" s="4" t="inlineStr">
        <is>
          <t>Наименование</t>
        </is>
      </c>
      <c r="B4" s="4" t="inlineStr">
        <is>
          <t>ID</t>
        </is>
      </c>
      <c r="C4" s="4" t="inlineStr">
        <is>
          <t>Тип</t>
        </is>
      </c>
      <c r="D4" s="4" t="inlineStr">
        <is>
          <t>Описание</t>
        </is>
      </c>
      <c r="E4" s="4" t="inlineStr">
        <is>
          <t>Формула / значение</t>
        </is>
      </c>
    </row>
    <row r="5">
      <c r="A5" s="5" t="inlineStr">
        <is>
          <t>Константа</t>
        </is>
      </c>
      <c r="B5" s="6" t="inlineStr">
        <is>
          <t>const</t>
        </is>
      </c>
      <c r="C5" s="7" t="inlineStr">
        <is>
          <t>meta</t>
        </is>
      </c>
      <c r="D5" s="5" t="inlineStr">
        <is>
          <t>Аксиома из достоверного источника: закон, производственный календарь. Пользователь не меняет</t>
        </is>
      </c>
      <c r="E5" s="5" t="inlineStr">
        <is>
          <t>247 дня, 57 390 ₽</t>
        </is>
      </c>
    </row>
    <row r="6">
      <c r="A6" s="5" t="inlineStr">
        <is>
          <t>Значение по умолчанию</t>
        </is>
      </c>
      <c r="B6" s="6" t="inlineStr">
        <is>
          <t>default</t>
        </is>
      </c>
      <c r="C6" s="7" t="inlineStr">
        <is>
          <t>meta</t>
        </is>
      </c>
      <c r="D6" s="5" t="inlineStr">
        <is>
          <t>Предзаполнено нами, пользователь может изменить</t>
        </is>
      </c>
      <c r="E6" s="5" t="inlineStr">
        <is>
          <t>доход 108 999 ₽</t>
        </is>
      </c>
    </row>
    <row r="7">
      <c r="A7" s="5" t="inlineStr">
        <is>
          <t>Формула</t>
        </is>
      </c>
      <c r="B7" s="6" t="inlineStr">
        <is>
          <t>calc</t>
        </is>
      </c>
      <c r="C7" s="7" t="inlineStr">
        <is>
          <t>meta</t>
        </is>
      </c>
      <c r="D7" s="5" t="inlineStr">
        <is>
          <t>Вычисляется из других величин, ввод недоступен</t>
        </is>
      </c>
      <c r="E7" s="5" t="inlineStr">
        <is>
          <t>net_time-side_time</t>
        </is>
      </c>
    </row>
    <row r="8">
      <c r="A8" s="5" t="inlineStr">
        <is>
          <t>Переключатель</t>
        </is>
      </c>
      <c r="B8" s="6" t="inlineStr">
        <is>
          <t>switch</t>
        </is>
      </c>
      <c r="C8" s="7" t="inlineStr">
        <is>
          <t>meta</t>
        </is>
      </c>
      <c r="D8" s="5" t="inlineStr">
        <is>
          <t>Выпадающий список. Меняет ВЕТКУ расчёта, а не только число</t>
        </is>
      </c>
      <c r="E8" s="5" t="inlineStr">
        <is>
          <t>«Работаю из дома» / «Арендую»</t>
        </is>
      </c>
    </row>
    <row r="9">
      <c r="A9" s="5" t="inlineStr">
        <is>
          <t>Служебное понятие</t>
        </is>
      </c>
      <c r="B9" s="6" t="inlineStr">
        <is>
          <t>meta</t>
        </is>
      </c>
      <c r="C9" s="7" t="inlineStr">
        <is>
          <t>meta</t>
        </is>
      </c>
      <c r="D9" s="5" t="inlineStr">
        <is>
          <t>Описывает устройство реестра, а не предметную область</t>
        </is>
      </c>
      <c r="E9" s="5" t="inlineStr">
        <is>
          <t>block, form, section</t>
        </is>
      </c>
    </row>
    <row r="10">
      <c r="A10" s="5" t="inlineStr">
        <is>
          <t>Тип поля интерфейса</t>
        </is>
      </c>
      <c r="B10" s="6" t="inlineStr">
        <is>
          <t>ui</t>
        </is>
      </c>
      <c r="C10" s="7" t="inlineStr">
        <is>
          <t>meta</t>
        </is>
      </c>
      <c r="D10" s="5" t="inlineStr">
        <is>
          <t>Способ ввода в калькуляторе</t>
        </is>
      </c>
      <c r="E10" s="5" t="inlineStr">
        <is>
          <t>input_number, dropdown</t>
        </is>
      </c>
    </row>
    <row r="11">
      <c r="A11" s="3" t="inlineStr">
        <is>
          <t>B · ВРЕМЯ — иерархия по вашему определению (ГЛАВНОЕ)</t>
        </is>
      </c>
    </row>
    <row r="12">
      <c r="A12" s="4" t="inlineStr">
        <is>
          <t>Наименование</t>
        </is>
      </c>
      <c r="B12" s="4" t="inlineStr">
        <is>
          <t>ID</t>
        </is>
      </c>
      <c r="C12" s="4" t="inlineStr">
        <is>
          <t>Тип</t>
        </is>
      </c>
      <c r="D12" s="4" t="inlineStr">
        <is>
          <t>Описание</t>
        </is>
      </c>
      <c r="E12" s="4" t="inlineStr">
        <is>
          <t>Формула / значение</t>
        </is>
      </c>
    </row>
    <row r="13">
      <c r="A13" s="5" t="inlineStr">
        <is>
          <t>Рабочее время</t>
        </is>
      </c>
      <c r="B13" s="6" t="inlineStr">
        <is>
          <t>work_time</t>
        </is>
      </c>
      <c r="C13" s="7" t="inlineStr">
        <is>
          <t>calc</t>
        </is>
      </c>
      <c r="D13" s="5" t="inlineStr">
        <is>
          <t>Производственный календарь без выходных и праздников. Справочно, в расчёте не участвует</t>
        </is>
      </c>
      <c r="E13" s="5" t="inlineStr">
        <is>
          <t>247 × 8 = 1 976 ч/год</t>
        </is>
      </c>
    </row>
    <row r="14">
      <c r="A14" s="8" t="inlineStr">
        <is>
          <t>ЧИСТОЕ время</t>
        </is>
      </c>
      <c r="B14" s="9" t="inlineStr">
        <is>
          <t>net_time</t>
        </is>
      </c>
      <c r="C14" s="10" t="inlineStr">
        <is>
          <t>calc</t>
        </is>
      </c>
      <c r="D14" s="8" t="inlineStr">
        <is>
          <t>Рабочее минус отпуск, больничный и час в день на перерывы. ВЕРХНИЙ УРОВЕНЬ — всё доступное время</t>
        </is>
      </c>
      <c r="E14" s="8" t="inlineStr">
        <is>
          <t>(247−20−8) × 7 = 1 533 ч/год</t>
        </is>
      </c>
    </row>
    <row r="15">
      <c r="A15" s="11" t="inlineStr">
        <is>
          <t>ОПЕРАЦИОННОЕ время</t>
        </is>
      </c>
      <c r="B15" s="12" t="inlineStr">
        <is>
          <t>side_time</t>
        </is>
      </c>
      <c r="C15" s="13" t="inlineStr">
        <is>
          <t>calc</t>
        </is>
      </c>
      <c r="D15" s="11" t="inlineStr">
        <is>
          <t>Второстепенные операции: продвижение и учёт. Клиенту напрямую не продаётся</t>
        </is>
      </c>
      <c r="E15" s="11" t="inlineStr">
        <is>
          <t>438 + 12 = 450 ч/год</t>
        </is>
      </c>
    </row>
    <row r="16">
      <c r="A16" s="5" t="inlineStr">
        <is>
          <t>Время на заказы до резерва</t>
        </is>
      </c>
      <c r="B16" s="6" t="inlineStr">
        <is>
          <t>pool_gross</t>
        </is>
      </c>
      <c r="C16" s="7" t="inlineStr">
        <is>
          <t>calc</t>
        </is>
      </c>
      <c r="D16" s="5" t="inlineStr">
        <is>
          <t>Чистое минус операционное. Промежуточная величина перед вычетом резерва</t>
        </is>
      </c>
      <c r="E16" s="5" t="inlineStr">
        <is>
          <t>1 533 − 450 = 1 083 ч/год</t>
        </is>
      </c>
    </row>
    <row r="17">
      <c r="A17" s="14" t="inlineStr">
        <is>
          <t>Резерв на форс-мажоры</t>
        </is>
      </c>
      <c r="B17" s="15" t="inlineStr">
        <is>
          <t>fm_time</t>
        </is>
      </c>
      <c r="C17" s="16" t="inlineStr">
        <is>
          <t>calc</t>
        </is>
      </c>
      <c r="D17" s="14" t="inlineStr">
        <is>
          <t>Перенос и отмена съёмок, срывы по вине клиента, повторные выезды. Процент от времени на заказы</t>
        </is>
      </c>
      <c r="E17" s="14" t="inlineStr">
        <is>
          <t>5% × 1 083 = 54,15 ч/год</t>
        </is>
      </c>
    </row>
    <row r="18">
      <c r="A18" s="8" t="inlineStr">
        <is>
          <t>ПРОЕКТНОЕ время за год</t>
        </is>
      </c>
      <c r="B18" s="9" t="inlineStr">
        <is>
          <t>project_pool</t>
        </is>
      </c>
      <c r="C18" s="10" t="inlineStr">
        <is>
          <t>calc</t>
        </is>
      </c>
      <c r="D18" s="8" t="inlineStr">
        <is>
          <t>Всё, что реально остаётся на выполнение проектов. После вычета резерва</t>
        </is>
      </c>
      <c r="E18" s="8" t="inlineStr">
        <is>
          <t>1 083 − 54,15 = 1 028,85 ч/год</t>
        </is>
      </c>
    </row>
    <row r="19">
      <c r="A19" s="11" t="inlineStr">
        <is>
          <t>Проектное время на 1 проект</t>
        </is>
      </c>
      <c r="B19" s="12" t="inlineStr">
        <is>
          <t>project_time</t>
        </is>
      </c>
      <c r="C19" s="13" t="inlineStr">
        <is>
          <t>calc</t>
        </is>
      </c>
      <c r="D19" s="11" t="inlineStr">
        <is>
          <t>Реализация одного заказа: S × (1+коэф.) + 1 час клиента</t>
        </is>
      </c>
      <c r="E19" s="11" t="inlineStr">
        <is>
          <t>6×4 + 1 = 25 ч/проект</t>
        </is>
      </c>
    </row>
    <row r="20">
      <c r="A20" s="8" t="inlineStr">
        <is>
          <t>ПРОФИЛЬНОЕ время</t>
        </is>
      </c>
      <c r="B20" s="9" t="inlineStr">
        <is>
          <t>core_time</t>
        </is>
      </c>
      <c r="C20" s="10" t="inlineStr">
        <is>
          <t>calc</t>
        </is>
      </c>
      <c r="D20" s="8" t="inlineStr">
        <is>
          <t>Работа по профилю: съёмка и обработка ВМЕСТЕ. Равно S × (1+коэф.). БЕЗ клиента</t>
        </is>
      </c>
      <c r="E20" s="8" t="inlineStr">
        <is>
          <t>262,80 + 788,40 = 1 051,20 ч/год</t>
        </is>
      </c>
    </row>
    <row r="21">
      <c r="A21" s="8" t="inlineStr">
        <is>
          <t>СЪЁМОЧНОЕ время (S)</t>
        </is>
      </c>
      <c r="B21" s="9" t="inlineStr">
        <is>
          <t>shooting_time</t>
        </is>
      </c>
      <c r="C21" s="10" t="inlineStr">
        <is>
          <t>calc</t>
        </is>
      </c>
      <c r="D21" s="8" t="inlineStr">
        <is>
          <t>Работа на площадке. Обозначается S. ЦЕЛЬ РАСЧЁТА и знаменатель ставки</t>
        </is>
      </c>
      <c r="E21" s="8" t="inlineStr">
        <is>
          <t>43,80 × 6 = 262,80 ч/год</t>
        </is>
      </c>
    </row>
    <row r="22">
      <c r="A22" s="5" t="inlineStr">
        <is>
          <t>Постпродакшн</t>
        </is>
      </c>
      <c r="B22" s="6" t="inlineStr">
        <is>
          <t>post_time</t>
        </is>
      </c>
      <c r="C22" s="7" t="inlineStr">
        <is>
          <t>calc</t>
        </is>
      </c>
      <c r="D22" s="5" t="inlineStr">
        <is>
          <t>Обработка материала. S × коэффициент на каждый проект</t>
        </is>
      </c>
      <c r="E22" s="5" t="inlineStr">
        <is>
          <t>262,80 × 3 = 788,40 ч/год</t>
        </is>
      </c>
    </row>
    <row r="23">
      <c r="A23" s="5" t="inlineStr">
        <is>
          <t>Работа с клиентом</t>
        </is>
      </c>
      <c r="B23" s="6" t="inlineStr">
        <is>
          <t>client_total</t>
        </is>
      </c>
      <c r="C23" s="7" t="inlineStr">
        <is>
          <t>calc</t>
        </is>
      </c>
      <c r="D23" s="5" t="inlineStr">
        <is>
          <t>Продажа, согласования, организация. 1 час НА КАЖДЫЙ проект: чем короче съёмки, тем больше проектов и тем больше суммарных клиентских часов</t>
        </is>
      </c>
      <c r="E23" s="5" t="inlineStr">
        <is>
          <t>проектов × 1 ч</t>
        </is>
      </c>
    </row>
    <row r="24">
      <c r="A24" s="5" t="inlineStr">
        <is>
          <t>Продвижение</t>
        </is>
      </c>
      <c r="B24" s="6" t="inlineStr">
        <is>
          <t>promo_time</t>
        </is>
      </c>
      <c r="C24" s="7" t="inlineStr">
        <is>
          <t>calc</t>
        </is>
      </c>
      <c r="D24" s="5" t="inlineStr">
        <is>
          <t>Часы на поиск заказов: соцсети, отклики</t>
        </is>
      </c>
      <c r="E24" s="5" t="inlineStr">
        <is>
          <t>2 × 219 = 438 ч/год</t>
        </is>
      </c>
    </row>
    <row r="25">
      <c r="A25" s="5" t="inlineStr">
        <is>
          <t>Учёт и планирование</t>
        </is>
      </c>
      <c r="B25" s="6" t="inlineStr">
        <is>
          <t>accounting_time</t>
        </is>
      </c>
      <c r="C25" s="7" t="inlineStr">
        <is>
          <t>calc</t>
        </is>
      </c>
      <c r="D25" s="5" t="inlineStr">
        <is>
          <t>Часы на бухгалтерию, если ведёте сами. При найме бухгалтера = 0</t>
        </is>
      </c>
      <c r="E25" s="5" t="inlineStr">
        <is>
          <t>3 × 4 = 12 ч/год</t>
        </is>
      </c>
    </row>
    <row r="26">
      <c r="A26" s="14" t="inlineStr">
        <is>
          <t>Коэффициент обработки</t>
        </is>
      </c>
      <c r="B26" s="15" t="inlineStr">
        <is>
          <t>post_ratio</t>
        </is>
      </c>
      <c r="C26" s="16" t="inlineStr">
        <is>
          <t>default</t>
        </is>
      </c>
      <c r="D26" s="14" t="inlineStr">
        <is>
          <t>Часов обработки на 1 час съёмки. По умолчанию 3, пользователь меняет под свой жанр</t>
        </is>
      </c>
      <c r="E26" s="14" t="inlineStr">
        <is>
          <t>3 (свадьба больше, репортаж меньше)</t>
        </is>
      </c>
    </row>
    <row r="27">
      <c r="A27" s="14" t="inlineStr">
        <is>
          <t>Резерв на форс-мажоры</t>
        </is>
      </c>
      <c r="B27" s="15" t="inlineStr">
        <is>
          <t>fm_on</t>
        </is>
      </c>
      <c r="C27" s="16" t="inlineStr">
        <is>
          <t>switch</t>
        </is>
      </c>
      <c r="D27" s="14" t="inlineStr">
        <is>
          <t>Включён по умолчанию, 5%. Поле процента редактируется пользователем</t>
        </is>
      </c>
      <c r="E27" s="14" t="inlineStr">
        <is>
          <t>Заложить / Не закладывать</t>
        </is>
      </c>
    </row>
    <row r="28">
      <c r="A28" s="5" t="inlineStr">
        <is>
          <t>Множитель профильного</t>
        </is>
      </c>
      <c r="B28" s="6" t="inlineStr">
        <is>
          <t>profile_multiplier</t>
        </is>
      </c>
      <c r="C28" s="7" t="inlineStr">
        <is>
          <t>calc</t>
        </is>
      </c>
      <c r="D28" s="5" t="inlineStr">
        <is>
          <t>1 + коэффициент обработки. Во столько раз профильное время больше съёмочного</t>
        </is>
      </c>
      <c r="E28" s="5" t="inlineStr">
        <is>
          <t>1 + 3 = 4</t>
        </is>
      </c>
    </row>
    <row r="29">
      <c r="A29" s="5" t="inlineStr">
        <is>
          <t>Проектов в год</t>
        </is>
      </c>
      <c r="B29" s="6" t="inlineStr">
        <is>
          <t>projects_year</t>
        </is>
      </c>
      <c r="C29" s="7" t="inlineStr">
        <is>
          <t>calc</t>
        </is>
      </c>
      <c r="D29" s="5" t="inlineStr">
        <is>
          <t>Сколько проектов помещается в проектное время</t>
        </is>
      </c>
      <c r="E29" s="5" t="inlineStr">
        <is>
          <t>1 095 / 25 = 43,80 = число недель</t>
        </is>
      </c>
    </row>
    <row r="30">
      <c r="A30" s="3" t="inlineStr">
        <is>
          <t>C · ПРОВЕРКА ИЕРАРХИИ — три равенства, которые всегда верны</t>
        </is>
      </c>
    </row>
    <row r="31">
      <c r="A31" s="4" t="inlineStr">
        <is>
          <t>Наименование</t>
        </is>
      </c>
      <c r="B31" s="4" t="inlineStr">
        <is>
          <t>ID</t>
        </is>
      </c>
      <c r="C31" s="4" t="inlineStr">
        <is>
          <t>Тип</t>
        </is>
      </c>
      <c r="D31" s="4" t="inlineStr">
        <is>
          <t>Описание</t>
        </is>
      </c>
      <c r="E31" s="4" t="inlineStr">
        <is>
          <t>Формула / значение</t>
        </is>
      </c>
    </row>
    <row r="32">
      <c r="A32" s="5" t="inlineStr">
        <is>
          <t>Первый уровень</t>
        </is>
      </c>
      <c r="B32" s="6" t="inlineStr">
        <is>
          <t>—</t>
        </is>
      </c>
      <c r="C32" s="7" t="inlineStr">
        <is>
          <t>meta</t>
        </is>
      </c>
      <c r="D32" s="5" t="inlineStr">
        <is>
          <t>ОПЕРАЦИОННОЕ + РЕЗЕРВ + ПРОЕКТНОЕ = ЧИСТОЕ</t>
        </is>
      </c>
      <c r="E32" s="5" t="inlineStr">
        <is>
          <t>450 + 54,15 + 1 028,85 = 1 533 ✓</t>
        </is>
      </c>
    </row>
    <row r="33">
      <c r="A33" s="5" t="inlineStr">
        <is>
          <t>Второй уровень</t>
        </is>
      </c>
      <c r="B33" s="6" t="inlineStr">
        <is>
          <t>—</t>
        </is>
      </c>
      <c r="C33" s="7" t="inlineStr">
        <is>
          <t>meta</t>
        </is>
      </c>
      <c r="D33" s="5" t="inlineStr">
        <is>
          <t>ПРОФИЛЬНОЕ + работа с клиентом = ПРОЕКТНОЕ</t>
        </is>
      </c>
      <c r="E33" s="5" t="inlineStr">
        <is>
          <t>985,05 + 43,80 = 1 028,85 ✓</t>
        </is>
      </c>
    </row>
    <row r="34">
      <c r="A34" s="5" t="inlineStr">
        <is>
          <t>Третий уровень</t>
        </is>
      </c>
      <c r="B34" s="6" t="inlineStr">
        <is>
          <t>—</t>
        </is>
      </c>
      <c r="C34" s="7" t="inlineStr">
        <is>
          <t>meta</t>
        </is>
      </c>
      <c r="D34" s="5" t="inlineStr">
        <is>
          <t>СЪЁМОЧНОЕ + постпродакшн = ПРОФИЛЬНОЕ</t>
        </is>
      </c>
      <c r="E34" s="5" t="inlineStr">
        <is>
          <t>246,26 + 738,79 = 985,05 ✓</t>
        </is>
      </c>
    </row>
    <row r="35">
      <c r="A35" s="3" t="inlineStr">
        <is>
          <t>D · ПЕРЕКЛЮЧАТЕЛИ — шесть точек выбора пользователя</t>
        </is>
      </c>
    </row>
    <row r="36">
      <c r="A36" s="4" t="inlineStr">
        <is>
          <t>Наименование</t>
        </is>
      </c>
      <c r="B36" s="4" t="inlineStr">
        <is>
          <t>ID</t>
        </is>
      </c>
      <c r="C36" s="4" t="inlineStr">
        <is>
          <t>Тип</t>
        </is>
      </c>
      <c r="D36" s="4" t="inlineStr">
        <is>
          <t>Описание</t>
        </is>
      </c>
      <c r="E36" s="4" t="inlineStr">
        <is>
          <t>Формула / значение</t>
        </is>
      </c>
    </row>
    <row r="37">
      <c r="A37" s="14" t="inlineStr">
        <is>
          <t>Режим налогообложения</t>
        </is>
      </c>
      <c r="B37" s="15" t="inlineStr">
        <is>
          <t>regime</t>
        </is>
      </c>
      <c r="C37" s="16" t="inlineStr">
        <is>
          <t>switch</t>
        </is>
      </c>
      <c r="D37" s="14" t="inlineStr">
        <is>
          <t>Семь вариантов. По умолчанию НПД средняя 5%</t>
        </is>
      </c>
      <c r="E37" s="14" t="inlineStr">
        <is>
          <t>Form015 · Block4</t>
        </is>
      </c>
    </row>
    <row r="38">
      <c r="A38" s="8" t="inlineStr">
        <is>
          <t>Час проектного времени</t>
        </is>
      </c>
      <c r="B38" s="9" t="inlineStr">
        <is>
          <t>hour_pool</t>
        </is>
      </c>
      <c r="C38" s="10" t="inlineStr">
        <is>
          <t>calc</t>
        </is>
      </c>
      <c r="D38" s="8" t="inlineStr">
        <is>
          <t>Выручка / проектное время. ПОСТОЯННАЯ величина: база для сетки объёмных скидок</t>
        </is>
      </c>
      <c r="E38" s="8" t="inlineStr">
        <is>
          <t>2 138 693 / 1 028,85 = 2 079 ₽</t>
        </is>
      </c>
    </row>
    <row r="39">
      <c r="A39" s="14" t="inlineStr">
        <is>
          <t>Рабочее место</t>
        </is>
      </c>
      <c r="B39" s="15" t="inlineStr">
        <is>
          <t>ws_mode</t>
        </is>
      </c>
      <c r="C39" s="16" t="inlineStr">
        <is>
          <t>switch</t>
        </is>
      </c>
      <c r="D39" s="14" t="inlineStr">
        <is>
          <t>Дома — аренда по доле метров плюс коммуналка целиком. Аренда — помещение целиком</t>
        </is>
      </c>
      <c r="E39" s="14" t="inlineStr">
        <is>
          <t>Form005 · Block9</t>
        </is>
      </c>
    </row>
    <row r="40">
      <c r="A40" s="14" t="inlineStr">
        <is>
          <t>Живу в своём</t>
        </is>
      </c>
      <c r="B40" s="15" t="inlineStr">
        <is>
          <t>own_home</t>
        </is>
      </c>
      <c r="C40" s="16" t="inlineStr">
        <is>
          <t>switch</t>
        </is>
      </c>
      <c r="D40" s="14" t="inlineStr">
        <is>
          <t>Если жильё своё и ипотеки нет — плата за жильё обнуляется, коммуналка остаётся</t>
        </is>
      </c>
      <c r="E40" s="14" t="inlineStr">
        <is>
          <t>Form005 · Block9</t>
        </is>
      </c>
    </row>
    <row r="41">
      <c r="A41" s="14" t="inlineStr">
        <is>
          <t>Учёт и планирование</t>
        </is>
      </c>
      <c r="B41" s="15" t="inlineStr">
        <is>
          <t>acc_mode</t>
        </is>
      </c>
      <c r="C41" s="16" t="inlineStr">
        <is>
          <t>switch</t>
        </is>
      </c>
      <c r="D41" s="14" t="inlineStr">
        <is>
          <t>Нанимаю бухгалтера — расход 120 000 ₽, время 0. Веду сам — расход 0, время 12 ч</t>
        </is>
      </c>
      <c r="E41" s="14" t="inlineStr">
        <is>
          <t>Form011 · Block14</t>
        </is>
      </c>
    </row>
    <row r="42">
      <c r="A42" s="14" t="inlineStr">
        <is>
          <t>Создание сайта</t>
        </is>
      </c>
      <c r="B42" s="15" t="inlineStr">
        <is>
          <t>site_mode</t>
        </is>
      </c>
      <c r="C42" s="16" t="inlineStr">
        <is>
          <t>switch</t>
        </is>
      </c>
      <c r="D42" s="14" t="inlineStr">
        <is>
          <t>Нанимал — цена подрядчика. Делал сам — часы × полная ставка рабочего часа</t>
        </is>
      </c>
      <c r="E42" s="14" t="inlineStr">
        <is>
          <t>Form014 · Block12</t>
        </is>
      </c>
    </row>
    <row r="43">
      <c r="A43" s="14" t="inlineStr">
        <is>
          <t>Упущенная выгода</t>
        </is>
      </c>
      <c r="B43" s="15" t="inlineStr">
        <is>
          <t>edu_mode</t>
        </is>
      </c>
      <c r="C43" s="16" t="inlineStr">
        <is>
          <t>switch</t>
        </is>
      </c>
      <c r="D43" s="14" t="inlineStr">
        <is>
          <t>Учитывать — добавляет месяцы учёбы × доход. Только стоимость — 0</t>
        </is>
      </c>
      <c r="E43" s="14" t="inlineStr">
        <is>
          <t>Form006 · Block10</t>
        </is>
      </c>
    </row>
    <row r="44">
      <c r="A44" s="14" t="inlineStr">
        <is>
          <t>Период платежа</t>
        </is>
      </c>
      <c r="B44" s="15" t="inlineStr">
        <is>
          <t>—</t>
        </is>
      </c>
      <c r="C44" s="16" t="inlineStr">
        <is>
          <t>switch</t>
        </is>
      </c>
      <c r="D44" s="14" t="inlineStr">
        <is>
          <t>Год / Квартал / Месяц. Множитель платежей в год: 1 / 4 / 12</t>
        </is>
      </c>
      <c r="E44" s="14" t="inlineStr">
        <is>
          <t>03_Каталоги, столбец «Период»</t>
        </is>
      </c>
    </row>
    <row r="45">
      <c r="A45" s="3" t="inlineStr">
        <is>
          <t>E · ДЕНЬГИ</t>
        </is>
      </c>
    </row>
    <row r="46">
      <c r="A46" s="4" t="inlineStr">
        <is>
          <t>Наименование</t>
        </is>
      </c>
      <c r="B46" s="4" t="inlineStr">
        <is>
          <t>ID</t>
        </is>
      </c>
      <c r="C46" s="4" t="inlineStr">
        <is>
          <t>Тип</t>
        </is>
      </c>
      <c r="D46" s="4" t="inlineStr">
        <is>
          <t>Описание</t>
        </is>
      </c>
      <c r="E46" s="4" t="inlineStr">
        <is>
          <t>Формула / значение</t>
        </is>
      </c>
    </row>
    <row r="47">
      <c r="A47" s="8" t="inlineStr">
        <is>
          <t>Желаемый доход</t>
        </is>
      </c>
      <c r="B47" s="9" t="inlineStr">
        <is>
          <t>target_income</t>
        </is>
      </c>
      <c r="C47" s="10" t="inlineStr">
        <is>
          <t>calc</t>
        </is>
      </c>
      <c r="D47" s="8" t="inlineStr">
        <is>
          <t>Сумма на руки за год. Точка отсчёта всего расчёта</t>
        </is>
      </c>
      <c r="E47" s="8" t="inlineStr">
        <is>
          <t>108 999 × 12 = 1 307 988 ₽</t>
        </is>
      </c>
    </row>
    <row r="48">
      <c r="A48" s="8" t="inlineStr">
        <is>
          <t>Выручка</t>
        </is>
      </c>
      <c r="B48" s="9" t="inlineStr">
        <is>
          <t>revenue</t>
        </is>
      </c>
      <c r="C48" s="10" t="inlineStr">
        <is>
          <t>calc</t>
        </is>
      </c>
      <c r="D48" s="8" t="inlineStr">
        <is>
          <t>Сколько выставить клиентам за год. Главный результат</t>
        </is>
      </c>
      <c r="E48" s="8" t="inlineStr">
        <is>
          <t>04_Расчёт, строка 4</t>
        </is>
      </c>
    </row>
    <row r="49">
      <c r="A49" s="5" t="inlineStr">
        <is>
          <t>Всего расходов</t>
        </is>
      </c>
      <c r="B49" s="6" t="inlineStr">
        <is>
          <t>total_costs</t>
        </is>
      </c>
      <c r="C49" s="7" t="inlineStr">
        <is>
          <t>calc</t>
        </is>
      </c>
      <c r="D49" s="5" t="inlineStr">
        <is>
          <t>Амортизация плюс переменные. Без эквайринга</t>
        </is>
      </c>
      <c r="E49" s="5" t="inlineStr">
        <is>
          <t>C = 786 026 ₽/год</t>
        </is>
      </c>
    </row>
    <row r="50">
      <c r="A50" s="5" t="inlineStr">
        <is>
          <t>Амортизация</t>
        </is>
      </c>
      <c r="B50" s="6" t="inlineStr">
        <is>
          <t>investment</t>
        </is>
      </c>
      <c r="C50" s="7" t="inlineStr">
        <is>
          <t>calc</t>
        </is>
      </c>
      <c r="D50" s="5" t="inlineStr">
        <is>
          <t>Разовые покупки, распределённые по сроку службы</t>
        </is>
      </c>
      <c r="E50" s="5" t="inlineStr">
        <is>
          <t>308 126 ₽/год</t>
        </is>
      </c>
    </row>
    <row r="51">
      <c r="A51" s="5" t="inlineStr">
        <is>
          <t>Переменные расходы</t>
        </is>
      </c>
      <c r="B51" s="6" t="inlineStr">
        <is>
          <t>variable_costs</t>
        </is>
      </c>
      <c r="C51" s="7" t="inlineStr">
        <is>
          <t>calc</t>
        </is>
      </c>
      <c r="D51" s="5" t="inlineStr">
        <is>
          <t>Регулярные платежи за год</t>
        </is>
      </c>
      <c r="E51" s="5" t="inlineStr">
        <is>
          <t>477 900 ₽/год</t>
        </is>
      </c>
    </row>
    <row r="52">
      <c r="A52" s="8" t="inlineStr">
        <is>
          <t>Эквайринг</t>
        </is>
      </c>
      <c r="B52" s="9" t="inlineStr">
        <is>
          <t>acquiring</t>
        </is>
      </c>
      <c r="C52" s="10" t="inlineStr">
        <is>
          <t>calc</t>
        </is>
      </c>
      <c r="D52" s="8" t="inlineStr">
        <is>
          <t>Процент С ОБОРОТА. Не расход — идёт в знаменатель формулы выручки</t>
        </is>
      </c>
      <c r="E52" s="8" t="inlineStr">
        <is>
          <t>2,7%</t>
        </is>
      </c>
    </row>
    <row r="53">
      <c r="A53" s="5" t="inlineStr">
        <is>
          <t>База для выручки</t>
        </is>
      </c>
      <c r="B53" s="6" t="inlineStr">
        <is>
          <t>revenue_base</t>
        </is>
      </c>
      <c r="C53" s="7" t="inlineStr">
        <is>
          <t>calc</t>
        </is>
      </c>
      <c r="D53" s="5" t="inlineStr">
        <is>
          <t>Расходы плюс желаемый доход. Получить ПОСЛЕ всех платежей</t>
        </is>
      </c>
      <c r="E53" s="5" t="inlineStr">
        <is>
          <t>N + C = 2 094 014 ₽</t>
        </is>
      </c>
    </row>
    <row r="54">
      <c r="A54" s="3" t="inlineStr">
        <is>
          <t>F · НАЛОГИ 2026</t>
        </is>
      </c>
    </row>
    <row r="55">
      <c r="A55" s="4" t="inlineStr">
        <is>
          <t>Наименование</t>
        </is>
      </c>
      <c r="B55" s="4" t="inlineStr">
        <is>
          <t>ID</t>
        </is>
      </c>
      <c r="C55" s="4" t="inlineStr">
        <is>
          <t>Тип</t>
        </is>
      </c>
      <c r="D55" s="4" t="inlineStr">
        <is>
          <t>Описание</t>
        </is>
      </c>
      <c r="E55" s="4" t="inlineStr">
        <is>
          <t>Формула / значение</t>
        </is>
      </c>
    </row>
    <row r="56">
      <c r="A56" s="5" t="inlineStr">
        <is>
          <t>НПД</t>
        </is>
      </c>
      <c r="B56" s="6" t="inlineStr">
        <is>
          <t>rate_npd_avg</t>
        </is>
      </c>
      <c r="C56" s="7" t="inlineStr">
        <is>
          <t>default</t>
        </is>
      </c>
      <c r="D56" s="5" t="inlineStr">
        <is>
          <t>Средняя ставка 5% — базовый вариант, работа и с физлицами, и с юрлицами. Взносов нет, лимит 2,4 млн</t>
        </is>
      </c>
      <c r="E56" s="5" t="inlineStr">
        <is>
          <t>4% физлица · 6% юрлица</t>
        </is>
      </c>
    </row>
    <row r="57">
      <c r="A57" s="5" t="inlineStr">
        <is>
          <t>УСН «Доходы»</t>
        </is>
      </c>
      <c r="B57" s="6" t="inlineStr">
        <is>
          <t>rate_usn_inc</t>
        </is>
      </c>
      <c r="C57" s="7" t="inlineStr">
        <is>
          <t>default</t>
        </is>
      </c>
      <c r="D57" s="5" t="inlineStr">
        <is>
          <t>Налог с выручки. Взносы ВЫЧИТАЮТСЯ из налога до нуля</t>
        </is>
      </c>
      <c r="E57" s="5" t="inlineStr">
        <is>
          <t>6%</t>
        </is>
      </c>
    </row>
    <row r="58">
      <c r="A58" s="5" t="inlineStr">
        <is>
          <t>УСН «Д−Р»</t>
        </is>
      </c>
      <c r="B58" s="6" t="inlineStr">
        <is>
          <t>rate_usn_prof</t>
        </is>
      </c>
      <c r="C58" s="7" t="inlineStr">
        <is>
          <t>default</t>
        </is>
      </c>
      <c r="D58" s="5" t="inlineStr">
        <is>
          <t>Налог с прибыли. Взносы уменьшают базу. Минимальный налог 1%</t>
        </is>
      </c>
      <c r="E58" s="5" t="inlineStr">
        <is>
          <t>15%</t>
        </is>
      </c>
    </row>
    <row r="59">
      <c r="A59" s="5" t="inlineStr">
        <is>
          <t>АУСН</t>
        </is>
      </c>
      <c r="B59" s="6" t="inlineStr">
        <is>
          <t>rate_ausn_inc</t>
        </is>
      </c>
      <c r="C59" s="7" t="inlineStr">
        <is>
          <t>const</t>
        </is>
      </c>
      <c r="D59" s="5" t="inlineStr">
        <is>
          <t>Взносы ИП за себя НЕ платятся. Лимит 60 млн</t>
        </is>
      </c>
      <c r="E59" s="5" t="inlineStr">
        <is>
          <t>8% · 20%, мин. налог 3%</t>
        </is>
      </c>
    </row>
    <row r="60">
      <c r="A60" s="5" t="inlineStr">
        <is>
          <t>Фиксированные взносы</t>
        </is>
      </c>
      <c r="B60" s="6" t="inlineStr">
        <is>
          <t>fixed_contrib</t>
        </is>
      </c>
      <c r="C60" s="7" t="inlineStr">
        <is>
          <t>const</t>
        </is>
      </c>
      <c r="D60" s="5" t="inlineStr">
        <is>
          <t>Платит каждый ИП. Срок — 28 декабря</t>
        </is>
      </c>
      <c r="E60" s="5" t="inlineStr">
        <is>
          <t>57 390 ₽/год</t>
        </is>
      </c>
    </row>
    <row r="61">
      <c r="A61" s="5" t="inlineStr">
        <is>
          <t>Дополнительный взнос</t>
        </is>
      </c>
      <c r="B61" s="6" t="inlineStr">
        <is>
          <t>extra_contrib</t>
        </is>
      </c>
      <c r="C61" s="7" t="inlineStr">
        <is>
          <t>const</t>
        </is>
      </c>
      <c r="D61" s="5" t="inlineStr">
        <is>
          <t>1% с дохода свыше порога. Срок — 1 июля следующего года</t>
        </is>
      </c>
      <c r="E61" s="5" t="inlineStr">
        <is>
          <t>1% × (база − 300 000)</t>
        </is>
      </c>
    </row>
    <row r="62">
      <c r="A62" s="5" t="inlineStr">
        <is>
          <t>Предельная величина</t>
        </is>
      </c>
      <c r="B62" s="6" t="inlineStr">
        <is>
          <t>contrib_threshold</t>
        </is>
      </c>
      <c r="C62" s="7" t="inlineStr">
        <is>
          <t>const</t>
        </is>
      </c>
      <c r="D62" s="5" t="inlineStr">
        <is>
          <t>Порог для допвзноса. ЗА ГОД, не за месяц</t>
        </is>
      </c>
      <c r="E62" s="5" t="inlineStr">
        <is>
          <t>300 000 ₽</t>
        </is>
      </c>
    </row>
    <row r="63">
      <c r="A63" s="8" t="inlineStr">
        <is>
          <t>Вычет взносов из налога</t>
        </is>
      </c>
      <c r="B63" s="9" t="inlineStr">
        <is>
          <t>—</t>
        </is>
      </c>
      <c r="C63" s="10" t="inlineStr">
        <is>
          <t>meta</t>
        </is>
      </c>
      <c r="D63" s="8" t="inlineStr">
        <is>
          <t>На УСН «Доходы» взносы уменьшают налог до нуля. Платёж = MAX(налог; взносы), а НЕ сумма</t>
        </is>
      </c>
      <c r="E63" s="8" t="inlineStr">
        <is>
          <t>ключевая механика</t>
        </is>
      </c>
    </row>
    <row r="64">
      <c r="A64" s="3" t="inlineStr">
        <is>
          <t>G · СТАВКИ ЧАСА (все на съёмочный час)</t>
        </is>
      </c>
    </row>
    <row r="65">
      <c r="A65" s="4" t="inlineStr">
        <is>
          <t>Наименование</t>
        </is>
      </c>
      <c r="B65" s="4" t="inlineStr">
        <is>
          <t>ID</t>
        </is>
      </c>
      <c r="C65" s="4" t="inlineStr">
        <is>
          <t>Тип</t>
        </is>
      </c>
      <c r="D65" s="4" t="inlineStr">
        <is>
          <t>Описание</t>
        </is>
      </c>
      <c r="E65" s="4" t="inlineStr">
        <is>
          <t>Формула / значение</t>
        </is>
      </c>
    </row>
    <row r="66">
      <c r="A66" s="17" t="inlineStr">
        <is>
          <t>Наивная ставка</t>
        </is>
      </c>
      <c r="B66" s="18" t="inlineStr">
        <is>
          <t>naive_rate</t>
        </is>
      </c>
      <c r="C66" s="19" t="inlineStr">
        <is>
          <t>calc</t>
        </is>
      </c>
      <c r="D66" s="17" t="inlineStr">
        <is>
          <t>Доход / съёмочные часы. Без расходов и налогов. Демонстрация ошибки</t>
        </is>
      </c>
      <c r="E66" s="17" t="inlineStr">
        <is>
          <t>4 977 ₽/ч</t>
        </is>
      </c>
    </row>
    <row r="67">
      <c r="A67" s="20" t="inlineStr">
        <is>
          <t>Базовая ставка</t>
        </is>
      </c>
      <c r="B67" s="21" t="inlineStr">
        <is>
          <t>base_rate</t>
        </is>
      </c>
      <c r="C67" s="22" t="inlineStr">
        <is>
          <t>calc</t>
        </is>
      </c>
      <c r="D67" s="20" t="inlineStr">
        <is>
          <t>Доход / чистое время. ТОЛЬКО личный доход, без налогов и расходов</t>
        </is>
      </c>
      <c r="E67" s="20" t="inlineStr">
        <is>
          <t>1 307 988 / 1 533 = 853 ₽/ч</t>
        </is>
      </c>
    </row>
    <row r="68">
      <c r="A68" s="20" t="inlineStr">
        <is>
          <t>Текущая ставка</t>
        </is>
      </c>
      <c r="B68" s="21" t="inlineStr">
        <is>
          <t>current_rate</t>
        </is>
      </c>
      <c r="C68" s="22" t="inlineStr">
        <is>
          <t>default</t>
        </is>
      </c>
      <c r="D68" s="20" t="inlineStr">
        <is>
          <t>По которой работаете сейчас. Для блока «Сколько теряете»</t>
        </is>
      </c>
      <c r="E68" s="20" t="inlineStr">
        <is>
          <t>6 000 ₽/ч</t>
        </is>
      </c>
    </row>
    <row r="69">
      <c r="A69" s="11" t="inlineStr">
        <is>
          <t>Операционная ставка</t>
        </is>
      </c>
      <c r="B69" s="12" t="inlineStr">
        <is>
          <t>ops_rate</t>
        </is>
      </c>
      <c r="C69" s="13" t="inlineStr">
        <is>
          <t>calc</t>
        </is>
      </c>
      <c r="D69" s="11" t="inlineStr">
        <is>
          <t>Покрывает доход и расходы, но БЕЗ налога</t>
        </is>
      </c>
      <c r="E69" s="11" t="inlineStr">
        <is>
          <t>(N+C) / 261,41 = 8 011 ₽/ч</t>
        </is>
      </c>
    </row>
    <row r="70">
      <c r="A70" s="8" t="inlineStr">
        <is>
          <t>ПОЛНАЯ ставка</t>
        </is>
      </c>
      <c r="B70" s="9" t="inlineStr">
        <is>
          <t>real_rate</t>
        </is>
      </c>
      <c r="C70" s="10" t="inlineStr">
        <is>
          <t>calc</t>
        </is>
      </c>
      <c r="D70" s="8" t="inlineStr">
        <is>
          <t>Покрывает доход, расходы, налог и эквайринг. ЦЕНА ДЛЯ КЛИЕНТА</t>
        </is>
      </c>
      <c r="E70" s="8" t="inlineStr">
        <is>
          <t>05_Итог, строка 5</t>
        </is>
      </c>
    </row>
    <row r="71">
      <c r="A71" s="5" t="inlineStr">
        <is>
          <t>Точка безубыточности</t>
        </is>
      </c>
      <c r="B71" s="6" t="inlineStr">
        <is>
          <t>breakeven</t>
        </is>
      </c>
      <c r="C71" s="7" t="inlineStr">
        <is>
          <t>calc</t>
        </is>
      </c>
      <c r="D71" s="5" t="inlineStr">
        <is>
          <t>Минимальная выручка при нулевом личном доходе</t>
        </is>
      </c>
      <c r="E71" s="5" t="inlineStr">
        <is>
          <t>подставить N = 0</t>
        </is>
      </c>
    </row>
    <row r="72">
      <c r="A72" s="3" t="inlineStr">
        <is>
          <t>H · ПОЛНЫЙ ПЕРЕЧЕНЬ ПАРАМЕТРОВ — все величины книги, автоматически из 02_Параметры</t>
        </is>
      </c>
    </row>
    <row r="73">
      <c r="A73" s="4" t="inlineStr">
        <is>
          <t>Наименование</t>
        </is>
      </c>
      <c r="B73" s="4" t="inlineStr">
        <is>
          <t>ID</t>
        </is>
      </c>
      <c r="C73" s="4" t="inlineStr">
        <is>
          <t>Тип</t>
        </is>
      </c>
      <c r="D73" s="4" t="inlineStr">
        <is>
          <t>Описание</t>
        </is>
      </c>
      <c r="E73" s="4" t="inlineStr">
        <is>
          <t>Формула / значение</t>
        </is>
      </c>
    </row>
    <row r="74">
      <c r="A74" s="4" t="inlineStr">
        <is>
          <t>1 · Календарь</t>
        </is>
      </c>
      <c r="B74" s="23" t="n"/>
      <c r="C74" s="23" t="n"/>
      <c r="D74" s="23" t="n"/>
      <c r="E74" s="23" t="n"/>
    </row>
    <row r="75">
      <c r="A75" s="5" t="inlineStr">
        <is>
          <t>Всего дней в году</t>
        </is>
      </c>
      <c r="B75" s="6" t="inlineStr">
        <is>
          <t>days_year</t>
        </is>
      </c>
      <c r="C75" s="7" t="inlineStr">
        <is>
          <t>const</t>
        </is>
      </c>
      <c r="D75" s="5" t="inlineStr">
        <is>
          <t>ед.: дн</t>
        </is>
      </c>
      <c r="E75" s="5" t="inlineStr">
        <is>
          <t>365</t>
        </is>
      </c>
    </row>
    <row r="76">
      <c r="A76" s="5" t="inlineStr">
        <is>
          <t>Рабочих дней в году</t>
        </is>
      </c>
      <c r="B76" s="6" t="inlineStr">
        <is>
          <t>work_days</t>
        </is>
      </c>
      <c r="C76" s="7" t="inlineStr">
        <is>
          <t>const</t>
        </is>
      </c>
      <c r="D76" s="5" t="inlineStr">
        <is>
          <t>ед.: дн</t>
        </is>
      </c>
      <c r="E76" s="5" t="inlineStr">
        <is>
          <t>247</t>
        </is>
      </c>
    </row>
    <row r="77">
      <c r="A77" s="5" t="inlineStr">
        <is>
          <t>Рабочих дней в неделю</t>
        </is>
      </c>
      <c r="B77" s="6" t="inlineStr">
        <is>
          <t>days_week</t>
        </is>
      </c>
      <c r="C77" s="7" t="inlineStr">
        <is>
          <t>const</t>
        </is>
      </c>
      <c r="D77" s="5" t="inlineStr">
        <is>
          <t>ед.: дн</t>
        </is>
      </c>
      <c r="E77" s="5" t="inlineStr">
        <is>
          <t>5</t>
        </is>
      </c>
    </row>
    <row r="78">
      <c r="A78" s="5" t="inlineStr">
        <is>
          <t>Месяцев в году</t>
        </is>
      </c>
      <c r="B78" s="6" t="inlineStr">
        <is>
          <t>months</t>
        </is>
      </c>
      <c r="C78" s="7" t="inlineStr">
        <is>
          <t>const</t>
        </is>
      </c>
      <c r="D78" s="5" t="inlineStr">
        <is>
          <t>ед.: мес</t>
        </is>
      </c>
      <c r="E78" s="5" t="inlineStr">
        <is>
          <t>12</t>
        </is>
      </c>
    </row>
    <row r="79">
      <c r="A79" s="5" t="inlineStr">
        <is>
          <t>Кварталов в году</t>
        </is>
      </c>
      <c r="B79" s="6" t="inlineStr">
        <is>
          <t>quarters</t>
        </is>
      </c>
      <c r="C79" s="7" t="inlineStr">
        <is>
          <t>const</t>
        </is>
      </c>
      <c r="D79" s="5" t="inlineStr">
        <is>
          <t>ед.: кв</t>
        </is>
      </c>
      <c r="E79" s="5" t="inlineStr">
        <is>
          <t>4</t>
        </is>
      </c>
    </row>
    <row r="80">
      <c r="A80" s="5" t="inlineStr">
        <is>
          <t>Всего недель в году</t>
        </is>
      </c>
      <c r="B80" s="6" t="inlineStr">
        <is>
          <t>weeks_year</t>
        </is>
      </c>
      <c r="C80" s="7" t="inlineStr">
        <is>
          <t>calc</t>
        </is>
      </c>
      <c r="D80" s="5" t="inlineStr">
        <is>
          <t>ед.: нед · зависит от: days_year</t>
        </is>
      </c>
      <c r="E80" s="5" t="inlineStr">
        <is>
          <t>days_year/7</t>
        </is>
      </c>
    </row>
    <row r="81">
      <c r="A81" s="5" t="inlineStr">
        <is>
          <t>Номинальных часов в дне</t>
        </is>
      </c>
      <c r="B81" s="6" t="inlineStr">
        <is>
          <t>nominal_hours</t>
        </is>
      </c>
      <c r="C81" s="7" t="inlineStr">
        <is>
          <t>const</t>
        </is>
      </c>
      <c r="D81" s="5" t="inlineStr">
        <is>
          <t>ед.: ч</t>
        </is>
      </c>
      <c r="E81" s="5" t="inlineStr">
        <is>
          <t>8</t>
        </is>
      </c>
    </row>
    <row r="82">
      <c r="A82" s="5" t="inlineStr">
        <is>
          <t>Рабочих месяцев в году</t>
        </is>
      </c>
      <c r="B82" s="6" t="inlineStr">
        <is>
          <t>work_months</t>
        </is>
      </c>
      <c r="C82" s="7" t="inlineStr">
        <is>
          <t>const</t>
        </is>
      </c>
      <c r="D82" s="5" t="inlineStr">
        <is>
          <t>ед.: мес</t>
        </is>
      </c>
      <c r="E82" s="5" t="inlineStr">
        <is>
          <t>11</t>
        </is>
      </c>
    </row>
    <row r="83">
      <c r="A83" s="5" t="inlineStr">
        <is>
          <t>Отпуск, календарных дней</t>
        </is>
      </c>
      <c r="B83" s="6" t="inlineStr">
        <is>
          <t>vacation_cal</t>
        </is>
      </c>
      <c r="C83" s="7" t="inlineStr">
        <is>
          <t>const</t>
        </is>
      </c>
      <c r="D83" s="5" t="inlineStr">
        <is>
          <t>ед.: дн</t>
        </is>
      </c>
      <c r="E83" s="5" t="inlineStr">
        <is>
          <t>28</t>
        </is>
      </c>
    </row>
    <row r="84">
      <c r="A84" s="5" t="inlineStr">
        <is>
          <t>Отпуск, рабочих дней</t>
        </is>
      </c>
      <c r="B84" s="6" t="inlineStr">
        <is>
          <t>vacation_work</t>
        </is>
      </c>
      <c r="C84" s="7" t="inlineStr">
        <is>
          <t>const</t>
        </is>
      </c>
      <c r="D84" s="5" t="inlineStr">
        <is>
          <t>ед.: дн</t>
        </is>
      </c>
      <c r="E84" s="5" t="inlineStr">
        <is>
          <t>20</t>
        </is>
      </c>
    </row>
    <row r="85">
      <c r="A85" s="5" t="inlineStr">
        <is>
          <t>Больничный, календарных дней</t>
        </is>
      </c>
      <c r="B85" s="6" t="inlineStr">
        <is>
          <t>sick_cal</t>
        </is>
      </c>
      <c r="C85" s="7" t="inlineStr">
        <is>
          <t>const</t>
        </is>
      </c>
      <c r="D85" s="5" t="inlineStr">
        <is>
          <t>ед.: дн</t>
        </is>
      </c>
      <c r="E85" s="5" t="inlineStr">
        <is>
          <t>10</t>
        </is>
      </c>
    </row>
    <row r="86">
      <c r="A86" s="5" t="inlineStr">
        <is>
          <t>Больничный, рабочих дней</t>
        </is>
      </c>
      <c r="B86" s="6" t="inlineStr">
        <is>
          <t>sick_work</t>
        </is>
      </c>
      <c r="C86" s="7" t="inlineStr">
        <is>
          <t>const</t>
        </is>
      </c>
      <c r="D86" s="5" t="inlineStr">
        <is>
          <t>ед.: дн</t>
        </is>
      </c>
      <c r="E86" s="5" t="inlineStr">
        <is>
          <t>8</t>
        </is>
      </c>
    </row>
    <row r="87">
      <c r="A87" s="5" t="inlineStr">
        <is>
          <t>Чистых (эффективных) часов в дне</t>
        </is>
      </c>
      <c r="B87" s="6" t="inlineStr">
        <is>
          <t>eff_hours</t>
        </is>
      </c>
      <c r="C87" s="7" t="inlineStr">
        <is>
          <t>const</t>
        </is>
      </c>
      <c r="D87" s="5" t="inlineStr">
        <is>
          <t>ед.: ч</t>
        </is>
      </c>
      <c r="E87" s="5" t="inlineStr">
        <is>
          <t>7</t>
        </is>
      </c>
    </row>
    <row r="88">
      <c r="A88" s="4" t="inlineStr">
        <is>
          <t>2 · Время</t>
        </is>
      </c>
      <c r="B88" s="23" t="n"/>
      <c r="C88" s="23" t="n"/>
      <c r="D88" s="23" t="n"/>
      <c r="E88" s="23" t="n"/>
    </row>
    <row r="89">
      <c r="A89" s="5" t="inlineStr">
        <is>
          <t>Рабочее время по календарю</t>
        </is>
      </c>
      <c r="B89" s="6" t="inlineStr">
        <is>
          <t>work_time</t>
        </is>
      </c>
      <c r="C89" s="7" t="inlineStr">
        <is>
          <t>calc</t>
        </is>
      </c>
      <c r="D89" s="5" t="inlineStr">
        <is>
          <t>ед.: ч/год · зависит от: work_days, nominal_hours</t>
        </is>
      </c>
      <c r="E89" s="5" t="inlineStr">
        <is>
          <t>work_days*nominal_hours</t>
        </is>
      </c>
    </row>
    <row r="90">
      <c r="A90" s="5" t="inlineStr">
        <is>
          <t>Чистое рабочее время, дней</t>
        </is>
      </c>
      <c r="B90" s="6" t="inlineStr">
        <is>
          <t>net_days</t>
        </is>
      </c>
      <c r="C90" s="7" t="inlineStr">
        <is>
          <t>calc</t>
        </is>
      </c>
      <c r="D90" s="5" t="inlineStr">
        <is>
          <t>ед.: дн/год · зависит от: work_days, vacation_work, sick_work</t>
        </is>
      </c>
      <c r="E90" s="5" t="inlineStr">
        <is>
          <t>work_days-vacation_work-sick_work</t>
        </is>
      </c>
    </row>
    <row r="91">
      <c r="A91" s="5" t="inlineStr">
        <is>
          <t>ЧИСТОЕ время</t>
        </is>
      </c>
      <c r="B91" s="6" t="inlineStr">
        <is>
          <t>net_time</t>
        </is>
      </c>
      <c r="C91" s="7" t="inlineStr">
        <is>
          <t>calc</t>
        </is>
      </c>
      <c r="D91" s="5" t="inlineStr">
        <is>
          <t>ед.: ч/год · зависит от: net_days, eff_hours</t>
        </is>
      </c>
      <c r="E91" s="5" t="inlineStr">
        <is>
          <t>net_days*eff_hours</t>
        </is>
      </c>
    </row>
    <row r="92">
      <c r="A92" s="5" t="inlineStr">
        <is>
          <t>Чистое время, недель</t>
        </is>
      </c>
      <c r="B92" s="6" t="inlineStr">
        <is>
          <t>net_weeks</t>
        </is>
      </c>
      <c r="C92" s="7" t="inlineStr">
        <is>
          <t>calc</t>
        </is>
      </c>
      <c r="D92" s="5" t="inlineStr">
        <is>
          <t>ед.: нед · зависит от: net_days, days_week</t>
        </is>
      </c>
      <c r="E92" s="5" t="inlineStr">
        <is>
          <t>net_days/days_week</t>
        </is>
      </c>
    </row>
    <row r="93">
      <c r="A93" s="5" t="inlineStr">
        <is>
          <t>Продвижение, часов в день</t>
        </is>
      </c>
      <c r="B93" s="6" t="inlineStr">
        <is>
          <t>promo_per_day</t>
        </is>
      </c>
      <c r="C93" s="7" t="inlineStr">
        <is>
          <t>default</t>
        </is>
      </c>
      <c r="D93" s="5" t="inlineStr">
        <is>
          <t>ед.: ч/дн</t>
        </is>
      </c>
      <c r="E93" s="5" t="inlineStr">
        <is>
          <t>2</t>
        </is>
      </c>
    </row>
    <row r="94">
      <c r="A94" s="5" t="inlineStr">
        <is>
          <t>Продвижение за год</t>
        </is>
      </c>
      <c r="B94" s="6" t="inlineStr">
        <is>
          <t>promo_time</t>
        </is>
      </c>
      <c r="C94" s="7" t="inlineStr">
        <is>
          <t>calc</t>
        </is>
      </c>
      <c r="D94" s="5" t="inlineStr">
        <is>
          <t>ед.: ч/год · зависит от: promo_per_day, net_days</t>
        </is>
      </c>
      <c r="E94" s="5" t="inlineStr">
        <is>
          <t>promo_per_day*net_days</t>
        </is>
      </c>
    </row>
    <row r="95">
      <c r="A95" s="14" t="inlineStr">
        <is>
          <t>ПЕРЕКЛЮЧАТЕЛЬ · учёт и планирование</t>
        </is>
      </c>
      <c r="B95" s="15" t="inlineStr">
        <is>
          <t>acc_mode</t>
        </is>
      </c>
      <c r="C95" s="16" t="inlineStr">
        <is>
          <t>switch</t>
        </is>
      </c>
      <c r="D95" s="14" t="inlineStr"/>
      <c r="E95" s="14" t="inlineStr">
        <is>
          <t>Веду самостоятельно</t>
        </is>
      </c>
    </row>
    <row r="96">
      <c r="A96" s="5" t="inlineStr">
        <is>
          <t>Учёт: часов в квартал, если веду сам</t>
        </is>
      </c>
      <c r="B96" s="6" t="inlineStr">
        <is>
          <t>acc_per_quarter</t>
        </is>
      </c>
      <c r="C96" s="7" t="inlineStr">
        <is>
          <t>default</t>
        </is>
      </c>
      <c r="D96" s="5" t="inlineStr">
        <is>
          <t>ед.: ч/кв</t>
        </is>
      </c>
      <c r="E96" s="5" t="inlineStr">
        <is>
          <t>3</t>
        </is>
      </c>
    </row>
    <row r="97">
      <c r="A97" s="5" t="inlineStr">
        <is>
          <t>Учёт и планирование, время</t>
        </is>
      </c>
      <c r="B97" s="6" t="inlineStr">
        <is>
          <t>accounting_time</t>
        </is>
      </c>
      <c r="C97" s="7" t="inlineStr">
        <is>
          <t>calc</t>
        </is>
      </c>
      <c r="D97" s="5" t="inlineStr">
        <is>
          <t>ед.: ч/год · зависит от: acc_mode, acc_per_quarter, quarters</t>
        </is>
      </c>
      <c r="E97" s="5" t="inlineStr">
        <is>
          <t>IF(acc_mode="Веду самостоятельно",acc_per_quarter*quarters,0)</t>
        </is>
      </c>
    </row>
    <row r="98">
      <c r="A98" s="5" t="inlineStr">
        <is>
          <t>ОПЕРАЦИОННОЕ время</t>
        </is>
      </c>
      <c r="B98" s="6" t="inlineStr">
        <is>
          <t>side_time</t>
        </is>
      </c>
      <c r="C98" s="7" t="inlineStr">
        <is>
          <t>calc</t>
        </is>
      </c>
      <c r="D98" s="5" t="inlineStr">
        <is>
          <t>ед.: ч/год · зависит от: promo_time, accounting_time</t>
        </is>
      </c>
      <c r="E98" s="5" t="inlineStr">
        <is>
          <t>promo_time+accounting_time</t>
        </is>
      </c>
    </row>
    <row r="99">
      <c r="A99" s="5" t="inlineStr">
        <is>
          <t>ПРОЕКТНОЕ время за год</t>
        </is>
      </c>
      <c r="B99" s="6" t="inlineStr">
        <is>
          <t>project_pool</t>
        </is>
      </c>
      <c r="C99" s="7" t="inlineStr">
        <is>
          <t>calc</t>
        </is>
      </c>
      <c r="D99" s="5" t="inlineStr">
        <is>
          <t>ед.: ч/год · зависит от: pool_gross, fm_time</t>
        </is>
      </c>
      <c r="E99" s="5" t="inlineStr">
        <is>
          <t>pool_gross-fm_time</t>
        </is>
      </c>
    </row>
    <row r="100">
      <c r="A100" s="4" t="inlineStr">
        <is>
          <t>3 · Проект</t>
        </is>
      </c>
      <c r="B100" s="23" t="n"/>
      <c r="C100" s="23" t="n"/>
      <c r="D100" s="23" t="n"/>
      <c r="E100" s="23" t="n"/>
    </row>
    <row r="101">
      <c r="A101" s="5" t="inlineStr">
        <is>
          <t>Коэффициент обработки</t>
        </is>
      </c>
      <c r="B101" s="6" t="inlineStr">
        <is>
          <t>post_ratio</t>
        </is>
      </c>
      <c r="C101" s="7" t="inlineStr">
        <is>
          <t>default</t>
        </is>
      </c>
      <c r="D101" s="5" t="inlineStr">
        <is>
          <t>ед.: ×</t>
        </is>
      </c>
      <c r="E101" s="5" t="inlineStr">
        <is>
          <t>3</t>
        </is>
      </c>
    </row>
    <row r="102">
      <c r="A102" s="5" t="inlineStr">
        <is>
          <t>Множитель профильного времени</t>
        </is>
      </c>
      <c r="B102" s="6" t="inlineStr">
        <is>
          <t>profile_multiplier</t>
        </is>
      </c>
      <c r="C102" s="7" t="inlineStr">
        <is>
          <t>calc</t>
        </is>
      </c>
      <c r="D102" s="5" t="inlineStr">
        <is>
          <t>ед.: × · зависит от: post_ratio</t>
        </is>
      </c>
      <c r="E102" s="5" t="inlineStr">
        <is>
          <t>1+post_ratio</t>
        </is>
      </c>
    </row>
    <row r="103">
      <c r="A103" s="5" t="inlineStr">
        <is>
          <t>Работа с клиентом на проект</t>
        </is>
      </c>
      <c r="B103" s="6" t="inlineStr">
        <is>
          <t>client_time</t>
        </is>
      </c>
      <c r="C103" s="7" t="inlineStr">
        <is>
          <t>default</t>
        </is>
      </c>
      <c r="D103" s="5" t="inlineStr">
        <is>
          <t>ед.: ч/проект</t>
        </is>
      </c>
      <c r="E103" s="5" t="inlineStr">
        <is>
          <t>1</t>
        </is>
      </c>
    </row>
    <row r="104">
      <c r="A104" s="5" t="inlineStr">
        <is>
          <t>Целевых проектов в неделю</t>
        </is>
      </c>
      <c r="B104" s="6" t="inlineStr">
        <is>
          <t>week_target</t>
        </is>
      </c>
      <c r="C104" s="7" t="inlineStr">
        <is>
          <t>default</t>
        </is>
      </c>
      <c r="D104" s="5" t="inlineStr">
        <is>
          <t>ед.: шт/нед</t>
        </is>
      </c>
      <c r="E104" s="5" t="inlineStr">
        <is>
          <t>1</t>
        </is>
      </c>
    </row>
    <row r="105">
      <c r="A105" s="5" t="inlineStr">
        <is>
          <t>Максимальная съёмка при целевом темпе</t>
        </is>
      </c>
      <c r="B105" s="6" t="inlineStr">
        <is>
          <t>shoot_auto</t>
        </is>
      </c>
      <c r="C105" s="7" t="inlineStr">
        <is>
          <t>calc</t>
        </is>
      </c>
      <c r="D105" s="5" t="inlineStr">
        <is>
          <t>ед.: ч · зависит от: project_pool, net_weeks, week_target, client_time, profile_multiplier</t>
        </is>
      </c>
      <c r="E105" s="5" t="inlineStr">
        <is>
          <t>IF(profile_multiplier*week_target=0,0,(project_pool/net_weeks/week_target-client_time)/profile_multiplier)</t>
        </is>
      </c>
    </row>
    <row r="106">
      <c r="A106" s="5" t="inlineStr">
        <is>
          <t>ТИПОВАЯ продолжительность съёмки (S)</t>
        </is>
      </c>
      <c r="B106" s="6" t="inlineStr">
        <is>
          <t>shoot_duration</t>
        </is>
      </c>
      <c r="C106" s="7" t="inlineStr">
        <is>
          <t>default</t>
        </is>
      </c>
      <c r="D106" s="5" t="inlineStr">
        <is>
          <t>ед.: ч</t>
        </is>
      </c>
      <c r="E106" s="5" t="inlineStr">
        <is>
          <t>2</t>
        </is>
      </c>
    </row>
    <row r="107">
      <c r="A107" s="5" t="inlineStr">
        <is>
          <t>Стоимость часа проектного времени</t>
        </is>
      </c>
      <c r="B107" s="6" t="inlineStr">
        <is>
          <t>hour_pool</t>
        </is>
      </c>
      <c r="C107" s="7" t="inlineStr">
        <is>
          <t>calc</t>
        </is>
      </c>
      <c r="D107" s="5" t="inlineStr">
        <is>
          <t>ед.: ₽/ч · зависит от: выручка, project_pool</t>
        </is>
      </c>
      <c r="E107" s="5" t="inlineStr">
        <is>
          <t>IF(project_pool=0,0,CHOOSE(regime_no,'05_Расчёт'!B4,'05_Расчёт'!C4,'05_Расчёт'!D4,'05_Расчёт'!E4,'05_Расчёт'!F4,'05_Расчёт'!G4,'05_Расчёт'!H4)/project_pool)</t>
        </is>
      </c>
    </row>
    <row r="108">
      <c r="A108" s="5" t="inlineStr">
        <is>
          <t>ПРОЕКТНОЕ время на 1 проект</t>
        </is>
      </c>
      <c r="B108" s="6" t="inlineStr">
        <is>
          <t>project_time</t>
        </is>
      </c>
      <c r="C108" s="7" t="inlineStr">
        <is>
          <t>calc</t>
        </is>
      </c>
      <c r="D108" s="5" t="inlineStr">
        <is>
          <t>ед.: ч/проект · зависит от: shoot_duration, profile_multiplier, client_time</t>
        </is>
      </c>
      <c r="E108" s="5" t="inlineStr">
        <is>
          <t>shoot_duration*profile_multiplier+client_time</t>
        </is>
      </c>
    </row>
    <row r="109">
      <c r="A109" s="5" t="inlineStr">
        <is>
          <t>Проектов в год</t>
        </is>
      </c>
      <c r="B109" s="6" t="inlineStr">
        <is>
          <t>projects_year</t>
        </is>
      </c>
      <c r="C109" s="7" t="inlineStr">
        <is>
          <t>calc</t>
        </is>
      </c>
      <c r="D109" s="5" t="inlineStr">
        <is>
          <t>ед.: шт/год · зависит от: project_pool, project_time</t>
        </is>
      </c>
      <c r="E109" s="5" t="inlineStr">
        <is>
          <t>IF(project_time=0,0,project_pool/project_time)</t>
        </is>
      </c>
    </row>
    <row r="110">
      <c r="A110" s="5" t="inlineStr">
        <is>
          <t>Проектов в месяц</t>
        </is>
      </c>
      <c r="B110" s="6" t="inlineStr">
        <is>
          <t>projects_month</t>
        </is>
      </c>
      <c r="C110" s="7" t="inlineStr">
        <is>
          <t>calc</t>
        </is>
      </c>
      <c r="D110" s="5" t="inlineStr">
        <is>
          <t>ед.: шт/мес · зависит от: projects_year, months</t>
        </is>
      </c>
      <c r="E110" s="5" t="inlineStr">
        <is>
          <t>projects_year/months</t>
        </is>
      </c>
    </row>
    <row r="111">
      <c r="A111" s="5" t="inlineStr">
        <is>
          <t>Проектов в неделю</t>
        </is>
      </c>
      <c r="B111" s="6" t="inlineStr">
        <is>
          <t>projects_week</t>
        </is>
      </c>
      <c r="C111" s="7" t="inlineStr">
        <is>
          <t>calc</t>
        </is>
      </c>
      <c r="D111" s="5" t="inlineStr">
        <is>
          <t>ед.: шт/нед · зависит от: projects_year, net_weeks</t>
        </is>
      </c>
      <c r="E111" s="5" t="inlineStr">
        <is>
          <t>projects_year/net_weeks</t>
        </is>
      </c>
    </row>
    <row r="112">
      <c r="A112" s="5" t="inlineStr">
        <is>
          <t>СЪЁМОЧНОЕ время</t>
        </is>
      </c>
      <c r="B112" s="6" t="inlineStr">
        <is>
          <t>shooting_time</t>
        </is>
      </c>
      <c r="C112" s="7" t="inlineStr">
        <is>
          <t>calc</t>
        </is>
      </c>
      <c r="D112" s="5" t="inlineStr">
        <is>
          <t>ед.: ч/год · зависит от: projects_year, shoot_duration</t>
        </is>
      </c>
      <c r="E112" s="5" t="inlineStr">
        <is>
          <t>projects_year*shoot_duration</t>
        </is>
      </c>
    </row>
    <row r="113">
      <c r="A113" s="5" t="inlineStr">
        <is>
          <t>Съёмочное время в месяц</t>
        </is>
      </c>
      <c r="B113" s="6" t="inlineStr">
        <is>
          <t>shooting_month</t>
        </is>
      </c>
      <c r="C113" s="7" t="inlineStr">
        <is>
          <t>calc</t>
        </is>
      </c>
      <c r="D113" s="5" t="inlineStr">
        <is>
          <t>ед.: ч/мес · зависит от: shooting_time, months</t>
        </is>
      </c>
      <c r="E113" s="5" t="inlineStr">
        <is>
          <t>shooting_time/months</t>
        </is>
      </c>
    </row>
    <row r="114">
      <c r="A114" s="5" t="inlineStr">
        <is>
          <t>Съёмочное время в неделю</t>
        </is>
      </c>
      <c r="B114" s="6" t="inlineStr">
        <is>
          <t>shooting_week</t>
        </is>
      </c>
      <c r="C114" s="7" t="inlineStr">
        <is>
          <t>calc</t>
        </is>
      </c>
      <c r="D114" s="5" t="inlineStr">
        <is>
          <t>ед.: ч/нед · зависит от: shooting_time, net_weeks</t>
        </is>
      </c>
      <c r="E114" s="5" t="inlineStr">
        <is>
          <t>shooting_time/net_weeks</t>
        </is>
      </c>
    </row>
    <row r="115">
      <c r="A115" s="5" t="inlineStr">
        <is>
          <t>Постпродакшн за год</t>
        </is>
      </c>
      <c r="B115" s="6" t="inlineStr">
        <is>
          <t>post_time</t>
        </is>
      </c>
      <c r="C115" s="7" t="inlineStr">
        <is>
          <t>calc</t>
        </is>
      </c>
      <c r="D115" s="5" t="inlineStr">
        <is>
          <t>ед.: ч/год · зависит от: shooting_time, post_ratio</t>
        </is>
      </c>
      <c r="E115" s="5" t="inlineStr">
        <is>
          <t>shooting_time*post_ratio</t>
        </is>
      </c>
    </row>
    <row r="116">
      <c r="A116" s="5" t="inlineStr">
        <is>
          <t>ПРОФИЛЬНОЕ время</t>
        </is>
      </c>
      <c r="B116" s="6" t="inlineStr">
        <is>
          <t>core_time</t>
        </is>
      </c>
      <c r="C116" s="7" t="inlineStr">
        <is>
          <t>calc</t>
        </is>
      </c>
      <c r="D116" s="5" t="inlineStr">
        <is>
          <t>ед.: ч/год · зависит от: shooting_time, profile_multiplier</t>
        </is>
      </c>
      <c r="E116" s="5" t="inlineStr">
        <is>
          <t>shooting_time*profile_multiplier</t>
        </is>
      </c>
    </row>
    <row r="117">
      <c r="A117" s="5" t="inlineStr">
        <is>
          <t>Работа с клиентом за год</t>
        </is>
      </c>
      <c r="B117" s="6" t="inlineStr">
        <is>
          <t>client_total</t>
        </is>
      </c>
      <c r="C117" s="7" t="inlineStr">
        <is>
          <t>calc</t>
        </is>
      </c>
      <c r="D117" s="5" t="inlineStr">
        <is>
          <t>ед.: ч/год · зависит от: projects_year, client_time</t>
        </is>
      </c>
      <c r="E117" s="5" t="inlineStr">
        <is>
          <t>projects_year*client_time</t>
        </is>
      </c>
    </row>
    <row r="118">
      <c r="A118" s="5" t="inlineStr">
        <is>
          <t>Операционных часов на час съёмки</t>
        </is>
      </c>
      <c r="B118" s="6" t="inlineStr">
        <is>
          <t>ops_per_shoot</t>
        </is>
      </c>
      <c r="C118" s="7" t="inlineStr">
        <is>
          <t>calc</t>
        </is>
      </c>
      <c r="D118" s="5" t="inlineStr">
        <is>
          <t>ед.: ч · зависит от: side_time, shooting_time</t>
        </is>
      </c>
      <c r="E118" s="5" t="inlineStr">
        <is>
          <t>IF(shooting_time=0,0,side_time/shooting_time)</t>
        </is>
      </c>
    </row>
    <row r="119">
      <c r="A119" s="4" t="inlineStr">
        <is>
          <t>4 · Доход</t>
        </is>
      </c>
      <c r="B119" s="23" t="n"/>
      <c r="C119" s="23" t="n"/>
      <c r="D119" s="23" t="n"/>
      <c r="E119" s="23" t="n"/>
    </row>
    <row r="120">
      <c r="A120" s="5" t="inlineStr">
        <is>
          <t>Желаемый доход на руки</t>
        </is>
      </c>
      <c r="B120" s="6" t="inlineStr">
        <is>
          <t>income_month</t>
        </is>
      </c>
      <c r="C120" s="7" t="inlineStr">
        <is>
          <t>default</t>
        </is>
      </c>
      <c r="D120" s="5" t="inlineStr">
        <is>
          <t>ед.: ₽/мес</t>
        </is>
      </c>
      <c r="E120" s="5" t="inlineStr">
        <is>
          <t>108999</t>
        </is>
      </c>
    </row>
    <row r="121">
      <c r="A121" s="5" t="inlineStr">
        <is>
          <t>Желаемый доход за год</t>
        </is>
      </c>
      <c r="B121" s="6" t="inlineStr">
        <is>
          <t>target_income</t>
        </is>
      </c>
      <c r="C121" s="7" t="inlineStr">
        <is>
          <t>calc</t>
        </is>
      </c>
      <c r="D121" s="5" t="inlineStr">
        <is>
          <t>ед.: ₽/год · зависит от: income_month, months</t>
        </is>
      </c>
      <c r="E121" s="5" t="inlineStr">
        <is>
          <t>income_month*months</t>
        </is>
      </c>
    </row>
    <row r="122">
      <c r="A122" s="5" t="inlineStr">
        <is>
          <t>Текущая ставка часа</t>
        </is>
      </c>
      <c r="B122" s="6" t="inlineStr">
        <is>
          <t>current_rate</t>
        </is>
      </c>
      <c r="C122" s="7" t="inlineStr">
        <is>
          <t>default</t>
        </is>
      </c>
      <c r="D122" s="5" t="inlineStr">
        <is>
          <t>ед.: ₽/ч</t>
        </is>
      </c>
      <c r="E122" s="5" t="inlineStr">
        <is>
          <t>6000</t>
        </is>
      </c>
    </row>
    <row r="123">
      <c r="A123" s="4" t="inlineStr">
        <is>
          <t>5 · Рабочее место</t>
        </is>
      </c>
      <c r="B123" s="23" t="n"/>
      <c r="C123" s="23" t="n"/>
      <c r="D123" s="23" t="n"/>
      <c r="E123" s="23" t="n"/>
    </row>
    <row r="124">
      <c r="A124" s="14" t="inlineStr">
        <is>
          <t>ПЕРЕКЛЮЧАТЕЛЬ · рабочее место</t>
        </is>
      </c>
      <c r="B124" s="15" t="inlineStr">
        <is>
          <t>ws_mode</t>
        </is>
      </c>
      <c r="C124" s="16" t="inlineStr">
        <is>
          <t>switch</t>
        </is>
      </c>
      <c r="D124" s="14" t="inlineStr"/>
      <c r="E124" s="14" t="inlineStr">
        <is>
          <t>Работаю из дома</t>
        </is>
      </c>
    </row>
    <row r="125">
      <c r="A125" s="14" t="inlineStr">
        <is>
          <t>ДОМА · живу в своём, ипотеки нет</t>
        </is>
      </c>
      <c r="B125" s="15" t="inlineStr">
        <is>
          <t>own_home</t>
        </is>
      </c>
      <c r="C125" s="16" t="inlineStr">
        <is>
          <t>switch</t>
        </is>
      </c>
      <c r="D125" s="14" t="inlineStr"/>
      <c r="E125" s="14" t="inlineStr">
        <is>
          <t>нет</t>
        </is>
      </c>
    </row>
    <row r="126">
      <c r="A126" s="5" t="inlineStr">
        <is>
          <t>ДОМА · аренда или ипотека</t>
        </is>
      </c>
      <c r="B126" s="6" t="inlineStr">
        <is>
          <t>home_rent</t>
        </is>
      </c>
      <c r="C126" s="7" t="inlineStr">
        <is>
          <t>default</t>
        </is>
      </c>
      <c r="D126" s="5" t="inlineStr">
        <is>
          <t>ед.: ₽/мес</t>
        </is>
      </c>
      <c r="E126" s="5" t="inlineStr">
        <is>
          <t>40000</t>
        </is>
      </c>
    </row>
    <row r="127">
      <c r="A127" s="5" t="inlineStr">
        <is>
          <t>ДОМА · коммунальные и связь</t>
        </is>
      </c>
      <c r="B127" s="6" t="inlineStr">
        <is>
          <t>home_util</t>
        </is>
      </c>
      <c r="C127" s="7" t="inlineStr">
        <is>
          <t>default</t>
        </is>
      </c>
      <c r="D127" s="5" t="inlineStr">
        <is>
          <t>ед.: ₽/мес</t>
        </is>
      </c>
      <c r="E127" s="5" t="inlineStr">
        <is>
          <t>7000</t>
        </is>
      </c>
    </row>
    <row r="128">
      <c r="A128" s="5" t="inlineStr">
        <is>
          <t>ДОМА · общая площадь жилья</t>
        </is>
      </c>
      <c r="B128" s="6" t="inlineStr">
        <is>
          <t>home_area</t>
        </is>
      </c>
      <c r="C128" s="7" t="inlineStr">
        <is>
          <t>default</t>
        </is>
      </c>
      <c r="D128" s="5" t="inlineStr">
        <is>
          <t>ед.: м²</t>
        </is>
      </c>
      <c r="E128" s="5" t="inlineStr">
        <is>
          <t>50</t>
        </is>
      </c>
    </row>
    <row r="129">
      <c r="A129" s="5" t="inlineStr">
        <is>
          <t>ДОМА · площадь под кабинет</t>
        </is>
      </c>
      <c r="B129" s="6" t="inlineStr">
        <is>
          <t>cab_area</t>
        </is>
      </c>
      <c r="C129" s="7" t="inlineStr">
        <is>
          <t>default</t>
        </is>
      </c>
      <c r="D129" s="5" t="inlineStr">
        <is>
          <t>ед.: м²</t>
        </is>
      </c>
      <c r="E129" s="5" t="inlineStr">
        <is>
          <t>6</t>
        </is>
      </c>
    </row>
    <row r="130">
      <c r="A130" s="5" t="inlineStr">
        <is>
          <t>ДОМА · доля кабинета</t>
        </is>
      </c>
      <c r="B130" s="6" t="inlineStr">
        <is>
          <t>cab_share</t>
        </is>
      </c>
      <c r="C130" s="7" t="inlineStr">
        <is>
          <t>calc</t>
        </is>
      </c>
      <c r="D130" s="5" t="inlineStr">
        <is>
          <t>ед.: % · зависит от: cab_area, home_area</t>
        </is>
      </c>
      <c r="E130" s="5" t="inlineStr">
        <is>
          <t>IF(home_area=0,0,cab_area/home_area)</t>
        </is>
      </c>
    </row>
    <row r="131">
      <c r="A131" s="5" t="inlineStr">
        <is>
          <t>АРЕНДА · стоимость помещения</t>
        </is>
      </c>
      <c r="B131" s="6" t="inlineStr">
        <is>
          <t>office_rent</t>
        </is>
      </c>
      <c r="C131" s="7" t="inlineStr">
        <is>
          <t>default</t>
        </is>
      </c>
      <c r="D131" s="5" t="inlineStr">
        <is>
          <t>ед.: ₽/мес</t>
        </is>
      </c>
      <c r="E131" s="5" t="inlineStr">
        <is>
          <t>15000</t>
        </is>
      </c>
    </row>
    <row r="132">
      <c r="A132" s="5" t="inlineStr">
        <is>
          <t>АРЕНДА · коммунальные и связь</t>
        </is>
      </c>
      <c r="B132" s="6" t="inlineStr">
        <is>
          <t>office_util</t>
        </is>
      </c>
      <c r="C132" s="7" t="inlineStr">
        <is>
          <t>default</t>
        </is>
      </c>
      <c r="D132" s="5" t="inlineStr">
        <is>
          <t>ед.: ₽/мес</t>
        </is>
      </c>
      <c r="E132" s="5" t="inlineStr">
        <is>
          <t>7000</t>
        </is>
      </c>
    </row>
    <row r="133">
      <c r="A133" s="5" t="inlineStr">
        <is>
          <t>Содержание рабочего места</t>
        </is>
      </c>
      <c r="B133" s="6" t="inlineStr">
        <is>
          <t>var_workspace</t>
        </is>
      </c>
      <c r="C133" s="7" t="inlineStr">
        <is>
          <t>calc</t>
        </is>
      </c>
      <c r="D133" s="5" t="inlineStr">
        <is>
          <t>ед.: ₽/год · зависит от: ws_mode, own_home, home_rent, cab_share, home_util, office_rent, office_util</t>
        </is>
      </c>
      <c r="E133" s="5" t="inlineStr">
        <is>
          <t>IF(ws_mode="Работаю из дома",(IF(own_home="да",0,home_rent)*cab_share+home_util)*months,(office_rent+office_util)*months)</t>
        </is>
      </c>
    </row>
    <row r="134">
      <c r="A134" s="4" t="inlineStr">
        <is>
          <t>6 · Обучение и сайт</t>
        </is>
      </c>
      <c r="B134" s="23" t="n"/>
      <c r="C134" s="23" t="n"/>
      <c r="D134" s="23" t="n"/>
      <c r="E134" s="23" t="n"/>
    </row>
    <row r="135">
      <c r="A135" s="5" t="inlineStr">
        <is>
          <t>Обучение · стоимость курса</t>
        </is>
      </c>
      <c r="B135" s="6" t="inlineStr">
        <is>
          <t>edu_cost</t>
        </is>
      </c>
      <c r="C135" s="7" t="inlineStr">
        <is>
          <t>default</t>
        </is>
      </c>
      <c r="D135" s="5" t="inlineStr">
        <is>
          <t>ед.: ₽</t>
        </is>
      </c>
      <c r="E135" s="5" t="inlineStr">
        <is>
          <t>80000</t>
        </is>
      </c>
    </row>
    <row r="136">
      <c r="A136" s="5" t="inlineStr">
        <is>
          <t>Обучение · месяцев без дохода</t>
        </is>
      </c>
      <c r="B136" s="6" t="inlineStr">
        <is>
          <t>edu_months</t>
        </is>
      </c>
      <c r="C136" s="7" t="inlineStr">
        <is>
          <t>default</t>
        </is>
      </c>
      <c r="D136" s="5" t="inlineStr">
        <is>
          <t>ед.: мес</t>
        </is>
      </c>
      <c r="E136" s="5" t="inlineStr">
        <is>
          <t>4</t>
        </is>
      </c>
    </row>
    <row r="137">
      <c r="A137" s="5" t="inlineStr">
        <is>
          <t>Обучение · срок амортизации</t>
        </is>
      </c>
      <c r="B137" s="6" t="inlineStr">
        <is>
          <t>edu_life</t>
        </is>
      </c>
      <c r="C137" s="7" t="inlineStr">
        <is>
          <t>default</t>
        </is>
      </c>
      <c r="D137" s="5" t="inlineStr">
        <is>
          <t>ед.: лет</t>
        </is>
      </c>
      <c r="E137" s="5" t="inlineStr">
        <is>
          <t>7</t>
        </is>
      </c>
    </row>
    <row r="138">
      <c r="A138" s="14" t="inlineStr">
        <is>
          <t>ПЕРЕКЛЮЧАТЕЛЬ · упущенная выгода</t>
        </is>
      </c>
      <c r="B138" s="15" t="inlineStr">
        <is>
          <t>edu_mode</t>
        </is>
      </c>
      <c r="C138" s="16" t="inlineStr">
        <is>
          <t>switch</t>
        </is>
      </c>
      <c r="D138" s="14" t="inlineStr"/>
      <c r="E138" s="14" t="inlineStr">
        <is>
          <t>Учитывать упущенную выгоду</t>
        </is>
      </c>
    </row>
    <row r="139">
      <c r="A139" s="5" t="inlineStr">
        <is>
          <t>Обучение · упущенная выгода</t>
        </is>
      </c>
      <c r="B139" s="6" t="inlineStr">
        <is>
          <t>edu_opportunity</t>
        </is>
      </c>
      <c r="C139" s="7" t="inlineStr">
        <is>
          <t>calc</t>
        </is>
      </c>
      <c r="D139" s="5" t="inlineStr">
        <is>
          <t>ед.: ₽ · зависит от: edu_mode, edu_months, income_month</t>
        </is>
      </c>
      <c r="E139" s="5" t="inlineStr">
        <is>
          <t>IF(edu_mode="Учитывать упущенную выгоду",edu_months*income_month,0)</t>
        </is>
      </c>
    </row>
    <row r="140">
      <c r="A140" s="5" t="inlineStr">
        <is>
          <t>Амортизация · обучение</t>
        </is>
      </c>
      <c r="B140" s="6" t="inlineStr">
        <is>
          <t>dep_education</t>
        </is>
      </c>
      <c r="C140" s="7" t="inlineStr">
        <is>
          <t>calc</t>
        </is>
      </c>
      <c r="D140" s="5" t="inlineStr">
        <is>
          <t>ед.: ₽/год · зависит от: edu_cost, edu_opportunity, edu_life</t>
        </is>
      </c>
      <c r="E140" s="5" t="inlineStr">
        <is>
          <t>IF(edu_life=0,0,(edu_cost+edu_opportunity)/edu_life)</t>
        </is>
      </c>
    </row>
    <row r="141">
      <c r="A141" s="14" t="inlineStr">
        <is>
          <t>ПЕРЕКЛЮЧАТЕЛЬ · создание сайта</t>
        </is>
      </c>
      <c r="B141" s="15" t="inlineStr">
        <is>
          <t>site_mode</t>
        </is>
      </c>
      <c r="C141" s="16" t="inlineStr">
        <is>
          <t>switch</t>
        </is>
      </c>
      <c r="D141" s="14" t="inlineStr"/>
      <c r="E141" s="14" t="inlineStr">
        <is>
          <t>Нанимал (а) специалиста</t>
        </is>
      </c>
    </row>
    <row r="142">
      <c r="A142" s="5" t="inlineStr">
        <is>
          <t>Сайт · стоимость подрядчика</t>
        </is>
      </c>
      <c r="B142" s="6" t="inlineStr">
        <is>
          <t>site_cost</t>
        </is>
      </c>
      <c r="C142" s="7" t="inlineStr">
        <is>
          <t>default</t>
        </is>
      </c>
      <c r="D142" s="5" t="inlineStr">
        <is>
          <t>ед.: ₽</t>
        </is>
      </c>
      <c r="E142" s="5" t="inlineStr">
        <is>
          <t>70000</t>
        </is>
      </c>
    </row>
    <row r="143">
      <c r="A143" s="5" t="inlineStr">
        <is>
          <t>Сайт · часов своими руками</t>
        </is>
      </c>
      <c r="B143" s="6" t="inlineStr">
        <is>
          <t>site_hours</t>
        </is>
      </c>
      <c r="C143" s="7" t="inlineStr">
        <is>
          <t>default</t>
        </is>
      </c>
      <c r="D143" s="5" t="inlineStr">
        <is>
          <t>ед.: ч</t>
        </is>
      </c>
      <c r="E143" s="5" t="inlineStr">
        <is>
          <t>0</t>
        </is>
      </c>
    </row>
    <row r="144">
      <c r="A144" s="5" t="inlineStr">
        <is>
          <t>Сайт · срок амортизации</t>
        </is>
      </c>
      <c r="B144" s="6" t="inlineStr">
        <is>
          <t>site_life</t>
        </is>
      </c>
      <c r="C144" s="7" t="inlineStr">
        <is>
          <t>default</t>
        </is>
      </c>
      <c r="D144" s="5" t="inlineStr">
        <is>
          <t>ед.: лет</t>
        </is>
      </c>
      <c r="E144" s="5" t="inlineStr">
        <is>
          <t>7</t>
        </is>
      </c>
    </row>
    <row r="145">
      <c r="A145" s="5" t="inlineStr">
        <is>
          <t>Амортизация · сайт</t>
        </is>
      </c>
      <c r="B145" s="6" t="inlineStr">
        <is>
          <t>dep_website</t>
        </is>
      </c>
      <c r="C145" s="7" t="inlineStr">
        <is>
          <t>calc</t>
        </is>
      </c>
      <c r="D145" s="5" t="inlineStr">
        <is>
          <t>ед.: ₽/год · зависит от: site_mode, site_cost, site_life</t>
        </is>
      </c>
      <c r="E145" s="5" t="inlineStr">
        <is>
          <t>IF(site_mode="Нанимал (а) специалиста",IF(site_life=0,0,site_cost/site_life),0)</t>
        </is>
      </c>
    </row>
    <row r="146">
      <c r="A146" s="5" t="inlineStr">
        <is>
          <t>Сайт · поправка знаменателя</t>
        </is>
      </c>
      <c r="B146" s="6" t="inlineStr">
        <is>
          <t>site_divisor</t>
        </is>
      </c>
      <c r="C146" s="7" t="inlineStr">
        <is>
          <t>calc</t>
        </is>
      </c>
      <c r="D146" s="5" t="inlineStr">
        <is>
          <t xml:space="preserve"> · зависит от: site_mode, site_hours, site_life, net_time</t>
        </is>
      </c>
      <c r="E146" s="5" t="inlineStr">
        <is>
          <t>IF(site_mode="Нанимал (а) специалиста",0,IF(site_life*net_time=0,0,site_hours/(site_life*net_time)))</t>
        </is>
      </c>
    </row>
    <row r="147">
      <c r="A147" s="4" t="inlineStr">
        <is>
          <t>7 · Расходы</t>
        </is>
      </c>
      <c r="B147" s="23" t="n"/>
      <c r="C147" s="23" t="n"/>
      <c r="D147" s="23" t="n"/>
      <c r="E147" s="23" t="n"/>
    </row>
    <row r="148">
      <c r="A148" s="5" t="inlineStr">
        <is>
          <t>Амортизация · съёмочное оборудование</t>
        </is>
      </c>
      <c r="B148" s="6" t="inlineStr">
        <is>
          <t>dep_shoot</t>
        </is>
      </c>
      <c r="C148" s="7" t="inlineStr">
        <is>
          <t>calc</t>
        </is>
      </c>
      <c r="D148" s="5" t="inlineStr">
        <is>
          <t>ед.: ₽/год · зависит от: Form001</t>
        </is>
      </c>
      <c r="E148" s="5" t="inlineStr">
        <is>
          <t>SUMIF(cat_form,"Form001",cat_year)</t>
        </is>
      </c>
    </row>
    <row r="149">
      <c r="A149" s="5" t="inlineStr">
        <is>
          <t>Амортизация · офисное оборудование</t>
        </is>
      </c>
      <c r="B149" s="6" t="inlineStr">
        <is>
          <t>dep_office</t>
        </is>
      </c>
      <c r="C149" s="7" t="inlineStr">
        <is>
          <t>calc</t>
        </is>
      </c>
      <c r="D149" s="5" t="inlineStr">
        <is>
          <t>ед.: ₽/год · зависит от: Form002</t>
        </is>
      </c>
      <c r="E149" s="5" t="inlineStr">
        <is>
          <t>SUMIF(cat_form,"Form002",cat_year)</t>
        </is>
      </c>
    </row>
    <row r="150">
      <c r="A150" s="5" t="inlineStr">
        <is>
          <t>Амортизация · ПО разовые покупки</t>
        </is>
      </c>
      <c r="B150" s="6" t="inlineStr">
        <is>
          <t>dep_software</t>
        </is>
      </c>
      <c r="C150" s="7" t="inlineStr">
        <is>
          <t>calc</t>
        </is>
      </c>
      <c r="D150" s="5" t="inlineStr">
        <is>
          <t>ед.: ₽/год · зависит от: Form004</t>
        </is>
      </c>
      <c r="E150" s="5" t="inlineStr">
        <is>
          <t>SUMIF(cat_form,"Form004",cat_year)</t>
        </is>
      </c>
    </row>
    <row r="151">
      <c r="A151" s="5" t="inlineStr">
        <is>
          <t>Амортизация · обустройство места</t>
        </is>
      </c>
      <c r="B151" s="6" t="inlineStr">
        <is>
          <t>dep_workspace</t>
        </is>
      </c>
      <c r="C151" s="7" t="inlineStr">
        <is>
          <t>calc</t>
        </is>
      </c>
      <c r="D151" s="5" t="inlineStr">
        <is>
          <t>ед.: ₽/год · зависит от: Form013</t>
        </is>
      </c>
      <c r="E151" s="5" t="inlineStr">
        <is>
          <t>SUMIF(cat_form,"Form013",cat_year)</t>
        </is>
      </c>
    </row>
    <row r="152">
      <c r="A152" s="5" t="inlineStr">
        <is>
          <t>ИТОГО амортизация</t>
        </is>
      </c>
      <c r="B152" s="6" t="inlineStr">
        <is>
          <t>investment</t>
        </is>
      </c>
      <c r="C152" s="7" t="inlineStr">
        <is>
          <t>calc</t>
        </is>
      </c>
      <c r="D152" s="5" t="inlineStr">
        <is>
          <t>ед.: ₽/год · зависит от: dep_*</t>
        </is>
      </c>
      <c r="E152" s="5" t="inlineStr">
        <is>
          <t>dep_shoot+dep_office+dep_software+dep_workspace+dep_education+dep_website</t>
        </is>
      </c>
    </row>
    <row r="153">
      <c r="A153" s="5" t="inlineStr">
        <is>
          <t>Переменные · подписки ПО</t>
        </is>
      </c>
      <c r="B153" s="6" t="inlineStr">
        <is>
          <t>var_software</t>
        </is>
      </c>
      <c r="C153" s="7" t="inlineStr">
        <is>
          <t>calc</t>
        </is>
      </c>
      <c r="D153" s="5" t="inlineStr">
        <is>
          <t>ед.: ₽/год · зависит от: Form003</t>
        </is>
      </c>
      <c r="E153" s="5" t="inlineStr">
        <is>
          <t>SUMIF(cat_form,"Form003",cat_year)</t>
        </is>
      </c>
    </row>
    <row r="154">
      <c r="A154" s="5" t="inlineStr">
        <is>
          <t>Переменные · реклама и продвижение</t>
        </is>
      </c>
      <c r="B154" s="6" t="inlineStr">
        <is>
          <t>var_ads</t>
        </is>
      </c>
      <c r="C154" s="7" t="inlineStr">
        <is>
          <t>calc</t>
        </is>
      </c>
      <c r="D154" s="5" t="inlineStr">
        <is>
          <t>ед.: ₽/год · зависит от: Form010</t>
        </is>
      </c>
      <c r="E154" s="5" t="inlineStr">
        <is>
          <t>SUMIF(cat_form,"Form010",cat_year)</t>
        </is>
      </c>
    </row>
    <row r="155">
      <c r="A155" s="5" t="inlineStr">
        <is>
          <t>Переменные · банк РКО и СМС</t>
        </is>
      </c>
      <c r="B155" s="6" t="inlineStr">
        <is>
          <t>var_bank</t>
        </is>
      </c>
      <c r="C155" s="7" t="inlineStr">
        <is>
          <t>calc</t>
        </is>
      </c>
      <c r="D155" s="5" t="inlineStr">
        <is>
          <t>ед.: ₽/год · зависит от: Form007</t>
        </is>
      </c>
      <c r="E155" s="5" t="inlineStr">
        <is>
          <t>SUMIF(cat_form,"Form007",cat_year)</t>
        </is>
      </c>
    </row>
    <row r="156">
      <c r="A156" s="5" t="inlineStr">
        <is>
          <t>Бухгалтер · стоимость в месяц</t>
        </is>
      </c>
      <c r="B156" s="6" t="inlineStr">
        <is>
          <t>acc_cost_month</t>
        </is>
      </c>
      <c r="C156" s="7" t="inlineStr">
        <is>
          <t>default</t>
        </is>
      </c>
      <c r="D156" s="5" t="inlineStr">
        <is>
          <t>ед.: ₽/мес</t>
        </is>
      </c>
      <c r="E156" s="5" t="inlineStr">
        <is>
          <t>10000</t>
        </is>
      </c>
    </row>
    <row r="157">
      <c r="A157" s="5" t="inlineStr">
        <is>
          <t>Переменные · бухгалтер</t>
        </is>
      </c>
      <c r="B157" s="6" t="inlineStr">
        <is>
          <t>var_accounting</t>
        </is>
      </c>
      <c r="C157" s="7" t="inlineStr">
        <is>
          <t>calc</t>
        </is>
      </c>
      <c r="D157" s="5" t="inlineStr">
        <is>
          <t>ед.: ₽/год · зависит от: acc_mode, acc_cost_month, months</t>
        </is>
      </c>
      <c r="E157" s="5" t="inlineStr">
        <is>
          <t>IF(acc_mode="Нанимаю бухгалтера",acc_cost_month*months,0)</t>
        </is>
      </c>
    </row>
    <row r="158">
      <c r="A158" s="5" t="inlineStr">
        <is>
          <t>ИТОГО переменные</t>
        </is>
      </c>
      <c r="B158" s="6" t="inlineStr">
        <is>
          <t>variable_costs</t>
        </is>
      </c>
      <c r="C158" s="7" t="inlineStr">
        <is>
          <t>calc</t>
        </is>
      </c>
      <c r="D158" s="5" t="inlineStr">
        <is>
          <t>ед.: ₽/год · зависит от: var_*</t>
        </is>
      </c>
      <c r="E158" s="5" t="inlineStr">
        <is>
          <t>var_software+var_ads+var_bank+var_accounting+var_workspace</t>
        </is>
      </c>
    </row>
    <row r="159">
      <c r="A159" s="5" t="inlineStr">
        <is>
          <t>ВСЕГО РАСХОДОВ (C)</t>
        </is>
      </c>
      <c r="B159" s="6" t="inlineStr">
        <is>
          <t>total_costs</t>
        </is>
      </c>
      <c r="C159" s="7" t="inlineStr">
        <is>
          <t>calc</t>
        </is>
      </c>
      <c r="D159" s="5" t="inlineStr">
        <is>
          <t>ед.: ₽/год · зависит от: investment, variable_costs</t>
        </is>
      </c>
      <c r="E159" s="5" t="inlineStr">
        <is>
          <t>investment+variable_costs</t>
        </is>
      </c>
    </row>
    <row r="160">
      <c r="A160" s="5" t="inlineStr">
        <is>
          <t>База для выручки</t>
        </is>
      </c>
      <c r="B160" s="6" t="inlineStr">
        <is>
          <t>revenue_base</t>
        </is>
      </c>
      <c r="C160" s="7" t="inlineStr">
        <is>
          <t>calc</t>
        </is>
      </c>
      <c r="D160" s="5" t="inlineStr">
        <is>
          <t>ед.: ₽/год · зависит от: target_income, total_costs</t>
        </is>
      </c>
      <c r="E160" s="5" t="inlineStr">
        <is>
          <t>target_income+total_costs</t>
        </is>
      </c>
    </row>
    <row r="161">
      <c r="A161" s="4" t="inlineStr">
        <is>
          <t>8 · Налоги</t>
        </is>
      </c>
      <c r="B161" s="23" t="n"/>
      <c r="C161" s="23" t="n"/>
      <c r="D161" s="23" t="n"/>
      <c r="E161" s="23" t="n"/>
    </row>
    <row r="162">
      <c r="A162" s="14" t="inlineStr">
        <is>
          <t>ПЕРЕКЛЮЧАТЕЛЬ · режим налогообложения</t>
        </is>
      </c>
      <c r="B162" s="15" t="inlineStr">
        <is>
          <t>regime</t>
        </is>
      </c>
      <c r="C162" s="16" t="inlineStr">
        <is>
          <t>switch</t>
        </is>
      </c>
      <c r="D162" s="14" t="inlineStr"/>
      <c r="E162" s="14" t="inlineStr">
        <is>
          <t>Самозанятый (НПД), средняя ставка</t>
        </is>
      </c>
    </row>
    <row r="163">
      <c r="A163" s="5" t="inlineStr">
        <is>
          <t>НПД · средняя ставка</t>
        </is>
      </c>
      <c r="B163" s="6" t="inlineStr">
        <is>
          <t>rate_npd_avg</t>
        </is>
      </c>
      <c r="C163" s="7" t="inlineStr">
        <is>
          <t>default</t>
        </is>
      </c>
      <c r="D163" s="5" t="inlineStr">
        <is>
          <t>ед.: %</t>
        </is>
      </c>
      <c r="E163" s="5" t="inlineStr">
        <is>
          <t>0.05</t>
        </is>
      </c>
    </row>
    <row r="164">
      <c r="A164" s="5" t="inlineStr">
        <is>
          <t>НПД · физлица</t>
        </is>
      </c>
      <c r="B164" s="6" t="inlineStr">
        <is>
          <t>rate_npd_fiz</t>
        </is>
      </c>
      <c r="C164" s="7" t="inlineStr">
        <is>
          <t>const</t>
        </is>
      </c>
      <c r="D164" s="5" t="inlineStr">
        <is>
          <t>ед.: %</t>
        </is>
      </c>
      <c r="E164" s="5" t="inlineStr">
        <is>
          <t>0.04</t>
        </is>
      </c>
    </row>
    <row r="165">
      <c r="A165" s="5" t="inlineStr">
        <is>
          <t>НПД · юрлица</t>
        </is>
      </c>
      <c r="B165" s="6" t="inlineStr">
        <is>
          <t>rate_npd_ur</t>
        </is>
      </c>
      <c r="C165" s="7" t="inlineStr">
        <is>
          <t>const</t>
        </is>
      </c>
      <c r="D165" s="5" t="inlineStr">
        <is>
          <t>ед.: %</t>
        </is>
      </c>
      <c r="E165" s="5" t="inlineStr">
        <is>
          <t>0.06</t>
        </is>
      </c>
    </row>
    <row r="166">
      <c r="A166" s="5" t="inlineStr">
        <is>
          <t>УСН доходы</t>
        </is>
      </c>
      <c r="B166" s="6" t="inlineStr">
        <is>
          <t>rate_usn_inc</t>
        </is>
      </c>
      <c r="C166" s="7" t="inlineStr">
        <is>
          <t>default</t>
        </is>
      </c>
      <c r="D166" s="5" t="inlineStr">
        <is>
          <t>ед.: %</t>
        </is>
      </c>
      <c r="E166" s="5" t="inlineStr">
        <is>
          <t>0.06</t>
        </is>
      </c>
    </row>
    <row r="167">
      <c r="A167" s="5" t="inlineStr">
        <is>
          <t>УСН доходы минус расходы</t>
        </is>
      </c>
      <c r="B167" s="6" t="inlineStr">
        <is>
          <t>rate_usn_prof</t>
        </is>
      </c>
      <c r="C167" s="7" t="inlineStr">
        <is>
          <t>default</t>
        </is>
      </c>
      <c r="D167" s="5" t="inlineStr">
        <is>
          <t>ед.: %</t>
        </is>
      </c>
      <c r="E167" s="5" t="inlineStr">
        <is>
          <t>0.15</t>
        </is>
      </c>
    </row>
    <row r="168">
      <c r="A168" s="5" t="inlineStr">
        <is>
          <t>АУСН доходы</t>
        </is>
      </c>
      <c r="B168" s="6" t="inlineStr">
        <is>
          <t>rate_ausn_inc</t>
        </is>
      </c>
      <c r="C168" s="7" t="inlineStr">
        <is>
          <t>const</t>
        </is>
      </c>
      <c r="D168" s="5" t="inlineStr">
        <is>
          <t>ед.: %</t>
        </is>
      </c>
      <c r="E168" s="5" t="inlineStr">
        <is>
          <t>0.08</t>
        </is>
      </c>
    </row>
    <row r="169">
      <c r="A169" s="5" t="inlineStr">
        <is>
          <t>АУСН доходы минус расходы</t>
        </is>
      </c>
      <c r="B169" s="6" t="inlineStr">
        <is>
          <t>rate_ausn_prof</t>
        </is>
      </c>
      <c r="C169" s="7" t="inlineStr">
        <is>
          <t>const</t>
        </is>
      </c>
      <c r="D169" s="5" t="inlineStr">
        <is>
          <t>ед.: %</t>
        </is>
      </c>
      <c r="E169" s="5" t="inlineStr">
        <is>
          <t>0.2</t>
        </is>
      </c>
    </row>
    <row r="170">
      <c r="A170" s="5" t="inlineStr">
        <is>
          <t>Номер режима (1–7)</t>
        </is>
      </c>
      <c r="B170" s="6" t="inlineStr">
        <is>
          <t>regime_no</t>
        </is>
      </c>
      <c r="C170" s="7" t="inlineStr">
        <is>
          <t>calc</t>
        </is>
      </c>
      <c r="D170" s="5" t="inlineStr">
        <is>
          <t>ед.: № · зависит от: regime</t>
        </is>
      </c>
      <c r="E170" s="5" t="inlineStr">
        <is>
          <t>MATCH(regime,{"Самозанятый (НПД), средняя ставка";"Самозанятый (НПД), Физ. лица";"Самозанятый (НПД), Юр. лица";"УСН доходы";"УСН доходы минус расходы";"АУСН доходы";"АУСН доходы минус расходы"},0)</t>
        </is>
      </c>
    </row>
    <row r="171">
      <c r="A171" s="5" t="inlineStr">
        <is>
          <t>Ставка выбранного режима</t>
        </is>
      </c>
      <c r="B171" s="6" t="inlineStr">
        <is>
          <t>rate_current</t>
        </is>
      </c>
      <c r="C171" s="7" t="inlineStr">
        <is>
          <t>calc</t>
        </is>
      </c>
      <c r="D171" s="5" t="inlineStr">
        <is>
          <t>ед.: % · зависит от: regime_no</t>
        </is>
      </c>
      <c r="E171" s="5" t="inlineStr">
        <is>
          <t>CHOOSE(regime_no,rate_npd_avg,rate_npd_fiz,rate_npd_ur,rate_usn_inc,rate_usn_prof,rate_ausn_inc,rate_ausn_prof)</t>
        </is>
      </c>
    </row>
    <row r="172">
      <c r="A172" s="5" t="inlineStr">
        <is>
          <t>Фиксированные взносы ИП</t>
        </is>
      </c>
      <c r="B172" s="6" t="inlineStr">
        <is>
          <t>fixed_contrib</t>
        </is>
      </c>
      <c r="C172" s="7" t="inlineStr">
        <is>
          <t>const</t>
        </is>
      </c>
      <c r="D172" s="5" t="inlineStr">
        <is>
          <t>ед.: ₽/год</t>
        </is>
      </c>
      <c r="E172" s="5" t="inlineStr">
        <is>
          <t>57390</t>
        </is>
      </c>
    </row>
    <row r="173">
      <c r="A173" s="5" t="inlineStr">
        <is>
          <t>Дополнительный взнос</t>
        </is>
      </c>
      <c r="B173" s="6" t="inlineStr">
        <is>
          <t>extra_contrib</t>
        </is>
      </c>
      <c r="C173" s="7" t="inlineStr">
        <is>
          <t>const</t>
        </is>
      </c>
      <c r="D173" s="5" t="inlineStr">
        <is>
          <t>ед.: %</t>
        </is>
      </c>
      <c r="E173" s="5" t="inlineStr">
        <is>
          <t>0.01</t>
        </is>
      </c>
    </row>
    <row r="174">
      <c r="A174" s="5" t="inlineStr">
        <is>
          <t>Предельная величина дохода</t>
        </is>
      </c>
      <c r="B174" s="6" t="inlineStr">
        <is>
          <t>contrib_threshold</t>
        </is>
      </c>
      <c r="C174" s="7" t="inlineStr">
        <is>
          <t>const</t>
        </is>
      </c>
      <c r="D174" s="5" t="inlineStr">
        <is>
          <t>ед.: ₽/год</t>
        </is>
      </c>
      <c r="E174" s="5" t="inlineStr">
        <is>
          <t>300000</t>
        </is>
      </c>
    </row>
    <row r="175">
      <c r="A175" s="5" t="inlineStr">
        <is>
          <t>Максимум допвзноса</t>
        </is>
      </c>
      <c r="B175" s="6" t="inlineStr">
        <is>
          <t>contrib_cap</t>
        </is>
      </c>
      <c r="C175" s="7" t="inlineStr">
        <is>
          <t>const</t>
        </is>
      </c>
      <c r="D175" s="5" t="inlineStr">
        <is>
          <t>ед.: ₽/год</t>
        </is>
      </c>
      <c r="E175" s="5" t="inlineStr">
        <is>
          <t>321818</t>
        </is>
      </c>
    </row>
    <row r="176">
      <c r="A176" s="5" t="inlineStr">
        <is>
          <t>Поправка на порог</t>
        </is>
      </c>
      <c r="B176" s="6" t="inlineStr">
        <is>
          <t>threshold_credit</t>
        </is>
      </c>
      <c r="C176" s="7" t="inlineStr">
        <is>
          <t>calc</t>
        </is>
      </c>
      <c r="D176" s="5" t="inlineStr">
        <is>
          <t>ед.: ₽ · зависит от: contrib_threshold, extra_contrib</t>
        </is>
      </c>
      <c r="E176" s="5" t="inlineStr">
        <is>
          <t>contrib_threshold*extra_contrib</t>
        </is>
      </c>
    </row>
    <row r="177">
      <c r="A177" s="5" t="inlineStr">
        <is>
          <t>Минимальный налог УСН Д−Р</t>
        </is>
      </c>
      <c r="B177" s="6" t="inlineStr">
        <is>
          <t>min_tax_usn</t>
        </is>
      </c>
      <c r="C177" s="7" t="inlineStr">
        <is>
          <t>const</t>
        </is>
      </c>
      <c r="D177" s="5" t="inlineStr">
        <is>
          <t>ед.: %</t>
        </is>
      </c>
      <c r="E177" s="5" t="inlineStr">
        <is>
          <t>0.01</t>
        </is>
      </c>
    </row>
    <row r="178">
      <c r="A178" s="5" t="inlineStr">
        <is>
          <t>Минимальный налог АУСН Д−Р</t>
        </is>
      </c>
      <c r="B178" s="6" t="inlineStr">
        <is>
          <t>min_tax_ausn</t>
        </is>
      </c>
      <c r="C178" s="7" t="inlineStr">
        <is>
          <t>const</t>
        </is>
      </c>
      <c r="D178" s="5" t="inlineStr">
        <is>
          <t>ед.: %</t>
        </is>
      </c>
      <c r="E178" s="5" t="inlineStr">
        <is>
          <t>0.03</t>
        </is>
      </c>
    </row>
    <row r="179">
      <c r="A179" s="5" t="inlineStr">
        <is>
          <t>Взнос на травматизм (АУСН)</t>
        </is>
      </c>
      <c r="B179" s="6" t="inlineStr">
        <is>
          <t>injury_contrib</t>
        </is>
      </c>
      <c r="C179" s="7" t="inlineStr">
        <is>
          <t>default</t>
        </is>
      </c>
      <c r="D179" s="5" t="inlineStr">
        <is>
          <t>ед.: ₽/год</t>
        </is>
      </c>
      <c r="E179" s="5" t="inlineStr">
        <is>
          <t>0</t>
        </is>
      </c>
    </row>
    <row r="180">
      <c r="A180" s="5" t="inlineStr">
        <is>
          <t>Эквайринг · ставка</t>
        </is>
      </c>
      <c r="B180" s="6" t="inlineStr">
        <is>
          <t>acq_rate</t>
        </is>
      </c>
      <c r="C180" s="7" t="inlineStr">
        <is>
          <t>default</t>
        </is>
      </c>
      <c r="D180" s="5" t="inlineStr">
        <is>
          <t>ед.: %</t>
        </is>
      </c>
      <c r="E180" s="5" t="inlineStr">
        <is>
          <t>0.027</t>
        </is>
      </c>
    </row>
    <row r="181">
      <c r="A181" s="5" t="inlineStr">
        <is>
          <t>Эквайринг · доля безналичных оплат</t>
        </is>
      </c>
      <c r="B181" s="6" t="inlineStr">
        <is>
          <t>acq_share</t>
        </is>
      </c>
      <c r="C181" s="7" t="inlineStr">
        <is>
          <t>default</t>
        </is>
      </c>
      <c r="D181" s="5" t="inlineStr">
        <is>
          <t>ед.: %</t>
        </is>
      </c>
      <c r="E181" s="5" t="inlineStr">
        <is>
          <t>1.0</t>
        </is>
      </c>
    </row>
    <row r="182">
      <c r="A182" s="5" t="inlineStr">
        <is>
          <t>Эквайринг · эффективно</t>
        </is>
      </c>
      <c r="B182" s="6" t="inlineStr">
        <is>
          <t>acquiring</t>
        </is>
      </c>
      <c r="C182" s="7" t="inlineStr">
        <is>
          <t>calc</t>
        </is>
      </c>
      <c r="D182" s="5" t="inlineStr">
        <is>
          <t>ед.: % · зависит от: acq_rate, acq_share</t>
        </is>
      </c>
      <c r="E182" s="5" t="inlineStr">
        <is>
          <t>acq_rate*acq_share</t>
        </is>
      </c>
    </row>
    <row r="183">
      <c r="A183" s="5" t="inlineStr">
        <is>
          <t>Порог освобождения от НДС</t>
        </is>
      </c>
      <c r="B183" s="6" t="inlineStr">
        <is>
          <t>vat_threshold</t>
        </is>
      </c>
      <c r="C183" s="7" t="inlineStr">
        <is>
          <t>const</t>
        </is>
      </c>
      <c r="D183" s="5" t="inlineStr">
        <is>
          <t>ед.: ₽/год</t>
        </is>
      </c>
      <c r="E183" s="5" t="inlineStr">
        <is>
          <t>20000000</t>
        </is>
      </c>
    </row>
    <row r="184">
      <c r="A184" s="5" t="inlineStr">
        <is>
          <t>Лимит НПД</t>
        </is>
      </c>
      <c r="B184" s="6" t="inlineStr">
        <is>
          <t>limit_npd</t>
        </is>
      </c>
      <c r="C184" s="7" t="inlineStr">
        <is>
          <t>const</t>
        </is>
      </c>
      <c r="D184" s="5" t="inlineStr">
        <is>
          <t>ед.: ₽/год</t>
        </is>
      </c>
      <c r="E184" s="5" t="inlineStr">
        <is>
          <t>2400000</t>
        </is>
      </c>
    </row>
    <row r="185">
      <c r="A185" s="5" t="inlineStr">
        <is>
          <t>Лимит АУСН</t>
        </is>
      </c>
      <c r="B185" s="6" t="inlineStr">
        <is>
          <t>limit_ausn</t>
        </is>
      </c>
      <c r="C185" s="7" t="inlineStr">
        <is>
          <t>const</t>
        </is>
      </c>
      <c r="D185" s="5" t="inlineStr">
        <is>
          <t>ед.: ₽/год</t>
        </is>
      </c>
      <c r="E185" s="5" t="inlineStr">
        <is>
          <t>60000000</t>
        </is>
      </c>
    </row>
    <row r="186">
      <c r="A186" s="4" t="inlineStr">
        <is>
          <t>9 · Справочные ставки</t>
        </is>
      </c>
      <c r="B186" s="23" t="n"/>
      <c r="C186" s="23" t="n"/>
      <c r="D186" s="23" t="n"/>
      <c r="E186" s="23" t="n"/>
    </row>
    <row r="187">
      <c r="A187" s="5" t="inlineStr">
        <is>
          <t>Наивная ставка</t>
        </is>
      </c>
      <c r="B187" s="6" t="inlineStr">
        <is>
          <t>naive_rate</t>
        </is>
      </c>
      <c r="C187" s="7" t="inlineStr">
        <is>
          <t>calc</t>
        </is>
      </c>
      <c r="D187" s="5" t="inlineStr">
        <is>
          <t>ед.: ₽/ч · зависит от: target_income, shooting_time</t>
        </is>
      </c>
      <c r="E187" s="5" t="inlineStr">
        <is>
          <t>IF(shooting_time=0,0,target_income/shooting_time)</t>
        </is>
      </c>
    </row>
    <row r="188">
      <c r="A188" s="5" t="inlineStr">
        <is>
          <t>Базовая ставка часа</t>
        </is>
      </c>
      <c r="B188" s="6" t="inlineStr">
        <is>
          <t>base_rate</t>
        </is>
      </c>
      <c r="C188" s="7" t="inlineStr">
        <is>
          <t>calc</t>
        </is>
      </c>
      <c r="D188" s="5" t="inlineStr">
        <is>
          <t>ед.: ₽/ч · зависит от: target_income, net_time</t>
        </is>
      </c>
      <c r="E188" s="5" t="inlineStr">
        <is>
          <t>target_income/net_time</t>
        </is>
      </c>
    </row>
    <row r="189">
      <c r="A189" s="5" t="inlineStr">
        <is>
          <t>Операционная ставка часа</t>
        </is>
      </c>
      <c r="B189" s="6" t="inlineStr">
        <is>
          <t>ops_rate</t>
        </is>
      </c>
      <c r="C189" s="7" t="inlineStr">
        <is>
          <t>calc</t>
        </is>
      </c>
      <c r="D189" s="5" t="inlineStr">
        <is>
          <t>ед.: ₽/ч · зависит от: revenue_base, shooting_time</t>
        </is>
      </c>
      <c r="E189" s="5" t="inlineStr">
        <is>
          <t>IF(shooting_time=0,0,revenue_base/shooting_time)</t>
        </is>
      </c>
    </row>
    <row r="190">
      <c r="A190" s="5" t="inlineStr">
        <is>
          <t>ПОЛНАЯ ставка рабочего часа</t>
        </is>
      </c>
      <c r="B190" s="6" t="inlineStr">
        <is>
          <t>full_hour_rate</t>
        </is>
      </c>
      <c r="C190" s="7" t="inlineStr">
        <is>
          <t>calc</t>
        </is>
      </c>
      <c r="D190" s="5" t="inlineStr">
        <is>
          <t>ед.: ₽/ч · зависит от: выручка, net_time</t>
        </is>
      </c>
      <c r="E190" s="5" t="inlineStr">
        <is>
          <t>IF(net_time=0,0,CHOOSE(regime_no,'05_Расчёт'!B4,'05_Расчёт'!C4,'05_Расчёт'!D4,'05_Расчёт'!E4,'05_Расчёт'!F4,'05_Расчёт'!G4,'05_Расчёт'!H4)/net_time)</t>
        </is>
      </c>
    </row>
    <row r="191">
      <c r="A191" s="5" t="inlineStr">
        <is>
          <t>Сайт · оценка своего труда</t>
        </is>
      </c>
      <c r="B191" s="6" t="inlineStr">
        <is>
          <t>site_value</t>
        </is>
      </c>
      <c r="C191" s="7" t="inlineStr">
        <is>
          <t>calc</t>
        </is>
      </c>
      <c r="D191" s="5" t="inlineStr">
        <is>
          <t>ед.: ₽ · зависит от: site_mode, site_cost, site_hours, full_hour_rate</t>
        </is>
      </c>
      <c r="E191" s="5" t="inlineStr">
        <is>
          <t>IF(site_mode="Нанимал (а) специалиста",site_cost,site_hours*full_hour_rate)</t>
        </is>
      </c>
    </row>
    <row r="192">
      <c r="A192" s="24" t="inlineStr">
        <is>
          <t>Прочие</t>
        </is>
      </c>
      <c r="B192" s="23" t="n"/>
      <c r="C192" s="23" t="n"/>
      <c r="D192" s="23" t="n"/>
      <c r="E192" s="23" t="n"/>
    </row>
    <row r="193">
      <c r="A193" s="5" t="inlineStr">
        <is>
          <t>Время на заказы до резерва</t>
        </is>
      </c>
      <c r="B193" s="6" t="inlineStr">
        <is>
          <t>pool_gross</t>
        </is>
      </c>
      <c r="C193" s="7" t="inlineStr">
        <is>
          <t>calc</t>
        </is>
      </c>
      <c r="D193" s="5" t="inlineStr">
        <is>
          <t>ч/год</t>
        </is>
      </c>
      <c r="E193" s="5" t="inlineStr">
        <is>
          <t>net_time-side_time</t>
        </is>
      </c>
    </row>
    <row r="194">
      <c r="A194" s="5" t="inlineStr">
        <is>
          <t>ПЕРЕКЛЮЧАТЕЛЬ · резерв на форс-мажоры</t>
        </is>
      </c>
      <c r="B194" s="6" t="inlineStr">
        <is>
          <t>fm_on</t>
        </is>
      </c>
      <c r="C194" s="7" t="inlineStr">
        <is>
          <t>default</t>
        </is>
      </c>
      <c r="D194" s="5" t="inlineStr"/>
      <c r="E194" s="5" t="inlineStr">
        <is>
          <t>Заложить резерв</t>
        </is>
      </c>
    </row>
    <row r="195">
      <c r="A195" s="5" t="inlineStr">
        <is>
          <t>Резерв на форс-мажоры, %</t>
        </is>
      </c>
      <c r="B195" s="6" t="inlineStr">
        <is>
          <t>fm_pct</t>
        </is>
      </c>
      <c r="C195" s="7" t="inlineStr">
        <is>
          <t>default</t>
        </is>
      </c>
      <c r="D195" s="5" t="inlineStr">
        <is>
          <t>%</t>
        </is>
      </c>
      <c r="E195" s="5" t="inlineStr">
        <is>
          <t>0.05</t>
        </is>
      </c>
    </row>
    <row r="196">
      <c r="A196" s="5" t="inlineStr">
        <is>
          <t>Резерв на форс-мажоры, часов</t>
        </is>
      </c>
      <c r="B196" s="6" t="inlineStr">
        <is>
          <t>fm_time</t>
        </is>
      </c>
      <c r="C196" s="7" t="inlineStr">
        <is>
          <t>calc</t>
        </is>
      </c>
      <c r="D196" s="5" t="inlineStr">
        <is>
          <t>ч/год</t>
        </is>
      </c>
      <c r="E196" s="5" t="inlineStr">
        <is>
          <t>IF(fm_on="Заложить резерв",pool_gross*fm_pct,0)</t>
        </is>
      </c>
    </row>
    <row r="197">
      <c r="A197" s="5" t="inlineStr">
        <is>
          <t>Резерв, часов в неделю</t>
        </is>
      </c>
      <c r="B197" s="6" t="inlineStr">
        <is>
          <t>fm_week</t>
        </is>
      </c>
      <c r="C197" s="7" t="inlineStr">
        <is>
          <t>calc</t>
        </is>
      </c>
      <c r="D197" s="5" t="inlineStr">
        <is>
          <t>ч/нед</t>
        </is>
      </c>
      <c r="E197" s="5" t="inlineStr">
        <is>
          <t>IF(net_weeks=0,0,fm_time/net_weeks)</t>
        </is>
      </c>
    </row>
  </sheetData>
  <mergeCells count="9">
    <mergeCell ref="A30:E30"/>
    <mergeCell ref="A35:E35"/>
    <mergeCell ref="A54:E54"/>
    <mergeCell ref="A72:E72"/>
    <mergeCell ref="A64:E64"/>
    <mergeCell ref="A11:E11"/>
    <mergeCell ref="A1:E1"/>
    <mergeCell ref="A45:E45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  <col width="16" customWidth="1" min="3" max="3"/>
    <col width="9" customWidth="1" min="4" max="4"/>
    <col width="50" customWidth="1" min="5" max="5"/>
    <col width="9" customWidth="1" min="6" max="6"/>
    <col width="28" customWidth="1" min="7" max="7"/>
    <col width="24" customWidth="1" min="8" max="8"/>
  </cols>
  <sheetData>
    <row r="1">
      <c r="A1" s="1" t="inlineStr">
        <is>
          <t>02 · ПАРАМЕТРЫ — каждая величина объявлена один раз, формулы записаны через ID</t>
        </is>
      </c>
    </row>
    <row r="2">
      <c r="A2" s="25" t="inlineStr">
        <is>
          <t>Жёлтое — ввод пользователя. Оранжевое — ПЕРЕКЛЮЧАТЕЛЬ (выпадающий список). Зелёное — вычисляется. Серое — константа.</t>
        </is>
      </c>
    </row>
    <row r="4">
      <c r="A4" s="3" t="inlineStr">
        <is>
          <t>1 · КАЛЕНДАРЬ</t>
        </is>
      </c>
    </row>
    <row r="5" ht="26" customHeight="1">
      <c r="A5" s="26" t="inlineStr">
        <is>
          <t>ID</t>
        </is>
      </c>
      <c r="B5" s="26" t="inlineStr">
        <is>
          <t>Название</t>
        </is>
      </c>
      <c r="C5" s="26" t="inlineStr">
        <is>
          <t>Значение</t>
        </is>
      </c>
      <c r="D5" s="26" t="inlineStr">
        <is>
          <t>Ед.</t>
        </is>
      </c>
      <c r="E5" s="26" t="inlineStr">
        <is>
          <t>Формула / как получено</t>
        </is>
      </c>
      <c r="F5" s="26" t="inlineStr">
        <is>
          <t>Тип</t>
        </is>
      </c>
      <c r="G5" s="26" t="inlineStr">
        <is>
          <t>Зависит от</t>
        </is>
      </c>
      <c r="H5" s="26" t="inlineStr">
        <is>
          <t>Источник / форма</t>
        </is>
      </c>
    </row>
    <row r="6">
      <c r="A6" s="27" t="inlineStr">
        <is>
          <t>days_year</t>
        </is>
      </c>
      <c r="B6" s="28" t="inlineStr">
        <is>
          <t>Всего дней в году</t>
        </is>
      </c>
      <c r="C6" s="29" t="n">
        <v>365</v>
      </c>
      <c r="D6" s="28" t="inlineStr">
        <is>
          <t>дн</t>
        </is>
      </c>
      <c r="E6" s="30" t="inlineStr"/>
      <c r="F6" s="7" t="inlineStr">
        <is>
          <t>const</t>
        </is>
      </c>
      <c r="G6" s="6" t="inlineStr"/>
      <c r="H6" s="30" t="inlineStr"/>
    </row>
    <row r="7">
      <c r="A7" s="27" t="inlineStr">
        <is>
          <t>work_days</t>
        </is>
      </c>
      <c r="B7" s="28" t="inlineStr">
        <is>
          <t>Рабочих дней в году</t>
        </is>
      </c>
      <c r="C7" s="29" t="n">
        <v>247</v>
      </c>
      <c r="D7" s="28" t="inlineStr">
        <is>
          <t>дн</t>
        </is>
      </c>
      <c r="E7" s="30" t="inlineStr"/>
      <c r="F7" s="7" t="inlineStr">
        <is>
          <t>const</t>
        </is>
      </c>
      <c r="G7" s="6" t="inlineStr"/>
      <c r="H7" s="30" t="inlineStr">
        <is>
          <t>Произв. календарь РФ 2026</t>
        </is>
      </c>
    </row>
    <row r="8">
      <c r="A8" s="27" t="inlineStr">
        <is>
          <t>days_week</t>
        </is>
      </c>
      <c r="B8" s="28" t="inlineStr">
        <is>
          <t>Рабочих дней в неделю</t>
        </is>
      </c>
      <c r="C8" s="29" t="n">
        <v>5</v>
      </c>
      <c r="D8" s="28" t="inlineStr">
        <is>
          <t>дн</t>
        </is>
      </c>
      <c r="E8" s="30" t="inlineStr"/>
      <c r="F8" s="7" t="inlineStr">
        <is>
          <t>const</t>
        </is>
      </c>
      <c r="G8" s="6" t="inlineStr"/>
      <c r="H8" s="30" t="inlineStr"/>
    </row>
    <row r="9">
      <c r="A9" s="27" t="inlineStr">
        <is>
          <t>months</t>
        </is>
      </c>
      <c r="B9" s="28" t="inlineStr">
        <is>
          <t>Месяцев в году</t>
        </is>
      </c>
      <c r="C9" s="29" t="n">
        <v>12</v>
      </c>
      <c r="D9" s="28" t="inlineStr">
        <is>
          <t>мес</t>
        </is>
      </c>
      <c r="E9" s="30" t="inlineStr"/>
      <c r="F9" s="7" t="inlineStr">
        <is>
          <t>const</t>
        </is>
      </c>
      <c r="G9" s="6" t="inlineStr"/>
      <c r="H9" s="30" t="inlineStr"/>
    </row>
    <row r="10">
      <c r="A10" s="27" t="inlineStr">
        <is>
          <t>quarters</t>
        </is>
      </c>
      <c r="B10" s="28" t="inlineStr">
        <is>
          <t>Кварталов в году</t>
        </is>
      </c>
      <c r="C10" s="29" t="n">
        <v>4</v>
      </c>
      <c r="D10" s="28" t="inlineStr">
        <is>
          <t>кв</t>
        </is>
      </c>
      <c r="E10" s="30" t="inlineStr"/>
      <c r="F10" s="7" t="inlineStr">
        <is>
          <t>const</t>
        </is>
      </c>
      <c r="G10" s="6" t="inlineStr"/>
      <c r="H10" s="30" t="inlineStr"/>
    </row>
    <row r="11">
      <c r="A11" s="27" t="inlineStr">
        <is>
          <t>weeks_year</t>
        </is>
      </c>
      <c r="B11" s="28" t="inlineStr">
        <is>
          <t>Всего недель в году</t>
        </is>
      </c>
      <c r="C11" s="31">
        <f>days_year/7</f>
        <v/>
      </c>
      <c r="D11" s="28" t="inlineStr">
        <is>
          <t>нед</t>
        </is>
      </c>
      <c r="E11" s="30" t="inlineStr">
        <is>
          <t>days_year/7</t>
        </is>
      </c>
      <c r="F11" s="7" t="inlineStr">
        <is>
          <t>calc</t>
        </is>
      </c>
      <c r="G11" s="6" t="inlineStr">
        <is>
          <t>days_year</t>
        </is>
      </c>
      <c r="H11" s="30" t="inlineStr"/>
    </row>
    <row r="12">
      <c r="A12" s="27" t="inlineStr">
        <is>
          <t>nominal_hours</t>
        </is>
      </c>
      <c r="B12" s="28" t="inlineStr">
        <is>
          <t>Номинальных часов в дне</t>
        </is>
      </c>
      <c r="C12" s="29" t="n">
        <v>8</v>
      </c>
      <c r="D12" s="28" t="inlineStr">
        <is>
          <t>ч</t>
        </is>
      </c>
      <c r="E12" s="30" t="inlineStr"/>
      <c r="F12" s="7" t="inlineStr">
        <is>
          <t>const</t>
        </is>
      </c>
      <c r="G12" s="6" t="inlineStr"/>
      <c r="H12" s="30" t="inlineStr">
        <is>
          <t>ст. 91 ТК РФ</t>
        </is>
      </c>
    </row>
    <row r="13">
      <c r="A13" s="27" t="inlineStr">
        <is>
          <t>work_months</t>
        </is>
      </c>
      <c r="B13" s="28" t="inlineStr">
        <is>
          <t>Рабочих месяцев в году</t>
        </is>
      </c>
      <c r="C13" s="29" t="n">
        <v>11</v>
      </c>
      <c r="D13" s="28" t="inlineStr">
        <is>
          <t>мес</t>
        </is>
      </c>
      <c r="E13" s="30" t="inlineStr"/>
      <c r="F13" s="7" t="inlineStr">
        <is>
          <t>const</t>
        </is>
      </c>
      <c r="G13" s="6" t="inlineStr"/>
      <c r="H13" s="30" t="inlineStr">
        <is>
          <t>СПРАВОЧНО, в расчёте не участвует</t>
        </is>
      </c>
    </row>
    <row r="14">
      <c r="A14" s="27" t="inlineStr">
        <is>
          <t>vacation_cal</t>
        </is>
      </c>
      <c r="B14" s="28" t="inlineStr">
        <is>
          <t>Отпуск, календарных дней</t>
        </is>
      </c>
      <c r="C14" s="29" t="n">
        <v>28</v>
      </c>
      <c r="D14" s="28" t="inlineStr">
        <is>
          <t>дн</t>
        </is>
      </c>
      <c r="E14" s="30" t="inlineStr"/>
      <c r="F14" s="7" t="inlineStr">
        <is>
          <t>const</t>
        </is>
      </c>
      <c r="G14" s="6" t="inlineStr"/>
      <c r="H14" s="30" t="inlineStr">
        <is>
          <t>ст. 115 ТК РФ</t>
        </is>
      </c>
    </row>
    <row r="15">
      <c r="A15" s="27" t="inlineStr">
        <is>
          <t>vacation_work</t>
        </is>
      </c>
      <c r="B15" s="28" t="inlineStr">
        <is>
          <t>Отпуск, рабочих дней</t>
        </is>
      </c>
      <c r="C15" s="29" t="n">
        <v>20</v>
      </c>
      <c r="D15" s="28" t="inlineStr">
        <is>
          <t>дн</t>
        </is>
      </c>
      <c r="E15" s="30" t="inlineStr"/>
      <c r="F15" s="7" t="inlineStr">
        <is>
          <t>const</t>
        </is>
      </c>
      <c r="G15" s="6" t="inlineStr"/>
      <c r="H15" s="30" t="inlineStr"/>
    </row>
    <row r="16">
      <c r="A16" s="27" t="inlineStr">
        <is>
          <t>sick_cal</t>
        </is>
      </c>
      <c r="B16" s="28" t="inlineStr">
        <is>
          <t>Больничный, календарных дней</t>
        </is>
      </c>
      <c r="C16" s="29" t="n">
        <v>10</v>
      </c>
      <c r="D16" s="28" t="inlineStr">
        <is>
          <t>дн</t>
        </is>
      </c>
      <c r="E16" s="30" t="inlineStr"/>
      <c r="F16" s="7" t="inlineStr">
        <is>
          <t>const</t>
        </is>
      </c>
      <c r="G16" s="6" t="inlineStr"/>
      <c r="H16" s="30" t="inlineStr">
        <is>
          <t>среднее за год</t>
        </is>
      </c>
    </row>
    <row r="17">
      <c r="A17" s="27" t="inlineStr">
        <is>
          <t>sick_work</t>
        </is>
      </c>
      <c r="B17" s="28" t="inlineStr">
        <is>
          <t>Больничный, рабочих дней</t>
        </is>
      </c>
      <c r="C17" s="29" t="n">
        <v>8</v>
      </c>
      <c r="D17" s="28" t="inlineStr">
        <is>
          <t>дн</t>
        </is>
      </c>
      <c r="E17" s="30" t="inlineStr"/>
      <c r="F17" s="7" t="inlineStr">
        <is>
          <t>const</t>
        </is>
      </c>
      <c r="G17" s="6" t="inlineStr"/>
      <c r="H17" s="30" t="inlineStr"/>
    </row>
    <row r="18">
      <c r="A18" s="27" t="inlineStr">
        <is>
          <t>eff_hours</t>
        </is>
      </c>
      <c r="B18" s="28" t="inlineStr">
        <is>
          <t>Чистых (эффективных) часов в дне</t>
        </is>
      </c>
      <c r="C18" s="29" t="n">
        <v>7</v>
      </c>
      <c r="D18" s="28" t="inlineStr">
        <is>
          <t>ч</t>
        </is>
      </c>
      <c r="E18" s="30" t="inlineStr"/>
      <c r="F18" s="7" t="inlineStr">
        <is>
          <t>const</t>
        </is>
      </c>
      <c r="G18" s="6" t="inlineStr"/>
      <c r="H18" s="30" t="inlineStr">
        <is>
          <t>8 минус час на перерывы</t>
        </is>
      </c>
    </row>
    <row r="19">
      <c r="A19" s="3" t="inlineStr">
        <is>
          <t>2 · ВРЕМЯ — иерархия по вашему определению</t>
        </is>
      </c>
    </row>
    <row r="20" ht="26" customHeight="1">
      <c r="A20" s="26" t="inlineStr">
        <is>
          <t>ID</t>
        </is>
      </c>
      <c r="B20" s="26" t="inlineStr">
        <is>
          <t>Название</t>
        </is>
      </c>
      <c r="C20" s="26" t="inlineStr">
        <is>
          <t>Значение</t>
        </is>
      </c>
      <c r="D20" s="26" t="inlineStr">
        <is>
          <t>Ед.</t>
        </is>
      </c>
      <c r="E20" s="26" t="inlineStr">
        <is>
          <t>Формула / как получено</t>
        </is>
      </c>
      <c r="F20" s="26" t="inlineStr">
        <is>
          <t>Тип</t>
        </is>
      </c>
      <c r="G20" s="26" t="inlineStr">
        <is>
          <t>Зависит от</t>
        </is>
      </c>
      <c r="H20" s="26" t="inlineStr">
        <is>
          <t>Источник / форма</t>
        </is>
      </c>
    </row>
    <row r="21">
      <c r="A21" s="27" t="inlineStr">
        <is>
          <t>work_time</t>
        </is>
      </c>
      <c r="B21" s="28" t="inlineStr">
        <is>
          <t>Рабочее время по календарю</t>
        </is>
      </c>
      <c r="C21" s="32">
        <f>work_days*nominal_hours</f>
        <v/>
      </c>
      <c r="D21" s="28" t="inlineStr">
        <is>
          <t>ч/год</t>
        </is>
      </c>
      <c r="E21" s="30" t="inlineStr">
        <is>
          <t>work_days*nominal_hours</t>
        </is>
      </c>
      <c r="F21" s="7" t="inlineStr">
        <is>
          <t>calc</t>
        </is>
      </c>
      <c r="G21" s="6" t="inlineStr">
        <is>
          <t>work_days, nominal_hours</t>
        </is>
      </c>
      <c r="H21" s="30" t="inlineStr">
        <is>
          <t>247 × 8. Справочно</t>
        </is>
      </c>
    </row>
    <row r="22">
      <c r="A22" s="27" t="inlineStr">
        <is>
          <t>net_days</t>
        </is>
      </c>
      <c r="B22" s="28" t="inlineStr">
        <is>
          <t>Чистое рабочее время, дней</t>
        </is>
      </c>
      <c r="C22" s="32">
        <f>work_days-vacation_work-sick_work</f>
        <v/>
      </c>
      <c r="D22" s="28" t="inlineStr">
        <is>
          <t>дн/год</t>
        </is>
      </c>
      <c r="E22" s="30" t="inlineStr">
        <is>
          <t>work_days-vacation_work-sick_work</t>
        </is>
      </c>
      <c r="F22" s="7" t="inlineStr">
        <is>
          <t>calc</t>
        </is>
      </c>
      <c r="G22" s="6" t="inlineStr">
        <is>
          <t>work_days, vacation_work, sick_work</t>
        </is>
      </c>
      <c r="H22" s="30" t="inlineStr"/>
    </row>
    <row r="23">
      <c r="A23" s="27" t="inlineStr">
        <is>
          <t>net_time</t>
        </is>
      </c>
      <c r="B23" s="28" t="inlineStr">
        <is>
          <t>ЧИСТОЕ время</t>
        </is>
      </c>
      <c r="C23" s="32">
        <f>net_days*eff_hours</f>
        <v/>
      </c>
      <c r="D23" s="28" t="inlineStr">
        <is>
          <t>ч/год</t>
        </is>
      </c>
      <c r="E23" s="30" t="inlineStr">
        <is>
          <t>net_days*eff_hours</t>
        </is>
      </c>
      <c r="F23" s="7" t="inlineStr">
        <is>
          <t>calc</t>
        </is>
      </c>
      <c r="G23" s="6" t="inlineStr">
        <is>
          <t>net_days, eff_hours</t>
        </is>
      </c>
      <c r="H23" s="30" t="inlineStr">
        <is>
          <t>Верхний уровень: всё доступное время</t>
        </is>
      </c>
    </row>
    <row r="24">
      <c r="A24" s="27" t="inlineStr">
        <is>
          <t>net_weeks</t>
        </is>
      </c>
      <c r="B24" s="28" t="inlineStr">
        <is>
          <t>Чистое время, недель</t>
        </is>
      </c>
      <c r="C24" s="31">
        <f>net_days/days_week</f>
        <v/>
      </c>
      <c r="D24" s="28" t="inlineStr">
        <is>
          <t>нед</t>
        </is>
      </c>
      <c r="E24" s="30" t="inlineStr">
        <is>
          <t>net_days/days_week</t>
        </is>
      </c>
      <c r="F24" s="7" t="inlineStr">
        <is>
          <t>calc</t>
        </is>
      </c>
      <c r="G24" s="6" t="inlineStr">
        <is>
          <t>net_days, days_week</t>
        </is>
      </c>
      <c r="H24" s="30" t="inlineStr"/>
    </row>
    <row r="25">
      <c r="A25" s="27" t="inlineStr">
        <is>
          <t>promo_per_day</t>
        </is>
      </c>
      <c r="B25" s="28" t="inlineStr">
        <is>
          <t>Продвижение, часов в день</t>
        </is>
      </c>
      <c r="C25" s="33" t="n">
        <v>2</v>
      </c>
      <c r="D25" s="28" t="inlineStr">
        <is>
          <t>ч/дн</t>
        </is>
      </c>
      <c r="E25" s="30" t="inlineStr"/>
      <c r="F25" s="7" t="inlineStr">
        <is>
          <t>default</t>
        </is>
      </c>
      <c r="G25" s="6" t="inlineStr"/>
      <c r="H25" s="30" t="inlineStr">
        <is>
          <t>Form009</t>
        </is>
      </c>
    </row>
    <row r="26">
      <c r="A26" s="27" t="inlineStr">
        <is>
          <t>promo_time</t>
        </is>
      </c>
      <c r="B26" s="28" t="inlineStr">
        <is>
          <t>Продвижение за год</t>
        </is>
      </c>
      <c r="C26" s="32">
        <f>promo_per_day*net_days</f>
        <v/>
      </c>
      <c r="D26" s="28" t="inlineStr">
        <is>
          <t>ч/год</t>
        </is>
      </c>
      <c r="E26" s="30" t="inlineStr">
        <is>
          <t>promo_per_day*net_days</t>
        </is>
      </c>
      <c r="F26" s="7" t="inlineStr">
        <is>
          <t>calc</t>
        </is>
      </c>
      <c r="G26" s="6" t="inlineStr">
        <is>
          <t>promo_per_day, net_days</t>
        </is>
      </c>
      <c r="H26" s="30" t="inlineStr">
        <is>
          <t>Form009</t>
        </is>
      </c>
    </row>
    <row r="27">
      <c r="A27" s="27" t="inlineStr">
        <is>
          <t>acc_mode</t>
        </is>
      </c>
      <c r="B27" s="28" t="inlineStr">
        <is>
          <t>ПЕРЕКЛЮЧАТЕЛЬ · учёт и планирование</t>
        </is>
      </c>
      <c r="C27" s="34" t="inlineStr">
        <is>
          <t>Веду самостоятельно</t>
        </is>
      </c>
      <c r="D27" s="28" t="inlineStr"/>
      <c r="E27" s="30" t="inlineStr"/>
      <c r="F27" s="7" t="inlineStr">
        <is>
          <t>default</t>
        </is>
      </c>
      <c r="G27" s="6" t="inlineStr"/>
      <c r="H27" s="30" t="inlineStr">
        <is>
          <t>Form011 · Block14</t>
        </is>
      </c>
    </row>
    <row r="28">
      <c r="A28" s="27" t="inlineStr">
        <is>
          <t>acc_per_quarter</t>
        </is>
      </c>
      <c r="B28" s="28" t="inlineStr">
        <is>
          <t>Учёт: часов в квартал, если веду сам</t>
        </is>
      </c>
      <c r="C28" s="33" t="n">
        <v>3</v>
      </c>
      <c r="D28" s="28" t="inlineStr">
        <is>
          <t>ч/кв</t>
        </is>
      </c>
      <c r="E28" s="30" t="inlineStr"/>
      <c r="F28" s="7" t="inlineStr">
        <is>
          <t>default</t>
        </is>
      </c>
      <c r="G28" s="6" t="inlineStr"/>
      <c r="H28" s="30" t="inlineStr">
        <is>
          <t>Form011</t>
        </is>
      </c>
    </row>
    <row r="29">
      <c r="A29" s="27" t="inlineStr">
        <is>
          <t>accounting_time</t>
        </is>
      </c>
      <c r="B29" s="28" t="inlineStr">
        <is>
          <t>Учёт и планирование, время</t>
        </is>
      </c>
      <c r="C29" s="32">
        <f>IF(acc_mode="Веду самостоятельно",acc_per_quarter*quarters,0)</f>
        <v/>
      </c>
      <c r="D29" s="28" t="inlineStr">
        <is>
          <t>ч/год</t>
        </is>
      </c>
      <c r="E29" s="30" t="inlineStr">
        <is>
          <t>IF(acc_mode="Веду самостоятельно",acc_per_quarter*quarters,0)</t>
        </is>
      </c>
      <c r="F29" s="7" t="inlineStr">
        <is>
          <t>calc</t>
        </is>
      </c>
      <c r="G29" s="6" t="inlineStr">
        <is>
          <t>acc_mode, acc_per_quarter, quarters</t>
        </is>
      </c>
      <c r="H29" s="30" t="inlineStr">
        <is>
          <t>Если наняли — время = 0</t>
        </is>
      </c>
    </row>
    <row r="30">
      <c r="A30" s="27" t="inlineStr">
        <is>
          <t>side_time</t>
        </is>
      </c>
      <c r="B30" s="28" t="inlineStr">
        <is>
          <t>ОПЕРАЦИОННОЕ время</t>
        </is>
      </c>
      <c r="C30" s="32">
        <f>promo_time+accounting_time</f>
        <v/>
      </c>
      <c r="D30" s="28" t="inlineStr">
        <is>
          <t>ч/год</t>
        </is>
      </c>
      <c r="E30" s="30" t="inlineStr">
        <is>
          <t>promo_time+accounting_time</t>
        </is>
      </c>
      <c r="F30" s="7" t="inlineStr">
        <is>
          <t>calc</t>
        </is>
      </c>
      <c r="G30" s="6" t="inlineStr">
        <is>
          <t>promo_time, accounting_time</t>
        </is>
      </c>
      <c r="H30" s="30" t="inlineStr">
        <is>
          <t>Второстепенные операции. Клиенту не продаётся</t>
        </is>
      </c>
    </row>
    <row r="31">
      <c r="A31" s="27" t="inlineStr">
        <is>
          <t>pool_gross</t>
        </is>
      </c>
      <c r="B31" s="28" t="inlineStr">
        <is>
          <t>Время на заказы до резерва</t>
        </is>
      </c>
      <c r="C31" s="31">
        <f>net_time-side_time</f>
        <v/>
      </c>
      <c r="D31" s="28" t="inlineStr">
        <is>
          <t>ч/год</t>
        </is>
      </c>
      <c r="E31" s="30" t="inlineStr">
        <is>
          <t>net_time-side_time</t>
        </is>
      </c>
      <c r="F31" s="7" t="inlineStr">
        <is>
          <t>calc</t>
        </is>
      </c>
      <c r="G31" s="6" t="inlineStr">
        <is>
          <t>net_time, side_time</t>
        </is>
      </c>
      <c r="H31" s="30" t="inlineStr">
        <is>
          <t>Чистое минус операционное</t>
        </is>
      </c>
    </row>
    <row r="32">
      <c r="A32" s="27" t="inlineStr">
        <is>
          <t>fm_on</t>
        </is>
      </c>
      <c r="B32" s="28" t="inlineStr">
        <is>
          <t>ПЕРЕКЛЮЧАТЕЛЬ · резерв на форс-мажоры</t>
        </is>
      </c>
      <c r="C32" s="34" t="inlineStr">
        <is>
          <t>Заложить резерв</t>
        </is>
      </c>
      <c r="D32" s="28" t="inlineStr"/>
      <c r="E32" s="30" t="inlineStr"/>
      <c r="F32" s="7" t="inlineStr">
        <is>
          <t>default</t>
        </is>
      </c>
      <c r="G32" s="6" t="inlineStr"/>
      <c r="H32" s="30" t="inlineStr">
        <is>
          <t>Block14a</t>
        </is>
      </c>
      <c r="I32" s="286" t="inlineStr">
        <is>
          <t>Галочка «Учитывать резерв на форс-мажоры» СНЯТА по умолчанию (06.08.2026). Поле % неактивно, пока не включена</t>
        </is>
      </c>
    </row>
    <row r="33">
      <c r="A33" s="27" t="inlineStr">
        <is>
          <t>fm_pct</t>
        </is>
      </c>
      <c r="B33" s="28" t="inlineStr">
        <is>
          <t>Резерв на форс-мажоры, %</t>
        </is>
      </c>
      <c r="C33" s="35" t="n">
        <v>0.05</v>
      </c>
      <c r="D33" s="28" t="inlineStr">
        <is>
          <t>%</t>
        </is>
      </c>
      <c r="E33" s="30" t="inlineStr"/>
      <c r="F33" s="7" t="inlineStr">
        <is>
          <t>default</t>
        </is>
      </c>
      <c r="G33" s="6" t="inlineStr"/>
      <c r="H33" s="30" t="inlineStr">
        <is>
          <t>Перенос и отмена съёмок, срывы по вине клиента, повторные выезды. Редактируется</t>
        </is>
      </c>
      <c r="I33" s="286" t="inlineStr">
        <is>
          <t>Галочка «Учитывать резерв на форс-мажоры» СНЯТА по умолчанию (06.08.2026). Поле % неактивно, пока не включена</t>
        </is>
      </c>
    </row>
    <row r="34">
      <c r="A34" s="27" t="inlineStr">
        <is>
          <t>fm_time</t>
        </is>
      </c>
      <c r="B34" s="28" t="inlineStr">
        <is>
          <t>Резерв на форс-мажоры, часов</t>
        </is>
      </c>
      <c r="C34" s="31">
        <f>IF(fm_on="Заложить резерв",pool_gross*fm_pct,0)</f>
        <v/>
      </c>
      <c r="D34" s="28" t="inlineStr">
        <is>
          <t>ч/год</t>
        </is>
      </c>
      <c r="E34" s="30" t="inlineStr">
        <is>
          <t>IF(fm_on="Заложить резерв",pool_gross*fm_pct,0)</t>
        </is>
      </c>
      <c r="F34" s="7" t="inlineStr">
        <is>
          <t>calc</t>
        </is>
      </c>
      <c r="G34" s="6" t="inlineStr">
        <is>
          <t>fm_on, fm_pct, pool_gross</t>
        </is>
      </c>
      <c r="H34" s="30" t="inlineStr">
        <is>
          <t>Вычитается из времени на заказы</t>
        </is>
      </c>
    </row>
    <row r="35">
      <c r="A35" s="27" t="inlineStr">
        <is>
          <t>fm_week</t>
        </is>
      </c>
      <c r="B35" s="28" t="inlineStr">
        <is>
          <t>Резерв, часов в неделю</t>
        </is>
      </c>
      <c r="C35" s="31">
        <f>IF(net_weeks=0,0,fm_time/net_weeks)</f>
        <v/>
      </c>
      <c r="D35" s="28" t="inlineStr">
        <is>
          <t>ч/нед</t>
        </is>
      </c>
      <c r="E35" s="30" t="inlineStr">
        <is>
          <t>IF(net_weeks=0,0,fm_time/net_weeks)</t>
        </is>
      </c>
      <c r="F35" s="7" t="inlineStr">
        <is>
          <t>calc</t>
        </is>
      </c>
      <c r="G35" s="6" t="inlineStr">
        <is>
          <t>fm_time, net_weeks</t>
        </is>
      </c>
      <c r="H35" s="30" t="inlineStr">
        <is>
          <t>Для наглядности</t>
        </is>
      </c>
    </row>
    <row r="36">
      <c r="A36" s="27" t="inlineStr">
        <is>
          <t>project_pool</t>
        </is>
      </c>
      <c r="B36" s="28" t="inlineStr">
        <is>
          <t>ПРОЕКТНОЕ время за год</t>
        </is>
      </c>
      <c r="C36" s="31">
        <f>pool_gross-fm_time</f>
        <v/>
      </c>
      <c r="D36" s="28" t="inlineStr">
        <is>
          <t>ч/год</t>
        </is>
      </c>
      <c r="E36" s="30" t="inlineStr">
        <is>
          <t>pool_gross-fm_time</t>
        </is>
      </c>
      <c r="F36" s="7" t="inlineStr">
        <is>
          <t>calc</t>
        </is>
      </c>
      <c r="G36" s="6" t="inlineStr">
        <is>
          <t>pool_gross, fm_time</t>
        </is>
      </c>
      <c r="H36" s="30" t="inlineStr">
        <is>
          <t>Всё, что остаётся на выполнение проектов</t>
        </is>
      </c>
    </row>
    <row r="37">
      <c r="A37" s="3" t="inlineStr">
        <is>
          <t>3 · ПРОЕКТ — S × (1+K) + 1. Длительность съёмки задаёт пользователь</t>
        </is>
      </c>
    </row>
    <row r="38" ht="26" customHeight="1">
      <c r="A38" s="26" t="inlineStr">
        <is>
          <t>ID</t>
        </is>
      </c>
      <c r="B38" s="26" t="inlineStr">
        <is>
          <t>Название</t>
        </is>
      </c>
      <c r="C38" s="26" t="inlineStr">
        <is>
          <t>Значение</t>
        </is>
      </c>
      <c r="D38" s="26" t="inlineStr">
        <is>
          <t>Ед.</t>
        </is>
      </c>
      <c r="E38" s="26" t="inlineStr">
        <is>
          <t>Формула / как получено</t>
        </is>
      </c>
      <c r="F38" s="26" t="inlineStr">
        <is>
          <t>Тип</t>
        </is>
      </c>
      <c r="G38" s="26" t="inlineStr">
        <is>
          <t>Зависит от</t>
        </is>
      </c>
      <c r="H38" s="26" t="inlineStr">
        <is>
          <t>Источник / форма</t>
        </is>
      </c>
    </row>
    <row r="39">
      <c r="A39" s="27" t="inlineStr">
        <is>
          <t>post_ratio</t>
        </is>
      </c>
      <c r="B39" s="28" t="inlineStr">
        <is>
          <t>Коэффициент обработки</t>
        </is>
      </c>
      <c r="C39" s="33" t="n">
        <v>3</v>
      </c>
      <c r="D39" s="28" t="inlineStr">
        <is>
          <t>×</t>
        </is>
      </c>
      <c r="E39" s="30" t="inlineStr"/>
      <c r="F39" s="7" t="inlineStr">
        <is>
          <t>default</t>
        </is>
      </c>
      <c r="G39" s="6" t="inlineStr"/>
      <c r="H39" s="30" t="inlineStr">
        <is>
          <t>Часов обработки на 1 час съёмки. МЕНЯЕТСЯ пользователем: у свадебного ретушёра больше, у репортажника меньше</t>
        </is>
      </c>
    </row>
    <row r="40">
      <c r="A40" s="27" t="inlineStr">
        <is>
          <t>profile_multiplier</t>
        </is>
      </c>
      <c r="B40" s="28" t="inlineStr">
        <is>
          <t>Множитель профильного времени</t>
        </is>
      </c>
      <c r="C40" s="31">
        <f>1+post_ratio</f>
        <v/>
      </c>
      <c r="D40" s="28" t="inlineStr">
        <is>
          <t>×</t>
        </is>
      </c>
      <c r="E40" s="30" t="inlineStr">
        <is>
          <t>1+post_ratio</t>
        </is>
      </c>
      <c r="F40" s="7" t="inlineStr">
        <is>
          <t>calc</t>
        </is>
      </c>
      <c r="G40" s="6" t="inlineStr">
        <is>
          <t>post_ratio</t>
        </is>
      </c>
      <c r="H40" s="30" t="inlineStr">
        <is>
          <t>ПРОФИЛЬНОЕ на проект = S × (1 + коэффициент): съёмка плюс обработка</t>
        </is>
      </c>
    </row>
    <row r="41">
      <c r="A41" s="27" t="inlineStr">
        <is>
          <t>client_time</t>
        </is>
      </c>
      <c r="B41" s="28" t="inlineStr">
        <is>
          <t>Работа с клиентом на проект</t>
        </is>
      </c>
      <c r="C41" s="33" t="n">
        <v>1</v>
      </c>
      <c r="D41" s="28" t="inlineStr">
        <is>
          <t>ч/проект</t>
        </is>
      </c>
      <c r="E41" s="30" t="inlineStr"/>
      <c r="F41" s="7" t="inlineStr">
        <is>
          <t>default</t>
        </is>
      </c>
      <c r="G41" s="6" t="inlineStr"/>
      <c r="H41" s="30" t="inlineStr">
        <is>
          <t>Form012 · Block13 · продажа, согласования, организация</t>
        </is>
      </c>
    </row>
    <row r="42">
      <c r="A42" s="27" t="inlineStr">
        <is>
          <t>shoot_duration</t>
        </is>
      </c>
      <c r="B42" s="28" t="inlineStr">
        <is>
          <t>ТИПОВАЯ продолжительность съёмки (S)</t>
        </is>
      </c>
      <c r="C42" s="33" t="n">
        <v>2</v>
      </c>
      <c r="D42" s="28" t="inlineStr">
        <is>
          <t>ч</t>
        </is>
      </c>
      <c r="E42" s="30" t="inlineStr"/>
      <c r="F42" s="7" t="inlineStr">
        <is>
          <t>default</t>
        </is>
      </c>
      <c r="G42" s="6" t="inlineStr"/>
      <c r="H42" s="30" t="inlineStr">
        <is>
          <t>Block3 · самый частый формат заказа. ЗАДАЁТ ПОЛЬЗОВАТЕЛЬ, по умолчанию 2 ч</t>
        </is>
      </c>
    </row>
    <row r="43">
      <c r="A43" s="27" t="inlineStr">
        <is>
          <t>week_target</t>
        </is>
      </c>
      <c r="B43" s="28" t="inlineStr">
        <is>
          <t>Целевых проектов в неделю</t>
        </is>
      </c>
      <c r="C43" s="33" t="n">
        <v>1</v>
      </c>
      <c r="D43" s="28" t="inlineStr">
        <is>
          <t>шт/нед</t>
        </is>
      </c>
      <c r="E43" s="30" t="inlineStr"/>
      <c r="F43" s="7" t="inlineStr">
        <is>
          <t>default</t>
        </is>
      </c>
      <c r="G43" s="6" t="inlineStr"/>
      <c r="H43" s="30" t="inlineStr">
        <is>
          <t>СПРАВОЧНАЯ. В расчёте ставки не участвует</t>
        </is>
      </c>
    </row>
    <row r="44">
      <c r="A44" s="27" t="inlineStr">
        <is>
          <t>shoot_auto</t>
        </is>
      </c>
      <c r="B44" s="28" t="inlineStr">
        <is>
          <t>Максимальная съёмка при целевом темпе</t>
        </is>
      </c>
      <c r="C44" s="31">
        <f>IF(profile_multiplier*week_target=0,0,(project_pool/net_weeks/week_target-client_time)/profile_multiplier)</f>
        <v/>
      </c>
      <c r="D44" s="28" t="inlineStr">
        <is>
          <t>ч</t>
        </is>
      </c>
      <c r="E44" s="30" t="inlineStr">
        <is>
          <t>IF(profile_multiplier*week_target=0,0,(project_pool/net_weeks/week_target-client_time)/profile_multiplier)</t>
        </is>
      </c>
      <c r="F44" s="7" t="inlineStr">
        <is>
          <t>calc</t>
        </is>
      </c>
      <c r="G44" s="6" t="inlineStr">
        <is>
          <t>project_pool, net_weeks, week_target, client_time, profile_multiplier</t>
        </is>
      </c>
      <c r="H44" s="30" t="inlineStr">
        <is>
          <t>СПРАВОЧНАЯ: какая съёмка влезет при таком темпе. В расчёте НЕ участвует</t>
        </is>
      </c>
    </row>
    <row r="45">
      <c r="A45" s="27" t="inlineStr">
        <is>
          <t>project_time</t>
        </is>
      </c>
      <c r="B45" s="28" t="inlineStr">
        <is>
          <t>ПРОЕКТНОЕ время на 1 проект</t>
        </is>
      </c>
      <c r="C45" s="31">
        <f>shoot_duration*profile_multiplier+client_time</f>
        <v/>
      </c>
      <c r="D45" s="28" t="inlineStr">
        <is>
          <t>ч/проект</t>
        </is>
      </c>
      <c r="E45" s="30" t="inlineStr">
        <is>
          <t>shoot_duration*profile_multiplier+client_time</t>
        </is>
      </c>
      <c r="F45" s="7" t="inlineStr">
        <is>
          <t>calc</t>
        </is>
      </c>
      <c r="G45" s="6" t="inlineStr">
        <is>
          <t>shoot_duration, profile_multiplier, client_time</t>
        </is>
      </c>
      <c r="H45" s="30" t="inlineStr">
        <is>
          <t>S × (1 + коэффициент) + час клиента — полная реализация заказа</t>
        </is>
      </c>
    </row>
    <row r="46">
      <c r="A46" s="27" t="inlineStr">
        <is>
          <t>hour_pool</t>
        </is>
      </c>
      <c r="B46" s="28" t="inlineStr">
        <is>
          <t>Стоимость часа проектного времени</t>
        </is>
      </c>
      <c r="C46" s="36">
        <f>IF(project_pool=0,0,CHOOSE(regime_no,'05_Расчёт'!B4,'05_Расчёт'!C4,'05_Расчёт'!D4,'05_Расчёт'!E4,'05_Расчёт'!F4,'05_Расчёт'!G4,'05_Расчёт'!H4)/project_pool)</f>
        <v/>
      </c>
      <c r="D46" s="28" t="inlineStr">
        <is>
          <t>₽/ч</t>
        </is>
      </c>
      <c r="E46" s="30" t="inlineStr">
        <is>
          <t>IF(project_pool=0,0,CHOOSE(regime_no,'05_Расчёт'!B4,'05_Расчёт'!C4,'05_Расчёт'!D4,'05_Расчёт'!E4,'05_Расчёт'!F4,'05_Расчёт'!G4,'05_Расчёт'!H4)/project_pool)</t>
        </is>
      </c>
      <c r="F46" s="7" t="inlineStr">
        <is>
          <t>calc</t>
        </is>
      </c>
      <c r="G46" s="6" t="inlineStr">
        <is>
          <t>выручка, project_pool</t>
        </is>
      </c>
      <c r="H46" s="30" t="inlineStr">
        <is>
          <t>ПОСТОЯННАЯ. База для сетки объёмных скидок</t>
        </is>
      </c>
    </row>
    <row r="47">
      <c r="A47" s="27" t="inlineStr">
        <is>
          <t>projects_year</t>
        </is>
      </c>
      <c r="B47" s="28" t="inlineStr">
        <is>
          <t>Проектов в год</t>
        </is>
      </c>
      <c r="C47" s="31">
        <f>IF(project_time=0,0,project_pool/project_time)</f>
        <v/>
      </c>
      <c r="D47" s="28" t="inlineStr">
        <is>
          <t>шт/год</t>
        </is>
      </c>
      <c r="E47" s="30" t="inlineStr">
        <is>
          <t>IF(project_time=0,0,project_pool/project_time)</t>
        </is>
      </c>
      <c r="F47" s="7" t="inlineStr">
        <is>
          <t>calc</t>
        </is>
      </c>
      <c r="G47" s="6" t="inlineStr">
        <is>
          <t>project_pool, project_time</t>
        </is>
      </c>
      <c r="H47" s="30" t="inlineStr"/>
    </row>
    <row r="48">
      <c r="A48" s="27" t="inlineStr">
        <is>
          <t>projects_month</t>
        </is>
      </c>
      <c r="B48" s="28" t="inlineStr">
        <is>
          <t>Проектов в месяц</t>
        </is>
      </c>
      <c r="C48" s="31">
        <f>projects_year/months</f>
        <v/>
      </c>
      <c r="D48" s="28" t="inlineStr">
        <is>
          <t>шт/мес</t>
        </is>
      </c>
      <c r="E48" s="30" t="inlineStr">
        <is>
          <t>projects_year/months</t>
        </is>
      </c>
      <c r="F48" s="7" t="inlineStr">
        <is>
          <t>calc</t>
        </is>
      </c>
      <c r="G48" s="6" t="inlineStr">
        <is>
          <t>projects_year, months</t>
        </is>
      </c>
      <c r="H48" s="30" t="inlineStr"/>
    </row>
    <row r="49">
      <c r="A49" s="27" t="inlineStr">
        <is>
          <t>projects_week</t>
        </is>
      </c>
      <c r="B49" s="28" t="inlineStr">
        <is>
          <t>Проектов в неделю</t>
        </is>
      </c>
      <c r="C49" s="31">
        <f>projects_year/net_weeks</f>
        <v/>
      </c>
      <c r="D49" s="28" t="inlineStr">
        <is>
          <t>шт/нед</t>
        </is>
      </c>
      <c r="E49" s="30" t="inlineStr">
        <is>
          <t>projects_year/net_weeks</t>
        </is>
      </c>
      <c r="F49" s="7" t="inlineStr">
        <is>
          <t>calc</t>
        </is>
      </c>
      <c r="G49" s="6" t="inlineStr">
        <is>
          <t>projects_year, net_weeks</t>
        </is>
      </c>
      <c r="H49" s="30" t="inlineStr">
        <is>
          <t>При авторежиме равно week_target</t>
        </is>
      </c>
    </row>
    <row r="50">
      <c r="A50" s="27" t="inlineStr">
        <is>
          <t>shooting_time</t>
        </is>
      </c>
      <c r="B50" s="28" t="inlineStr">
        <is>
          <t>СЪЁМОЧНОЕ время</t>
        </is>
      </c>
      <c r="C50" s="31">
        <f>projects_year*shoot_duration</f>
        <v/>
      </c>
      <c r="D50" s="28" t="inlineStr">
        <is>
          <t>ч/год</t>
        </is>
      </c>
      <c r="E50" s="30" t="inlineStr">
        <is>
          <t>projects_year*shoot_duration</t>
        </is>
      </c>
      <c r="F50" s="7" t="inlineStr">
        <is>
          <t>calc</t>
        </is>
      </c>
      <c r="G50" s="6" t="inlineStr">
        <is>
          <t>projects_year, shoot_duration</t>
        </is>
      </c>
      <c r="H50" s="30" t="inlineStr">
        <is>
          <t>ЦЕЛЬ РАСЧЁТА — знаменатель ставки</t>
        </is>
      </c>
    </row>
    <row r="51">
      <c r="A51" s="27" t="inlineStr">
        <is>
          <t>shooting_month</t>
        </is>
      </c>
      <c r="B51" s="28" t="inlineStr">
        <is>
          <t>Съёмочное время в месяц</t>
        </is>
      </c>
      <c r="C51" s="31">
        <f>shooting_time/months</f>
        <v/>
      </c>
      <c r="D51" s="28" t="inlineStr">
        <is>
          <t>ч/мес</t>
        </is>
      </c>
      <c r="E51" s="30" t="inlineStr">
        <is>
          <t>shooting_time/months</t>
        </is>
      </c>
      <c r="F51" s="7" t="inlineStr">
        <is>
          <t>calc</t>
        </is>
      </c>
      <c r="G51" s="6" t="inlineStr">
        <is>
          <t>shooting_time, months</t>
        </is>
      </c>
      <c r="H51" s="30" t="inlineStr"/>
    </row>
    <row r="52">
      <c r="A52" s="27" t="inlineStr">
        <is>
          <t>shooting_week</t>
        </is>
      </c>
      <c r="B52" s="28" t="inlineStr">
        <is>
          <t>Съёмочное время в неделю</t>
        </is>
      </c>
      <c r="C52" s="31">
        <f>shooting_time/net_weeks</f>
        <v/>
      </c>
      <c r="D52" s="28" t="inlineStr">
        <is>
          <t>ч/нед</t>
        </is>
      </c>
      <c r="E52" s="30" t="inlineStr">
        <is>
          <t>shooting_time/net_weeks</t>
        </is>
      </c>
      <c r="F52" s="7" t="inlineStr">
        <is>
          <t>calc</t>
        </is>
      </c>
      <c r="G52" s="6" t="inlineStr">
        <is>
          <t>shooting_time, net_weeks</t>
        </is>
      </c>
      <c r="H52" s="30" t="inlineStr"/>
    </row>
    <row r="53">
      <c r="A53" s="27" t="inlineStr">
        <is>
          <t>post_time</t>
        </is>
      </c>
      <c r="B53" s="28" t="inlineStr">
        <is>
          <t>Постпродакшн за год</t>
        </is>
      </c>
      <c r="C53" s="31">
        <f>shooting_time*post_ratio</f>
        <v/>
      </c>
      <c r="D53" s="28" t="inlineStr">
        <is>
          <t>ч/год</t>
        </is>
      </c>
      <c r="E53" s="30" t="inlineStr">
        <is>
          <t>shooting_time*post_ratio</t>
        </is>
      </c>
      <c r="F53" s="7" t="inlineStr">
        <is>
          <t>calc</t>
        </is>
      </c>
      <c r="G53" s="6" t="inlineStr">
        <is>
          <t>shooting_time, post_ratio</t>
        </is>
      </c>
      <c r="H53" s="30" t="inlineStr">
        <is>
          <t>S × коэффициент на каждый проект</t>
        </is>
      </c>
    </row>
    <row r="54">
      <c r="A54" s="27" t="inlineStr">
        <is>
          <t>core_time</t>
        </is>
      </c>
      <c r="B54" s="28" t="inlineStr">
        <is>
          <t>ПРОФИЛЬНОЕ время</t>
        </is>
      </c>
      <c r="C54" s="31">
        <f>shooting_time*profile_multiplier</f>
        <v/>
      </c>
      <c r="D54" s="28" t="inlineStr">
        <is>
          <t>ч/год</t>
        </is>
      </c>
      <c r="E54" s="30" t="inlineStr">
        <is>
          <t>shooting_time*profile_multiplier</t>
        </is>
      </c>
      <c r="F54" s="7" t="inlineStr">
        <is>
          <t>calc</t>
        </is>
      </c>
      <c r="G54" s="6" t="inlineStr">
        <is>
          <t>shooting_time, profile_multiplier</t>
        </is>
      </c>
      <c r="H54" s="30" t="inlineStr">
        <is>
          <t>Съёмка + обработка = S × (1 + коэффициент). БЕЗ работы с клиентом</t>
        </is>
      </c>
    </row>
    <row r="55">
      <c r="A55" s="27" t="inlineStr">
        <is>
          <t>client_total</t>
        </is>
      </c>
      <c r="B55" s="28" t="inlineStr">
        <is>
          <t>Работа с клиентом за год</t>
        </is>
      </c>
      <c r="C55" s="31">
        <f>projects_year*client_time</f>
        <v/>
      </c>
      <c r="D55" s="28" t="inlineStr">
        <is>
          <t>ч/год</t>
        </is>
      </c>
      <c r="E55" s="30" t="inlineStr">
        <is>
          <t>projects_year*client_time</t>
        </is>
      </c>
      <c r="F55" s="7" t="inlineStr">
        <is>
          <t>calc</t>
        </is>
      </c>
      <c r="G55" s="6" t="inlineStr">
        <is>
          <t>projects_year, client_time</t>
        </is>
      </c>
      <c r="H55" s="30" t="inlineStr"/>
    </row>
    <row r="56">
      <c r="A56" s="27" t="inlineStr">
        <is>
          <t>ops_per_shoot</t>
        </is>
      </c>
      <c r="B56" s="28" t="inlineStr">
        <is>
          <t>Операционных часов на час съёмки</t>
        </is>
      </c>
      <c r="C56" s="31">
        <f>IF(shooting_time=0,0,side_time/shooting_time)</f>
        <v/>
      </c>
      <c r="D56" s="28" t="inlineStr">
        <is>
          <t>ч</t>
        </is>
      </c>
      <c r="E56" s="30" t="inlineStr">
        <is>
          <t>IF(shooting_time=0,0,side_time/shooting_time)</t>
        </is>
      </c>
      <c r="F56" s="7" t="inlineStr">
        <is>
          <t>calc</t>
        </is>
      </c>
      <c r="G56" s="6" t="inlineStr">
        <is>
          <t>side_time, shooting_time</t>
        </is>
      </c>
      <c r="H56" s="30" t="inlineStr"/>
    </row>
    <row r="57">
      <c r="A57" s="3" t="inlineStr">
        <is>
          <t>4 · ДОХОД</t>
        </is>
      </c>
    </row>
    <row r="58" ht="26" customHeight="1">
      <c r="A58" s="26" t="inlineStr">
        <is>
          <t>ID</t>
        </is>
      </c>
      <c r="B58" s="26" t="inlineStr">
        <is>
          <t>Название</t>
        </is>
      </c>
      <c r="C58" s="26" t="inlineStr">
        <is>
          <t>Значение</t>
        </is>
      </c>
      <c r="D58" s="26" t="inlineStr">
        <is>
          <t>Ед.</t>
        </is>
      </c>
      <c r="E58" s="26" t="inlineStr">
        <is>
          <t>Формула / как получено</t>
        </is>
      </c>
      <c r="F58" s="26" t="inlineStr">
        <is>
          <t>Тип</t>
        </is>
      </c>
      <c r="G58" s="26" t="inlineStr">
        <is>
          <t>Зависит от</t>
        </is>
      </c>
      <c r="H58" s="26" t="inlineStr">
        <is>
          <t>Источник / форма</t>
        </is>
      </c>
    </row>
    <row r="59">
      <c r="A59" s="27" t="inlineStr">
        <is>
          <t>income_month</t>
        </is>
      </c>
      <c r="B59" s="28" t="inlineStr">
        <is>
          <t>Желаемый доход на руки</t>
        </is>
      </c>
      <c r="C59" s="37" t="n">
        <v>108999</v>
      </c>
      <c r="D59" s="28" t="inlineStr">
        <is>
          <t>₽/мес</t>
        </is>
      </c>
      <c r="E59" s="30" t="inlineStr"/>
      <c r="F59" s="7" t="inlineStr">
        <is>
          <t>default</t>
        </is>
      </c>
      <c r="G59" s="6" t="inlineStr"/>
      <c r="H59" s="30" t="inlineStr">
        <is>
          <t>Block1 · Росстат 2026</t>
        </is>
      </c>
    </row>
    <row r="60">
      <c r="A60" s="27" t="inlineStr">
        <is>
          <t>target_income</t>
        </is>
      </c>
      <c r="B60" s="28" t="inlineStr">
        <is>
          <t>Желаемый доход за год</t>
        </is>
      </c>
      <c r="C60" s="38">
        <f>income_month*months</f>
        <v/>
      </c>
      <c r="D60" s="28" t="inlineStr">
        <is>
          <t>₽/год</t>
        </is>
      </c>
      <c r="E60" s="30" t="inlineStr">
        <is>
          <t>income_month*months</t>
        </is>
      </c>
      <c r="F60" s="7" t="inlineStr">
        <is>
          <t>calc</t>
        </is>
      </c>
      <c r="G60" s="6" t="inlineStr">
        <is>
          <t>income_month, months</t>
        </is>
      </c>
      <c r="H60" s="30" t="inlineStr">
        <is>
          <t>N — на руки после всех платежей</t>
        </is>
      </c>
    </row>
    <row r="61">
      <c r="A61" s="27" t="inlineStr">
        <is>
          <t>current_rate</t>
        </is>
      </c>
      <c r="B61" s="28" t="inlineStr">
        <is>
          <t>Текущая ставка часа</t>
        </is>
      </c>
      <c r="C61" s="37" t="n">
        <v>6000</v>
      </c>
      <c r="D61" s="28" t="inlineStr">
        <is>
          <t>₽/ч</t>
        </is>
      </c>
      <c r="E61" s="30" t="inlineStr"/>
      <c r="F61" s="7" t="inlineStr">
        <is>
          <t>default</t>
        </is>
      </c>
      <c r="G61" s="6" t="inlineStr"/>
      <c r="H61" s="30" t="inlineStr">
        <is>
          <t>Block2 · для сравнения</t>
        </is>
      </c>
    </row>
    <row r="62">
      <c r="A62" s="3" t="inlineStr">
        <is>
          <t>5 · РАБОЧЕЕ МЕСТО · ПЕРЕКЛЮЧАТЕЛЬ (Form005/013 · Block9)</t>
        </is>
      </c>
    </row>
    <row r="63" ht="26" customHeight="1">
      <c r="A63" s="26" t="inlineStr">
        <is>
          <t>ID</t>
        </is>
      </c>
      <c r="B63" s="26" t="inlineStr">
        <is>
          <t>Название</t>
        </is>
      </c>
      <c r="C63" s="26" t="inlineStr">
        <is>
          <t>Значение</t>
        </is>
      </c>
      <c r="D63" s="26" t="inlineStr">
        <is>
          <t>Ед.</t>
        </is>
      </c>
      <c r="E63" s="26" t="inlineStr">
        <is>
          <t>Формула / как получено</t>
        </is>
      </c>
      <c r="F63" s="26" t="inlineStr">
        <is>
          <t>Тип</t>
        </is>
      </c>
      <c r="G63" s="26" t="inlineStr">
        <is>
          <t>Зависит от</t>
        </is>
      </c>
      <c r="H63" s="26" t="inlineStr">
        <is>
          <t>Источник / форма</t>
        </is>
      </c>
    </row>
    <row r="64">
      <c r="A64" s="27" t="inlineStr">
        <is>
          <t>ws_mode</t>
        </is>
      </c>
      <c r="B64" s="28" t="inlineStr">
        <is>
          <t>ПЕРЕКЛЮЧАТЕЛЬ · рабочее место</t>
        </is>
      </c>
      <c r="C64" s="34" t="inlineStr">
        <is>
          <t>Работаю из дома</t>
        </is>
      </c>
      <c r="D64" s="28" t="inlineStr"/>
      <c r="E64" s="30" t="inlineStr"/>
      <c r="F64" s="7" t="inlineStr">
        <is>
          <t>default</t>
        </is>
      </c>
      <c r="G64" s="6" t="inlineStr"/>
      <c r="H64" s="30" t="inlineStr">
        <is>
          <t>Form005 · A111</t>
        </is>
      </c>
    </row>
    <row r="65">
      <c r="A65" s="27" t="inlineStr">
        <is>
          <t>own_home</t>
        </is>
      </c>
      <c r="B65" s="28" t="inlineStr">
        <is>
          <t>ДОМА · живу в своём, ипотеки нет</t>
        </is>
      </c>
      <c r="C65" s="34" t="inlineStr">
        <is>
          <t>нет</t>
        </is>
      </c>
      <c r="D65" s="28" t="inlineStr"/>
      <c r="E65" s="30" t="inlineStr"/>
      <c r="F65" s="7" t="inlineStr">
        <is>
          <t>default</t>
        </is>
      </c>
      <c r="G65" s="6" t="inlineStr"/>
      <c r="H65" s="30" t="inlineStr">
        <is>
          <t>Form005 · при «да» аренда обнуляется</t>
        </is>
      </c>
    </row>
    <row r="66">
      <c r="A66" s="27" t="inlineStr">
        <is>
          <t>home_rent</t>
        </is>
      </c>
      <c r="B66" s="28" t="inlineStr">
        <is>
          <t>ДОМА · аренда или ипотека</t>
        </is>
      </c>
      <c r="C66" s="37" t="n">
        <v>40000</v>
      </c>
      <c r="D66" s="28" t="inlineStr">
        <is>
          <t>₽/мес</t>
        </is>
      </c>
      <c r="E66" s="30" t="inlineStr"/>
      <c r="F66" s="7" t="inlineStr">
        <is>
          <t>default</t>
        </is>
      </c>
      <c r="G66" s="6" t="inlineStr"/>
      <c r="H66" s="30" t="inlineStr">
        <is>
          <t>по доле метров. Обнуляется при own_home = да</t>
        </is>
      </c>
    </row>
    <row r="67">
      <c r="A67" s="27" t="inlineStr">
        <is>
          <t>home_util</t>
        </is>
      </c>
      <c r="B67" s="28" t="inlineStr">
        <is>
          <t>ДОМА · коммунальные и связь</t>
        </is>
      </c>
      <c r="C67" s="37" t="n">
        <v>7000</v>
      </c>
      <c r="D67" s="28" t="inlineStr">
        <is>
          <t>₽/мес</t>
        </is>
      </c>
      <c r="E67" s="30" t="inlineStr"/>
      <c r="F67" s="7" t="inlineStr">
        <is>
          <t>default</t>
        </is>
      </c>
      <c r="G67" s="6" t="inlineStr"/>
      <c r="H67" s="30" t="inlineStr">
        <is>
          <t>ЦЕЛИКОМ</t>
        </is>
      </c>
    </row>
    <row r="68">
      <c r="A68" s="27" t="inlineStr">
        <is>
          <t>home_area</t>
        </is>
      </c>
      <c r="B68" s="28" t="inlineStr">
        <is>
          <t>ДОМА · общая площадь жилья</t>
        </is>
      </c>
      <c r="C68" s="33" t="n">
        <v>50</v>
      </c>
      <c r="D68" s="28" t="inlineStr">
        <is>
          <t>м²</t>
        </is>
      </c>
      <c r="E68" s="30" t="inlineStr"/>
      <c r="F68" s="7" t="inlineStr">
        <is>
          <t>default</t>
        </is>
      </c>
      <c r="G68" s="6" t="inlineStr"/>
      <c r="H68" s="30" t="inlineStr"/>
    </row>
    <row r="69">
      <c r="A69" s="27" t="inlineStr">
        <is>
          <t>cab_area</t>
        </is>
      </c>
      <c r="B69" s="28" t="inlineStr">
        <is>
          <t>ДОМА · площадь под кабинет</t>
        </is>
      </c>
      <c r="C69" s="33" t="n">
        <v>6</v>
      </c>
      <c r="D69" s="28" t="inlineStr">
        <is>
          <t>м²</t>
        </is>
      </c>
      <c r="E69" s="30" t="inlineStr"/>
      <c r="F69" s="7" t="inlineStr">
        <is>
          <t>default</t>
        </is>
      </c>
      <c r="G69" s="6" t="inlineStr"/>
      <c r="H69" s="30" t="inlineStr"/>
    </row>
    <row r="70">
      <c r="A70" s="27" t="inlineStr">
        <is>
          <t>cab_share</t>
        </is>
      </c>
      <c r="B70" s="28" t="inlineStr">
        <is>
          <t>ДОМА · доля кабинета</t>
        </is>
      </c>
      <c r="C70" s="39">
        <f>IF(home_area=0,0,cab_area/home_area)</f>
        <v/>
      </c>
      <c r="D70" s="28" t="inlineStr">
        <is>
          <t>%</t>
        </is>
      </c>
      <c r="E70" s="30" t="inlineStr">
        <is>
          <t>IF(home_area=0,0,cab_area/home_area)</t>
        </is>
      </c>
      <c r="F70" s="7" t="inlineStr">
        <is>
          <t>calc</t>
        </is>
      </c>
      <c r="G70" s="6" t="inlineStr">
        <is>
          <t>cab_area, home_area</t>
        </is>
      </c>
      <c r="H70" s="30" t="inlineStr"/>
    </row>
    <row r="71">
      <c r="A71" s="27" t="inlineStr">
        <is>
          <t>office_rent</t>
        </is>
      </c>
      <c r="B71" s="28" t="inlineStr">
        <is>
          <t>АРЕНДА · стоимость помещения</t>
        </is>
      </c>
      <c r="C71" s="37" t="n">
        <v>15000</v>
      </c>
      <c r="D71" s="28" t="inlineStr">
        <is>
          <t>₽/мес</t>
        </is>
      </c>
      <c r="E71" s="30" t="inlineStr"/>
      <c r="F71" s="7" t="inlineStr">
        <is>
          <t>default</t>
        </is>
      </c>
      <c r="G71" s="6" t="inlineStr"/>
      <c r="H71" s="30" t="inlineStr">
        <is>
          <t>ЦЕЛИКОМ</t>
        </is>
      </c>
    </row>
    <row r="72">
      <c r="A72" s="27" t="inlineStr">
        <is>
          <t>office_util</t>
        </is>
      </c>
      <c r="B72" s="28" t="inlineStr">
        <is>
          <t>АРЕНДА · коммунальные и связь</t>
        </is>
      </c>
      <c r="C72" s="37" t="n">
        <v>7000</v>
      </c>
      <c r="D72" s="28" t="inlineStr">
        <is>
          <t>₽/мес</t>
        </is>
      </c>
      <c r="E72" s="30" t="inlineStr"/>
      <c r="F72" s="7" t="inlineStr">
        <is>
          <t>default</t>
        </is>
      </c>
      <c r="G72" s="6" t="inlineStr"/>
      <c r="H72" s="30" t="inlineStr">
        <is>
          <t>ЦЕЛИКОМ</t>
        </is>
      </c>
    </row>
    <row r="73">
      <c r="A73" s="27" t="inlineStr">
        <is>
          <t>var_workspace</t>
        </is>
      </c>
      <c r="B73" s="28" t="inlineStr">
        <is>
          <t>Содержание рабочего места</t>
        </is>
      </c>
      <c r="C73" s="36">
        <f>IF(ws_mode="Работаю из дома",(IF(own_home="да",0,home_rent)*cab_share+home_util)*months,(office_rent+office_util)*months)</f>
        <v/>
      </c>
      <c r="D73" s="28" t="inlineStr">
        <is>
          <t>₽/год</t>
        </is>
      </c>
      <c r="E73" s="30" t="inlineStr">
        <is>
          <t>IF(ws_mode="Работаю из дома",(IF(own_home="да",0,home_rent)*cab_share+home_util)*months,(office_rent+office_util)*months)</t>
        </is>
      </c>
      <c r="F73" s="7" t="inlineStr">
        <is>
          <t>calc</t>
        </is>
      </c>
      <c r="G73" s="6" t="inlineStr">
        <is>
          <t>ws_mode, own_home, home_rent, cab_share, home_util, office_rent, office_util</t>
        </is>
      </c>
      <c r="H73" s="30" t="inlineStr"/>
    </row>
    <row r="74">
      <c r="A74" s="3" t="inlineStr">
        <is>
          <t>6 · ОБУЧЕНИЕ И САЙТ · ПЕРЕКЛЮЧАТЕЛИ</t>
        </is>
      </c>
    </row>
    <row r="75" ht="26" customHeight="1">
      <c r="A75" s="26" t="inlineStr">
        <is>
          <t>ID</t>
        </is>
      </c>
      <c r="B75" s="26" t="inlineStr">
        <is>
          <t>Название</t>
        </is>
      </c>
      <c r="C75" s="26" t="inlineStr">
        <is>
          <t>Значение</t>
        </is>
      </c>
      <c r="D75" s="26" t="inlineStr">
        <is>
          <t>Ед.</t>
        </is>
      </c>
      <c r="E75" s="26" t="inlineStr">
        <is>
          <t>Формула / как получено</t>
        </is>
      </c>
      <c r="F75" s="26" t="inlineStr">
        <is>
          <t>Тип</t>
        </is>
      </c>
      <c r="G75" s="26" t="inlineStr">
        <is>
          <t>Зависит от</t>
        </is>
      </c>
      <c r="H75" s="26" t="inlineStr">
        <is>
          <t>Источник / форма</t>
        </is>
      </c>
    </row>
    <row r="76">
      <c r="A76" s="27" t="inlineStr">
        <is>
          <t>edu_cost</t>
        </is>
      </c>
      <c r="B76" s="28" t="inlineStr">
        <is>
          <t>Обучение · стоимость курса</t>
        </is>
      </c>
      <c r="C76" s="37" t="n">
        <v>80000</v>
      </c>
      <c r="D76" s="28" t="inlineStr">
        <is>
          <t>₽</t>
        </is>
      </c>
      <c r="E76" s="30" t="inlineStr"/>
      <c r="F76" s="7" t="inlineStr">
        <is>
          <t>default</t>
        </is>
      </c>
      <c r="G76" s="6" t="inlineStr"/>
      <c r="H76" s="30" t="inlineStr">
        <is>
          <t>Form006 · Block10</t>
        </is>
      </c>
    </row>
    <row r="77">
      <c r="A77" s="27" t="inlineStr">
        <is>
          <t>edu_months</t>
        </is>
      </c>
      <c r="B77" s="28" t="inlineStr">
        <is>
          <t>Обучение · месяцев без дохода</t>
        </is>
      </c>
      <c r="C77" s="40" t="n">
        <v>4</v>
      </c>
      <c r="D77" s="28" t="inlineStr">
        <is>
          <t>мес</t>
        </is>
      </c>
      <c r="E77" s="30" t="inlineStr"/>
      <c r="F77" s="7" t="inlineStr">
        <is>
          <t>default</t>
        </is>
      </c>
      <c r="G77" s="6" t="inlineStr"/>
      <c r="H77" s="30" t="inlineStr"/>
    </row>
    <row r="78">
      <c r="A78" s="27" t="inlineStr">
        <is>
          <t>edu_life</t>
        </is>
      </c>
      <c r="B78" s="28" t="inlineStr">
        <is>
          <t>Обучение · срок амортизации</t>
        </is>
      </c>
      <c r="C78" s="40" t="n">
        <v>7</v>
      </c>
      <c r="D78" s="28" t="inlineStr">
        <is>
          <t>лет</t>
        </is>
      </c>
      <c r="E78" s="30" t="inlineStr"/>
      <c r="F78" s="7" t="inlineStr">
        <is>
          <t>default</t>
        </is>
      </c>
      <c r="G78" s="6" t="inlineStr"/>
      <c r="H78" s="30" t="inlineStr"/>
    </row>
    <row r="79">
      <c r="A79" s="27" t="inlineStr">
        <is>
          <t>edu_mode</t>
        </is>
      </c>
      <c r="B79" s="28" t="inlineStr">
        <is>
          <t>ПЕРЕКЛЮЧАТЕЛЬ · упущенная выгода</t>
        </is>
      </c>
      <c r="C79" s="34" t="inlineStr">
        <is>
          <t>Учитывать упущенную выгоду</t>
        </is>
      </c>
      <c r="D79" s="28" t="inlineStr"/>
      <c r="E79" s="30" t="inlineStr"/>
      <c r="F79" s="7" t="inlineStr">
        <is>
          <t>default</t>
        </is>
      </c>
      <c r="G79" s="6" t="inlineStr"/>
      <c r="H79" s="30" t="inlineStr">
        <is>
          <t>Form006 · A58</t>
        </is>
      </c>
    </row>
    <row r="80">
      <c r="A80" s="27" t="inlineStr">
        <is>
          <t>edu_opportunity</t>
        </is>
      </c>
      <c r="B80" s="28" t="inlineStr">
        <is>
          <t>Обучение · упущенная выгода</t>
        </is>
      </c>
      <c r="C80" s="38">
        <f>IF(edu_mode="Учитывать упущенную выгоду",edu_months*income_month,0)</f>
        <v/>
      </c>
      <c r="D80" s="28" t="inlineStr">
        <is>
          <t>₽</t>
        </is>
      </c>
      <c r="E80" s="30" t="inlineStr">
        <is>
          <t>IF(edu_mode="Учитывать упущенную выгоду",edu_months*income_month,0)</t>
        </is>
      </c>
      <c r="F80" s="7" t="inlineStr">
        <is>
          <t>calc</t>
        </is>
      </c>
      <c r="G80" s="6" t="inlineStr">
        <is>
          <t>edu_mode, edu_months, income_month</t>
        </is>
      </c>
      <c r="H80" s="30" t="inlineStr"/>
    </row>
    <row r="81">
      <c r="A81" s="27" t="inlineStr">
        <is>
          <t>dep_education</t>
        </is>
      </c>
      <c r="B81" s="28" t="inlineStr">
        <is>
          <t>Амортизация · обучение</t>
        </is>
      </c>
      <c r="C81" s="36">
        <f>IF(edu_life=0,0,(edu_cost+edu_opportunity)/edu_life)</f>
        <v/>
      </c>
      <c r="D81" s="28" t="inlineStr">
        <is>
          <t>₽/год</t>
        </is>
      </c>
      <c r="E81" s="30" t="inlineStr">
        <is>
          <t>IF(edu_life=0,0,(edu_cost+edu_opportunity)/edu_life)</t>
        </is>
      </c>
      <c r="F81" s="7" t="inlineStr">
        <is>
          <t>calc</t>
        </is>
      </c>
      <c r="G81" s="6" t="inlineStr">
        <is>
          <t>edu_cost, edu_opportunity, edu_life</t>
        </is>
      </c>
      <c r="H81" s="30" t="inlineStr"/>
    </row>
    <row r="82">
      <c r="A82" s="27" t="inlineStr">
        <is>
          <t>site_mode</t>
        </is>
      </c>
      <c r="B82" s="28" t="inlineStr">
        <is>
          <t>ПЕРЕКЛЮЧАТЕЛЬ · создание сайта</t>
        </is>
      </c>
      <c r="C82" s="34" t="inlineStr">
        <is>
          <t>Нанимал (а) специалиста</t>
        </is>
      </c>
      <c r="D82" s="28" t="inlineStr"/>
      <c r="E82" s="30" t="inlineStr"/>
      <c r="F82" s="7" t="inlineStr">
        <is>
          <t>default</t>
        </is>
      </c>
      <c r="G82" s="6" t="inlineStr"/>
      <c r="H82" s="30" t="inlineStr">
        <is>
          <t>Form014 · A123 · Block12</t>
        </is>
      </c>
    </row>
    <row r="83">
      <c r="A83" s="27" t="inlineStr">
        <is>
          <t>site_cost</t>
        </is>
      </c>
      <c r="B83" s="28" t="inlineStr">
        <is>
          <t>Сайт · стоимость подрядчика</t>
        </is>
      </c>
      <c r="C83" s="37" t="n">
        <v>70000</v>
      </c>
      <c r="D83" s="28" t="inlineStr">
        <is>
          <t>₽</t>
        </is>
      </c>
      <c r="E83" s="30" t="inlineStr"/>
      <c r="F83" s="7" t="inlineStr">
        <is>
          <t>default</t>
        </is>
      </c>
      <c r="G83" s="6" t="inlineStr"/>
      <c r="H83" s="30" t="inlineStr"/>
    </row>
    <row r="84">
      <c r="A84" s="27" t="inlineStr">
        <is>
          <t>site_hours</t>
        </is>
      </c>
      <c r="B84" s="28" t="inlineStr">
        <is>
          <t>Сайт · часов своими руками</t>
        </is>
      </c>
      <c r="C84" s="33" t="n">
        <v>0</v>
      </c>
      <c r="D84" s="28" t="inlineStr">
        <is>
          <t>ч</t>
        </is>
      </c>
      <c r="E84" s="30" t="inlineStr"/>
      <c r="F84" s="7" t="inlineStr">
        <is>
          <t>default</t>
        </is>
      </c>
      <c r="G84" s="6" t="inlineStr"/>
      <c r="H84" s="30" t="inlineStr">
        <is>
          <t>при варианте «делал сам»</t>
        </is>
      </c>
    </row>
    <row r="85">
      <c r="A85" s="27" t="inlineStr">
        <is>
          <t>site_life</t>
        </is>
      </c>
      <c r="B85" s="28" t="inlineStr">
        <is>
          <t>Сайт · срок амортизации</t>
        </is>
      </c>
      <c r="C85" s="40" t="n">
        <v>7</v>
      </c>
      <c r="D85" s="28" t="inlineStr">
        <is>
          <t>лет</t>
        </is>
      </c>
      <c r="E85" s="30" t="inlineStr"/>
      <c r="F85" s="7" t="inlineStr">
        <is>
          <t>default</t>
        </is>
      </c>
      <c r="G85" s="6" t="inlineStr"/>
      <c r="H85" s="30" t="inlineStr"/>
    </row>
    <row r="86">
      <c r="A86" s="27" t="inlineStr">
        <is>
          <t>dep_website</t>
        </is>
      </c>
      <c r="B86" s="28" t="inlineStr">
        <is>
          <t>Амортизация · сайт</t>
        </is>
      </c>
      <c r="C86" s="36">
        <f>IF(site_mode="Нанимал (а) специалиста",IF(site_life=0,0,site_cost/site_life),0)</f>
        <v/>
      </c>
      <c r="D86" s="28" t="inlineStr">
        <is>
          <t>₽/год</t>
        </is>
      </c>
      <c r="E86" s="30" t="inlineStr">
        <is>
          <t>IF(site_mode="Нанимал (а) специалиста",IF(site_life=0,0,site_cost/site_life),0)</t>
        </is>
      </c>
      <c r="F86" s="7" t="inlineStr">
        <is>
          <t>calc</t>
        </is>
      </c>
      <c r="G86" s="6" t="inlineStr">
        <is>
          <t>site_mode, site_cost, site_life</t>
        </is>
      </c>
      <c r="H86" s="30" t="inlineStr">
        <is>
          <t>при «делал сам» уходит в site_divisor</t>
        </is>
      </c>
    </row>
    <row r="87">
      <c r="A87" s="27" t="inlineStr">
        <is>
          <t>site_divisor</t>
        </is>
      </c>
      <c r="B87" s="28" t="inlineStr">
        <is>
          <t>Сайт · поправка знаменателя</t>
        </is>
      </c>
      <c r="C87" s="41">
        <f>IF(site_mode="Нанимал (а) специалиста",0,IF(site_life*net_time=0,0,site_hours/(site_life*net_time)))</f>
        <v/>
      </c>
      <c r="D87" s="28" t="inlineStr"/>
      <c r="E87" s="30" t="inlineStr">
        <is>
          <t>IF(site_mode="Нанимал (а) специалиста",0,IF(site_life*net_time=0,0,site_hours/(site_life*net_time)))</t>
        </is>
      </c>
      <c r="F87" s="7" t="inlineStr">
        <is>
          <t>calc</t>
        </is>
      </c>
      <c r="G87" s="6" t="inlineStr">
        <is>
          <t>site_mode, site_hours, site_life, net_time</t>
        </is>
      </c>
      <c r="H87" s="30" t="inlineStr">
        <is>
          <t>Свой труд по ПОЛНОЙ ставке рабочего часа (выручка / чистое время), а не по съёмочной</t>
        </is>
      </c>
    </row>
    <row r="88">
      <c r="A88" s="3" t="inlineStr">
        <is>
          <t>7 · РАСХОДЫ · итоги из 03_Каталоги по КОДУ ФОРМЫ</t>
        </is>
      </c>
    </row>
    <row r="89" ht="26" customHeight="1">
      <c r="A89" s="26" t="inlineStr">
        <is>
          <t>ID</t>
        </is>
      </c>
      <c r="B89" s="26" t="inlineStr">
        <is>
          <t>Название</t>
        </is>
      </c>
      <c r="C89" s="26" t="inlineStr">
        <is>
          <t>Значение</t>
        </is>
      </c>
      <c r="D89" s="26" t="inlineStr">
        <is>
          <t>Ед.</t>
        </is>
      </c>
      <c r="E89" s="26" t="inlineStr">
        <is>
          <t>Формула / как получено</t>
        </is>
      </c>
      <c r="F89" s="26" t="inlineStr">
        <is>
          <t>Тип</t>
        </is>
      </c>
      <c r="G89" s="26" t="inlineStr">
        <is>
          <t>Зависит от</t>
        </is>
      </c>
      <c r="H89" s="26" t="inlineStr">
        <is>
          <t>Источник / форма</t>
        </is>
      </c>
    </row>
    <row r="90">
      <c r="A90" s="27" t="inlineStr">
        <is>
          <t>dep_shoot</t>
        </is>
      </c>
      <c r="B90" s="28" t="inlineStr">
        <is>
          <t>Амортизация · съёмочное оборудование</t>
        </is>
      </c>
      <c r="C90" s="36">
        <f>SUMIF(cat_form,"Form001",cat_year)</f>
        <v/>
      </c>
      <c r="D90" s="28" t="inlineStr">
        <is>
          <t>₽/год</t>
        </is>
      </c>
      <c r="E90" s="30" t="inlineStr">
        <is>
          <t>SUMIF(cat_form,"Form001",cat_year)</t>
        </is>
      </c>
      <c r="F90" s="7" t="inlineStr">
        <is>
          <t>calc</t>
        </is>
      </c>
      <c r="G90" s="6" t="inlineStr">
        <is>
          <t>Form001</t>
        </is>
      </c>
      <c r="H90" s="30" t="inlineStr">
        <is>
          <t>Block6</t>
        </is>
      </c>
    </row>
    <row r="91">
      <c r="A91" s="27" t="inlineStr">
        <is>
          <t>dep_office</t>
        </is>
      </c>
      <c r="B91" s="28" t="inlineStr">
        <is>
          <t>Амортизация · офисное оборудование</t>
        </is>
      </c>
      <c r="C91" s="36">
        <f>SUMIF(cat_form,"Form002",cat_year)</f>
        <v/>
      </c>
      <c r="D91" s="28" t="inlineStr">
        <is>
          <t>₽/год</t>
        </is>
      </c>
      <c r="E91" s="30" t="inlineStr">
        <is>
          <t>SUMIF(cat_form,"Form002",cat_year)</t>
        </is>
      </c>
      <c r="F91" s="7" t="inlineStr">
        <is>
          <t>calc</t>
        </is>
      </c>
      <c r="G91" s="6" t="inlineStr">
        <is>
          <t>Form002</t>
        </is>
      </c>
      <c r="H91" s="30" t="inlineStr">
        <is>
          <t>Block7</t>
        </is>
      </c>
    </row>
    <row r="92">
      <c r="A92" s="27" t="inlineStr">
        <is>
          <t>dep_software</t>
        </is>
      </c>
      <c r="B92" s="28" t="inlineStr">
        <is>
          <t>Амортизация · ПО разовые покупки</t>
        </is>
      </c>
      <c r="C92" s="36">
        <f>SUMIF(cat_form,"Form004",cat_year)</f>
        <v/>
      </c>
      <c r="D92" s="28" t="inlineStr">
        <is>
          <t>₽/год</t>
        </is>
      </c>
      <c r="E92" s="30" t="inlineStr">
        <is>
          <t>SUMIF(cat_form,"Form004",cat_year)</t>
        </is>
      </c>
      <c r="F92" s="7" t="inlineStr">
        <is>
          <t>calc</t>
        </is>
      </c>
      <c r="G92" s="6" t="inlineStr">
        <is>
          <t>Form004</t>
        </is>
      </c>
      <c r="H92" s="30" t="inlineStr">
        <is>
          <t>Block8</t>
        </is>
      </c>
    </row>
    <row r="93">
      <c r="A93" s="27" t="inlineStr">
        <is>
          <t>dep_workspace</t>
        </is>
      </c>
      <c r="B93" s="28" t="inlineStr">
        <is>
          <t>Амортизация · обустройство места</t>
        </is>
      </c>
      <c r="C93" s="36">
        <f>SUMIF(cat_form,"Form013",cat_year)</f>
        <v/>
      </c>
      <c r="D93" s="28" t="inlineStr">
        <is>
          <t>₽/год</t>
        </is>
      </c>
      <c r="E93" s="30" t="inlineStr">
        <is>
          <t>SUMIF(cat_form,"Form013",cat_year)</t>
        </is>
      </c>
      <c r="F93" s="7" t="inlineStr">
        <is>
          <t>calc</t>
        </is>
      </c>
      <c r="G93" s="6" t="inlineStr">
        <is>
          <t>Form013</t>
        </is>
      </c>
      <c r="H93" s="30" t="inlineStr">
        <is>
          <t>Block9</t>
        </is>
      </c>
    </row>
    <row r="94">
      <c r="A94" s="27" t="inlineStr">
        <is>
          <t>investment</t>
        </is>
      </c>
      <c r="B94" s="28" t="inlineStr">
        <is>
          <t>ИТОГО амортизация</t>
        </is>
      </c>
      <c r="C94" s="36">
        <f>dep_shoot+dep_office+dep_software+dep_workspace+dep_education+dep_website</f>
        <v/>
      </c>
      <c r="D94" s="28" t="inlineStr">
        <is>
          <t>₽/год</t>
        </is>
      </c>
      <c r="E94" s="30" t="inlineStr">
        <is>
          <t>dep_shoot+dep_office+dep_software+dep_workspace+dep_education+dep_website</t>
        </is>
      </c>
      <c r="F94" s="7" t="inlineStr">
        <is>
          <t>calc</t>
        </is>
      </c>
      <c r="G94" s="6" t="inlineStr">
        <is>
          <t>dep_*</t>
        </is>
      </c>
      <c r="H94" s="30" t="inlineStr"/>
    </row>
    <row r="95">
      <c r="A95" s="27" t="inlineStr">
        <is>
          <t>var_software</t>
        </is>
      </c>
      <c r="B95" s="28" t="inlineStr">
        <is>
          <t>Переменные · подписки ПО</t>
        </is>
      </c>
      <c r="C95" s="36">
        <f>SUMIF(cat_form,"Form003",cat_year)</f>
        <v/>
      </c>
      <c r="D95" s="28" t="inlineStr">
        <is>
          <t>₽/год</t>
        </is>
      </c>
      <c r="E95" s="30" t="inlineStr">
        <is>
          <t>SUMIF(cat_form,"Form003",cat_year)</t>
        </is>
      </c>
      <c r="F95" s="7" t="inlineStr">
        <is>
          <t>calc</t>
        </is>
      </c>
      <c r="G95" s="6" t="inlineStr">
        <is>
          <t>Form003</t>
        </is>
      </c>
      <c r="H95" s="30" t="inlineStr">
        <is>
          <t>Block8</t>
        </is>
      </c>
    </row>
    <row r="96">
      <c r="A96" s="27" t="inlineStr">
        <is>
          <t>var_ads</t>
        </is>
      </c>
      <c r="B96" s="28" t="inlineStr">
        <is>
          <t>Переменные · реклама и продвижение</t>
        </is>
      </c>
      <c r="C96" s="36">
        <f>SUMIF(cat_form,"Form010",cat_year)</f>
        <v/>
      </c>
      <c r="D96" s="28" t="inlineStr">
        <is>
          <t>₽/год</t>
        </is>
      </c>
      <c r="E96" s="30" t="inlineStr">
        <is>
          <t>SUMIF(cat_form,"Form010",cat_year)</t>
        </is>
      </c>
      <c r="F96" s="7" t="inlineStr">
        <is>
          <t>calc</t>
        </is>
      </c>
      <c r="G96" s="6" t="inlineStr">
        <is>
          <t>Form010</t>
        </is>
      </c>
      <c r="H96" s="30" t="inlineStr">
        <is>
          <t>Block11</t>
        </is>
      </c>
    </row>
    <row r="97">
      <c r="A97" s="27" t="inlineStr">
        <is>
          <t>var_bank</t>
        </is>
      </c>
      <c r="B97" s="28" t="inlineStr">
        <is>
          <t>Переменные · банк РКО и СМС</t>
        </is>
      </c>
      <c r="C97" s="36">
        <f>SUMIF(cat_form,"Form007",cat_year)</f>
        <v/>
      </c>
      <c r="D97" s="28" t="inlineStr">
        <is>
          <t>₽/год</t>
        </is>
      </c>
      <c r="E97" s="30" t="inlineStr">
        <is>
          <t>SUMIF(cat_form,"Form007",cat_year)</t>
        </is>
      </c>
      <c r="F97" s="7" t="inlineStr">
        <is>
          <t>calc</t>
        </is>
      </c>
      <c r="G97" s="6" t="inlineStr">
        <is>
          <t>Form007</t>
        </is>
      </c>
      <c r="H97" s="30" t="inlineStr">
        <is>
          <t>Block15</t>
        </is>
      </c>
    </row>
    <row r="98">
      <c r="A98" s="27" t="inlineStr">
        <is>
          <t>acc_cost_month</t>
        </is>
      </c>
      <c r="B98" s="28" t="inlineStr">
        <is>
          <t>Бухгалтер · стоимость в месяц</t>
        </is>
      </c>
      <c r="C98" s="37" t="n">
        <v>10000</v>
      </c>
      <c r="D98" s="28" t="inlineStr">
        <is>
          <t>₽/мес</t>
        </is>
      </c>
      <c r="E98" s="30" t="inlineStr"/>
      <c r="F98" s="7" t="inlineStr">
        <is>
          <t>default</t>
        </is>
      </c>
      <c r="G98" s="6" t="inlineStr"/>
      <c r="H98" s="30" t="inlineStr">
        <is>
          <t>Form011</t>
        </is>
      </c>
    </row>
    <row r="99">
      <c r="A99" s="27" t="inlineStr">
        <is>
          <t>var_accounting</t>
        </is>
      </c>
      <c r="B99" s="28" t="inlineStr">
        <is>
          <t>Переменные · бухгалтер</t>
        </is>
      </c>
      <c r="C99" s="36">
        <f>IF(acc_mode="Нанимаю бухгалтера",acc_cost_month*months,0)</f>
        <v/>
      </c>
      <c r="D99" s="28" t="inlineStr">
        <is>
          <t>₽/год</t>
        </is>
      </c>
      <c r="E99" s="30" t="inlineStr">
        <is>
          <t>IF(acc_mode="Нанимаю бухгалтера",acc_cost_month*months,0)</t>
        </is>
      </c>
      <c r="F99" s="7" t="inlineStr">
        <is>
          <t>calc</t>
        </is>
      </c>
      <c r="G99" s="6" t="inlineStr">
        <is>
          <t>acc_mode, acc_cost_month, months</t>
        </is>
      </c>
      <c r="H99" s="30" t="inlineStr">
        <is>
          <t>Если веду сам — 0, но растёт время</t>
        </is>
      </c>
    </row>
    <row r="100">
      <c r="A100" s="27" t="inlineStr">
        <is>
          <t>variable_costs</t>
        </is>
      </c>
      <c r="B100" s="28" t="inlineStr">
        <is>
          <t>ИТОГО переменные</t>
        </is>
      </c>
      <c r="C100" s="36">
        <f>var_software+var_ads+var_bank+var_accounting+var_workspace</f>
        <v/>
      </c>
      <c r="D100" s="28" t="inlineStr">
        <is>
          <t>₽/год</t>
        </is>
      </c>
      <c r="E100" s="30" t="inlineStr">
        <is>
          <t>var_software+var_ads+var_bank+var_accounting+var_workspace</t>
        </is>
      </c>
      <c r="F100" s="7" t="inlineStr">
        <is>
          <t>calc</t>
        </is>
      </c>
      <c r="G100" s="6" t="inlineStr">
        <is>
          <t>var_*</t>
        </is>
      </c>
      <c r="H100" s="30" t="inlineStr"/>
    </row>
    <row r="101">
      <c r="A101" s="27" t="inlineStr">
        <is>
          <t>total_costs</t>
        </is>
      </c>
      <c r="B101" s="28" t="inlineStr">
        <is>
          <t>ВСЕГО РАСХОДОВ (C)</t>
        </is>
      </c>
      <c r="C101" s="36">
        <f>investment+variable_costs</f>
        <v/>
      </c>
      <c r="D101" s="28" t="inlineStr">
        <is>
          <t>₽/год</t>
        </is>
      </c>
      <c r="E101" s="30" t="inlineStr">
        <is>
          <t>investment+variable_costs</t>
        </is>
      </c>
      <c r="F101" s="7" t="inlineStr">
        <is>
          <t>calc</t>
        </is>
      </c>
      <c r="G101" s="6" t="inlineStr">
        <is>
          <t>investment, variable_costs</t>
        </is>
      </c>
      <c r="H101" s="30" t="inlineStr">
        <is>
          <t>Без эквайринга</t>
        </is>
      </c>
    </row>
    <row r="102">
      <c r="A102" s="27" t="inlineStr">
        <is>
          <t>revenue_base</t>
        </is>
      </c>
      <c r="B102" s="28" t="inlineStr">
        <is>
          <t>База для выручки</t>
        </is>
      </c>
      <c r="C102" s="38">
        <f>target_income+total_costs</f>
        <v/>
      </c>
      <c r="D102" s="28" t="inlineStr">
        <is>
          <t>₽/год</t>
        </is>
      </c>
      <c r="E102" s="30" t="inlineStr">
        <is>
          <t>target_income+total_costs</t>
        </is>
      </c>
      <c r="F102" s="7" t="inlineStr">
        <is>
          <t>calc</t>
        </is>
      </c>
      <c r="G102" s="6" t="inlineStr">
        <is>
          <t>target_income, total_costs</t>
        </is>
      </c>
      <c r="H102" s="30" t="inlineStr">
        <is>
          <t>N + C</t>
        </is>
      </c>
    </row>
    <row r="103">
      <c r="A103" s="3" t="inlineStr">
        <is>
          <t>8 · НАЛОГИ И ВЗНОСЫ 2026</t>
        </is>
      </c>
    </row>
    <row r="104" ht="26" customHeight="1">
      <c r="A104" s="26" t="inlineStr">
        <is>
          <t>ID</t>
        </is>
      </c>
      <c r="B104" s="26" t="inlineStr">
        <is>
          <t>Название</t>
        </is>
      </c>
      <c r="C104" s="26" t="inlineStr">
        <is>
          <t>Значение</t>
        </is>
      </c>
      <c r="D104" s="26" t="inlineStr">
        <is>
          <t>Ед.</t>
        </is>
      </c>
      <c r="E104" s="26" t="inlineStr">
        <is>
          <t>Формула / как получено</t>
        </is>
      </c>
      <c r="F104" s="26" t="inlineStr">
        <is>
          <t>Тип</t>
        </is>
      </c>
      <c r="G104" s="26" t="inlineStr">
        <is>
          <t>Зависит от</t>
        </is>
      </c>
      <c r="H104" s="26" t="inlineStr">
        <is>
          <t>Источник / форма</t>
        </is>
      </c>
    </row>
    <row r="105">
      <c r="A105" s="27" t="inlineStr">
        <is>
          <t>regime</t>
        </is>
      </c>
      <c r="B105" s="28" t="inlineStr">
        <is>
          <t>ПЕРЕКЛЮЧАТЕЛЬ · режим налогообложения</t>
        </is>
      </c>
      <c r="C105" s="34" t="inlineStr">
        <is>
          <t>Самозанятый (НПД), средняя ставка</t>
        </is>
      </c>
      <c r="D105" s="28" t="inlineStr"/>
      <c r="E105" s="30" t="inlineStr"/>
      <c r="F105" s="7" t="inlineStr">
        <is>
          <t>default</t>
        </is>
      </c>
      <c r="G105" s="6" t="inlineStr"/>
      <c r="H105" s="30" t="inlineStr">
        <is>
          <t>Form015 · A137 · Block4</t>
        </is>
      </c>
    </row>
    <row r="106">
      <c r="A106" s="27" t="inlineStr">
        <is>
          <t>rate_npd_avg</t>
        </is>
      </c>
      <c r="B106" s="28" t="inlineStr">
        <is>
          <t>НПД · средняя ставка</t>
        </is>
      </c>
      <c r="C106" s="35" t="n">
        <v>0.05</v>
      </c>
      <c r="D106" s="28" t="inlineStr">
        <is>
          <t>%</t>
        </is>
      </c>
      <c r="E106" s="30" t="inlineStr"/>
      <c r="F106" s="7" t="inlineStr">
        <is>
          <t>default</t>
        </is>
      </c>
      <c r="G106" s="6" t="inlineStr"/>
      <c r="H106" s="30" t="inlineStr">
        <is>
          <t>и физлица, и юрлица</t>
        </is>
      </c>
    </row>
    <row r="107">
      <c r="A107" s="27" t="inlineStr">
        <is>
          <t>rate_npd_fiz</t>
        </is>
      </c>
      <c r="B107" s="28" t="inlineStr">
        <is>
          <t>НПД · физлица</t>
        </is>
      </c>
      <c r="C107" s="42" t="n">
        <v>0.04</v>
      </c>
      <c r="D107" s="28" t="inlineStr">
        <is>
          <t>%</t>
        </is>
      </c>
      <c r="E107" s="30" t="inlineStr"/>
      <c r="F107" s="7" t="inlineStr">
        <is>
          <t>const</t>
        </is>
      </c>
      <c r="G107" s="6" t="inlineStr"/>
      <c r="H107" s="30" t="inlineStr">
        <is>
          <t>ФЗ-422</t>
        </is>
      </c>
    </row>
    <row r="108">
      <c r="A108" s="27" t="inlineStr">
        <is>
          <t>rate_npd_ur</t>
        </is>
      </c>
      <c r="B108" s="28" t="inlineStr">
        <is>
          <t>НПД · юрлица</t>
        </is>
      </c>
      <c r="C108" s="42" t="n">
        <v>0.06</v>
      </c>
      <c r="D108" s="28" t="inlineStr">
        <is>
          <t>%</t>
        </is>
      </c>
      <c r="E108" s="30" t="inlineStr"/>
      <c r="F108" s="7" t="inlineStr">
        <is>
          <t>const</t>
        </is>
      </c>
      <c r="G108" s="6" t="inlineStr"/>
      <c r="H108" s="30" t="inlineStr">
        <is>
          <t>ФЗ-422</t>
        </is>
      </c>
    </row>
    <row r="109">
      <c r="A109" s="27" t="inlineStr">
        <is>
          <t>rate_usn_inc</t>
        </is>
      </c>
      <c r="B109" s="28" t="inlineStr">
        <is>
          <t>УСН доходы</t>
        </is>
      </c>
      <c r="C109" s="35" t="n">
        <v>0.06</v>
      </c>
      <c r="D109" s="28" t="inlineStr">
        <is>
          <t>%</t>
        </is>
      </c>
      <c r="E109" s="30" t="inlineStr"/>
      <c r="F109" s="7" t="inlineStr">
        <is>
          <t>default</t>
        </is>
      </c>
      <c r="G109" s="6" t="inlineStr"/>
      <c r="H109" s="30" t="inlineStr">
        <is>
          <t>регион до 1%</t>
        </is>
      </c>
    </row>
    <row r="110">
      <c r="A110" s="27" t="inlineStr">
        <is>
          <t>rate_usn_prof</t>
        </is>
      </c>
      <c r="B110" s="28" t="inlineStr">
        <is>
          <t>УСН доходы минус расходы</t>
        </is>
      </c>
      <c r="C110" s="35" t="n">
        <v>0.15</v>
      </c>
      <c r="D110" s="28" t="inlineStr">
        <is>
          <t>%</t>
        </is>
      </c>
      <c r="E110" s="30" t="inlineStr"/>
      <c r="F110" s="7" t="inlineStr">
        <is>
          <t>default</t>
        </is>
      </c>
      <c r="G110" s="6" t="inlineStr"/>
      <c r="H110" s="30" t="inlineStr">
        <is>
          <t>регион до 5%</t>
        </is>
      </c>
    </row>
    <row r="111">
      <c r="A111" s="27" t="inlineStr">
        <is>
          <t>rate_ausn_inc</t>
        </is>
      </c>
      <c r="B111" s="28" t="inlineStr">
        <is>
          <t>АУСН доходы</t>
        </is>
      </c>
      <c r="C111" s="42" t="n">
        <v>0.08</v>
      </c>
      <c r="D111" s="28" t="inlineStr">
        <is>
          <t>%</t>
        </is>
      </c>
      <c r="E111" s="30" t="inlineStr"/>
      <c r="F111" s="7" t="inlineStr">
        <is>
          <t>const</t>
        </is>
      </c>
      <c r="G111" s="6" t="inlineStr"/>
      <c r="H111" s="30" t="inlineStr">
        <is>
          <t>ФЗ-17</t>
        </is>
      </c>
    </row>
    <row r="112">
      <c r="A112" s="27" t="inlineStr">
        <is>
          <t>rate_ausn_prof</t>
        </is>
      </c>
      <c r="B112" s="28" t="inlineStr">
        <is>
          <t>АУСН доходы минус расходы</t>
        </is>
      </c>
      <c r="C112" s="42" t="n">
        <v>0.2</v>
      </c>
      <c r="D112" s="28" t="inlineStr">
        <is>
          <t>%</t>
        </is>
      </c>
      <c r="E112" s="30" t="inlineStr"/>
      <c r="F112" s="7" t="inlineStr">
        <is>
          <t>const</t>
        </is>
      </c>
      <c r="G112" s="6" t="inlineStr"/>
      <c r="H112" s="30" t="inlineStr">
        <is>
          <t>ФЗ-17</t>
        </is>
      </c>
    </row>
    <row r="113">
      <c r="A113" s="27" t="inlineStr">
        <is>
          <t>regime_no</t>
        </is>
      </c>
      <c r="B113" s="28" t="inlineStr">
        <is>
          <t>Номер режима (1–7)</t>
        </is>
      </c>
      <c r="C113" s="32">
        <f>MATCH(regime,{"Самозанятый (НПД), средняя ставка";"Самозанятый (НПД), Физ. лица";"Самозанятый (НПД), Юр. лица";"УСН доходы";"УСН доходы минус расходы";"АУСН доходы";"АУСН доходы минус расходы"},0)</f>
        <v/>
      </c>
      <c r="D113" s="28" t="inlineStr">
        <is>
          <t>№</t>
        </is>
      </c>
      <c r="E113" s="30" t="inlineStr">
        <is>
          <t>MATCH(regime,{"Самозанятый (НПД), средняя ставка";"Самозанятый (НПД), Физ. лица";"Самозанятый (НПД), Юр. лица";"УСН доходы";"УСН доходы минус расходы";"АУСН доходы";"АУСН доходы минус расходы"},0)</t>
        </is>
      </c>
      <c r="F113" s="7" t="inlineStr">
        <is>
          <t>calc</t>
        </is>
      </c>
      <c r="G113" s="6" t="inlineStr">
        <is>
          <t>regime</t>
        </is>
      </c>
      <c r="H113" s="30" t="inlineStr"/>
    </row>
    <row r="114">
      <c r="A114" s="27" t="inlineStr">
        <is>
          <t>rate_current</t>
        </is>
      </c>
      <c r="B114" s="28" t="inlineStr">
        <is>
          <t>Ставка выбранного режима</t>
        </is>
      </c>
      <c r="C114" s="39">
        <f>CHOOSE(regime_no,rate_npd_avg,rate_npd_fiz,rate_npd_ur,rate_usn_inc,rate_usn_prof,rate_ausn_inc,rate_ausn_prof)</f>
        <v/>
      </c>
      <c r="D114" s="28" t="inlineStr">
        <is>
          <t>%</t>
        </is>
      </c>
      <c r="E114" s="30" t="inlineStr">
        <is>
          <t>CHOOSE(regime_no,rate_npd_avg,rate_npd_fiz,rate_npd_ur,rate_usn_inc,rate_usn_prof,rate_ausn_inc,rate_ausn_prof)</t>
        </is>
      </c>
      <c r="F114" s="7" t="inlineStr">
        <is>
          <t>calc</t>
        </is>
      </c>
      <c r="G114" s="6" t="inlineStr">
        <is>
          <t>regime_no</t>
        </is>
      </c>
      <c r="H114" s="30" t="inlineStr"/>
    </row>
    <row r="115">
      <c r="A115" s="27" t="inlineStr">
        <is>
          <t>fixed_contrib</t>
        </is>
      </c>
      <c r="B115" s="28" t="inlineStr">
        <is>
          <t>Фиксированные взносы ИП</t>
        </is>
      </c>
      <c r="C115" s="43" t="n">
        <v>57390</v>
      </c>
      <c r="D115" s="28" t="inlineStr">
        <is>
          <t>₽/год</t>
        </is>
      </c>
      <c r="E115" s="30" t="inlineStr"/>
      <c r="F115" s="7" t="inlineStr">
        <is>
          <t>const</t>
        </is>
      </c>
      <c r="G115" s="6" t="inlineStr"/>
      <c r="H115" s="30" t="inlineStr">
        <is>
          <t>п. 1.2 ст. 430 НК</t>
        </is>
      </c>
    </row>
    <row r="116">
      <c r="A116" s="27" t="inlineStr">
        <is>
          <t>extra_contrib</t>
        </is>
      </c>
      <c r="B116" s="28" t="inlineStr">
        <is>
          <t>Дополнительный взнос</t>
        </is>
      </c>
      <c r="C116" s="42" t="n">
        <v>0.01</v>
      </c>
      <c r="D116" s="28" t="inlineStr">
        <is>
          <t>%</t>
        </is>
      </c>
      <c r="E116" s="30" t="inlineStr"/>
      <c r="F116" s="7" t="inlineStr">
        <is>
          <t>const</t>
        </is>
      </c>
      <c r="G116" s="6" t="inlineStr"/>
      <c r="H116" s="30" t="inlineStr">
        <is>
          <t>п. 1.2 ст. 430 НК</t>
        </is>
      </c>
    </row>
    <row r="117">
      <c r="A117" s="27" t="inlineStr">
        <is>
          <t>contrib_threshold</t>
        </is>
      </c>
      <c r="B117" s="28" t="inlineStr">
        <is>
          <t>Предельная величина дохода</t>
        </is>
      </c>
      <c r="C117" s="43" t="n">
        <v>300000</v>
      </c>
      <c r="D117" s="28" t="inlineStr">
        <is>
          <t>₽/год</t>
        </is>
      </c>
      <c r="E117" s="30" t="inlineStr"/>
      <c r="F117" s="7" t="inlineStr">
        <is>
          <t>const</t>
        </is>
      </c>
      <c r="G117" s="6" t="inlineStr"/>
      <c r="H117" s="30" t="inlineStr">
        <is>
          <t>ЗА ГОД</t>
        </is>
      </c>
    </row>
    <row r="118">
      <c r="A118" s="27" t="inlineStr">
        <is>
          <t>contrib_cap</t>
        </is>
      </c>
      <c r="B118" s="28" t="inlineStr">
        <is>
          <t>Максимум допвзноса</t>
        </is>
      </c>
      <c r="C118" s="43" t="n">
        <v>321818</v>
      </c>
      <c r="D118" s="28" t="inlineStr">
        <is>
          <t>₽/год</t>
        </is>
      </c>
      <c r="E118" s="30" t="inlineStr"/>
      <c r="F118" s="7" t="inlineStr">
        <is>
          <t>const</t>
        </is>
      </c>
      <c r="G118" s="6" t="inlineStr"/>
      <c r="H118" s="30" t="inlineStr">
        <is>
          <t>п. 1.2 ст. 430 НК</t>
        </is>
      </c>
    </row>
    <row r="119">
      <c r="A119" s="27" t="inlineStr">
        <is>
          <t>threshold_credit</t>
        </is>
      </c>
      <c r="B119" s="28" t="inlineStr">
        <is>
          <t>Поправка на порог</t>
        </is>
      </c>
      <c r="C119" s="38">
        <f>contrib_threshold*extra_contrib</f>
        <v/>
      </c>
      <c r="D119" s="28" t="inlineStr">
        <is>
          <t>₽</t>
        </is>
      </c>
      <c r="E119" s="30" t="inlineStr">
        <is>
          <t>contrib_threshold*extra_contrib</t>
        </is>
      </c>
      <c r="F119" s="7" t="inlineStr">
        <is>
          <t>calc</t>
        </is>
      </c>
      <c r="G119" s="6" t="inlineStr">
        <is>
          <t>contrib_threshold, extra_contrib</t>
        </is>
      </c>
      <c r="H119" s="30" t="inlineStr">
        <is>
          <t>300 000 × 1% = 3 000</t>
        </is>
      </c>
    </row>
    <row r="120">
      <c r="A120" s="27" t="inlineStr">
        <is>
          <t>min_tax_usn</t>
        </is>
      </c>
      <c r="B120" s="28" t="inlineStr">
        <is>
          <t>Минимальный налог УСН Д−Р</t>
        </is>
      </c>
      <c r="C120" s="42" t="n">
        <v>0.01</v>
      </c>
      <c r="D120" s="28" t="inlineStr">
        <is>
          <t>%</t>
        </is>
      </c>
      <c r="E120" s="30" t="inlineStr"/>
      <c r="F120" s="7" t="inlineStr">
        <is>
          <t>const</t>
        </is>
      </c>
      <c r="G120" s="6" t="inlineStr"/>
      <c r="H120" s="30" t="inlineStr">
        <is>
          <t>ст. 346.18 НК</t>
        </is>
      </c>
    </row>
    <row r="121">
      <c r="A121" s="27" t="inlineStr">
        <is>
          <t>min_tax_ausn</t>
        </is>
      </c>
      <c r="B121" s="28" t="inlineStr">
        <is>
          <t>Минимальный налог АУСН Д−Р</t>
        </is>
      </c>
      <c r="C121" s="42" t="n">
        <v>0.03</v>
      </c>
      <c r="D121" s="28" t="inlineStr">
        <is>
          <t>%</t>
        </is>
      </c>
      <c r="E121" s="30" t="inlineStr"/>
      <c r="F121" s="7" t="inlineStr">
        <is>
          <t>const</t>
        </is>
      </c>
      <c r="G121" s="6" t="inlineStr"/>
      <c r="H121" s="30" t="inlineStr">
        <is>
          <t>ФЗ-17</t>
        </is>
      </c>
    </row>
    <row r="122">
      <c r="A122" s="27" t="inlineStr">
        <is>
          <t>injury_contrib</t>
        </is>
      </c>
      <c r="B122" s="28" t="inlineStr">
        <is>
          <t>Взнос на травматизм (АУСН)</t>
        </is>
      </c>
      <c r="C122" s="37" t="n">
        <v>0</v>
      </c>
      <c r="D122" s="28" t="inlineStr">
        <is>
          <t>₽/год</t>
        </is>
      </c>
      <c r="E122" s="30" t="inlineStr"/>
      <c r="F122" s="7" t="inlineStr">
        <is>
          <t>default</t>
        </is>
      </c>
      <c r="G122" s="6" t="inlineStr"/>
      <c r="H122" s="30" t="inlineStr">
        <is>
          <t>соло — 0</t>
        </is>
      </c>
    </row>
    <row r="123">
      <c r="A123" s="27" t="inlineStr">
        <is>
          <t>acq_rate</t>
        </is>
      </c>
      <c r="B123" s="28" t="inlineStr">
        <is>
          <t>Эквайринг · ставка</t>
        </is>
      </c>
      <c r="C123" s="35" t="n">
        <v>0.027</v>
      </c>
      <c r="D123" s="28" t="inlineStr">
        <is>
          <t>%</t>
        </is>
      </c>
      <c r="E123" s="30" t="inlineStr"/>
      <c r="F123" s="7" t="inlineStr">
        <is>
          <t>default</t>
        </is>
      </c>
      <c r="G123" s="6" t="inlineStr"/>
      <c r="H123" s="30" t="inlineStr">
        <is>
          <t>Form008 · Block15</t>
        </is>
      </c>
    </row>
    <row r="124">
      <c r="A124" s="27" t="inlineStr">
        <is>
          <t>acq_share</t>
        </is>
      </c>
      <c r="B124" s="28" t="inlineStr">
        <is>
          <t>Эквайринг · доля безналичных оплат</t>
        </is>
      </c>
      <c r="C124" s="35" t="n">
        <v>1</v>
      </c>
      <c r="D124" s="28" t="inlineStr">
        <is>
          <t>%</t>
        </is>
      </c>
      <c r="E124" s="30" t="inlineStr"/>
      <c r="F124" s="7" t="inlineStr">
        <is>
          <t>default</t>
        </is>
      </c>
      <c r="G124" s="6" t="inlineStr"/>
      <c r="H124" s="30" t="inlineStr"/>
    </row>
    <row r="125">
      <c r="A125" s="27" t="inlineStr">
        <is>
          <t>acquiring</t>
        </is>
      </c>
      <c r="B125" s="28" t="inlineStr">
        <is>
          <t>Эквайринг · эффективно</t>
        </is>
      </c>
      <c r="C125" s="39">
        <f>acq_rate*acq_share</f>
        <v/>
      </c>
      <c r="D125" s="28" t="inlineStr">
        <is>
          <t>%</t>
        </is>
      </c>
      <c r="E125" s="30" t="inlineStr">
        <is>
          <t>acq_rate*acq_share</t>
        </is>
      </c>
      <c r="F125" s="7" t="inlineStr">
        <is>
          <t>calc</t>
        </is>
      </c>
      <c r="G125" s="6" t="inlineStr">
        <is>
          <t>acq_rate, acq_share</t>
        </is>
      </c>
      <c r="H125" s="30" t="inlineStr">
        <is>
          <t>В ЗНАМЕНАТЕЛЬ, не в расходы</t>
        </is>
      </c>
    </row>
    <row r="126">
      <c r="A126" s="27" t="inlineStr">
        <is>
          <t>vat_threshold</t>
        </is>
      </c>
      <c r="B126" s="28" t="inlineStr">
        <is>
          <t>Порог освобождения от НДС</t>
        </is>
      </c>
      <c r="C126" s="43" t="n">
        <v>20000000</v>
      </c>
      <c r="D126" s="28" t="inlineStr">
        <is>
          <t>₽/год</t>
        </is>
      </c>
      <c r="E126" s="30" t="inlineStr"/>
      <c r="F126" s="7" t="inlineStr">
        <is>
          <t>const</t>
        </is>
      </c>
      <c r="G126" s="6" t="inlineStr"/>
      <c r="H126" s="30" t="inlineStr">
        <is>
          <t>ФЗ-228</t>
        </is>
      </c>
    </row>
    <row r="127">
      <c r="A127" s="27" t="inlineStr">
        <is>
          <t>limit_npd</t>
        </is>
      </c>
      <c r="B127" s="28" t="inlineStr">
        <is>
          <t>Лимит НПД</t>
        </is>
      </c>
      <c r="C127" s="43" t="n">
        <v>2400000</v>
      </c>
      <c r="D127" s="28" t="inlineStr">
        <is>
          <t>₽/год</t>
        </is>
      </c>
      <c r="E127" s="30" t="inlineStr"/>
      <c r="F127" s="7" t="inlineStr">
        <is>
          <t>const</t>
        </is>
      </c>
      <c r="G127" s="6" t="inlineStr"/>
      <c r="H127" s="30" t="inlineStr">
        <is>
          <t>ФЗ-422</t>
        </is>
      </c>
    </row>
    <row r="128">
      <c r="A128" s="27" t="inlineStr">
        <is>
          <t>limit_ausn</t>
        </is>
      </c>
      <c r="B128" s="28" t="inlineStr">
        <is>
          <t>Лимит АУСН</t>
        </is>
      </c>
      <c r="C128" s="43" t="n">
        <v>60000000</v>
      </c>
      <c r="D128" s="28" t="inlineStr">
        <is>
          <t>₽/год</t>
        </is>
      </c>
      <c r="E128" s="30" t="inlineStr"/>
      <c r="F128" s="7" t="inlineStr">
        <is>
          <t>const</t>
        </is>
      </c>
      <c r="G128" s="6" t="inlineStr"/>
      <c r="H128" s="30" t="inlineStr">
        <is>
          <t>ФЗ-17</t>
        </is>
      </c>
    </row>
    <row r="129">
      <c r="A129" s="3" t="inlineStr">
        <is>
          <t>9 · СПРАВОЧНЫЕ СТАВКИ</t>
        </is>
      </c>
    </row>
    <row r="130" ht="26" customHeight="1">
      <c r="A130" s="26" t="inlineStr">
        <is>
          <t>ID</t>
        </is>
      </c>
      <c r="B130" s="26" t="inlineStr">
        <is>
          <t>Название</t>
        </is>
      </c>
      <c r="C130" s="26" t="inlineStr">
        <is>
          <t>Значение</t>
        </is>
      </c>
      <c r="D130" s="26" t="inlineStr">
        <is>
          <t>Ед.</t>
        </is>
      </c>
      <c r="E130" s="26" t="inlineStr">
        <is>
          <t>Формула / как получено</t>
        </is>
      </c>
      <c r="F130" s="26" t="inlineStr">
        <is>
          <t>Тип</t>
        </is>
      </c>
      <c r="G130" s="26" t="inlineStr">
        <is>
          <t>Зависит от</t>
        </is>
      </c>
      <c r="H130" s="26" t="inlineStr">
        <is>
          <t>Источник / форма</t>
        </is>
      </c>
    </row>
    <row r="131">
      <c r="A131" s="27" t="inlineStr">
        <is>
          <t>naive_rate</t>
        </is>
      </c>
      <c r="B131" s="28" t="inlineStr">
        <is>
          <t>Наивная ставка</t>
        </is>
      </c>
      <c r="C131" s="38">
        <f>IF(shooting_time=0,0,target_income/shooting_time)</f>
        <v/>
      </c>
      <c r="D131" s="28" t="inlineStr">
        <is>
          <t>₽/ч</t>
        </is>
      </c>
      <c r="E131" s="30" t="inlineStr">
        <is>
          <t>IF(shooting_time=0,0,target_income/shooting_time)</t>
        </is>
      </c>
      <c r="F131" s="7" t="inlineStr">
        <is>
          <t>calc</t>
        </is>
      </c>
      <c r="G131" s="6" t="inlineStr">
        <is>
          <t>target_income, shooting_time</t>
        </is>
      </c>
      <c r="H131" s="30" t="inlineStr">
        <is>
          <t>Без расходов и налогов — типичная ошибка</t>
        </is>
      </c>
    </row>
    <row r="132">
      <c r="A132" s="27" t="inlineStr">
        <is>
          <t>base_rate</t>
        </is>
      </c>
      <c r="B132" s="28" t="inlineStr">
        <is>
          <t>Базовая ставка часа</t>
        </is>
      </c>
      <c r="C132" s="36">
        <f>target_income/net_time</f>
        <v/>
      </c>
      <c r="D132" s="28" t="inlineStr">
        <is>
          <t>₽/ч</t>
        </is>
      </c>
      <c r="E132" s="30" t="inlineStr">
        <is>
          <t>target_income/net_time</t>
        </is>
      </c>
      <c r="F132" s="7" t="inlineStr">
        <is>
          <t>calc</t>
        </is>
      </c>
      <c r="G132" s="6" t="inlineStr">
        <is>
          <t>target_income, net_time</t>
        </is>
      </c>
      <c r="H132" s="30" t="inlineStr">
        <is>
          <t>Доход / чистое время</t>
        </is>
      </c>
    </row>
    <row r="133">
      <c r="A133" s="27" t="inlineStr">
        <is>
          <t>ops_rate</t>
        </is>
      </c>
      <c r="B133" s="28" t="inlineStr">
        <is>
          <t>Операционная ставка часа</t>
        </is>
      </c>
      <c r="C133" s="38">
        <f>IF(shooting_time=0,0,revenue_base/shooting_time)</f>
        <v/>
      </c>
      <c r="D133" s="28" t="inlineStr">
        <is>
          <t>₽/ч</t>
        </is>
      </c>
      <c r="E133" s="30" t="inlineStr">
        <is>
          <t>IF(shooting_time=0,0,revenue_base/shooting_time)</t>
        </is>
      </c>
      <c r="F133" s="7" t="inlineStr">
        <is>
          <t>calc</t>
        </is>
      </c>
      <c r="G133" s="6" t="inlineStr">
        <is>
          <t>revenue_base, shooting_time</t>
        </is>
      </c>
      <c r="H133" s="30" t="inlineStr">
        <is>
          <t>Без налога и эквайринга</t>
        </is>
      </c>
    </row>
    <row r="134">
      <c r="A134" s="27" t="inlineStr">
        <is>
          <t>full_hour_rate</t>
        </is>
      </c>
      <c r="B134" s="28" t="inlineStr">
        <is>
          <t>ПОЛНАЯ ставка рабочего часа</t>
        </is>
      </c>
      <c r="C134" s="36">
        <f>IF(net_time=0,0,CHOOSE(regime_no,'05_Расчёт'!B4,'05_Расчёт'!C4,'05_Расчёт'!D4,'05_Расчёт'!E4,'05_Расчёт'!F4,'05_Расчёт'!G4,'05_Расчёт'!H4)/net_time)</f>
        <v/>
      </c>
      <c r="D134" s="28" t="inlineStr">
        <is>
          <t>₽/ч</t>
        </is>
      </c>
      <c r="E134" s="30" t="inlineStr">
        <is>
          <t>IF(net_time=0,0,CHOOSE(regime_no,'05_Расчёт'!B4,'05_Расчёт'!C4,'05_Расчёт'!D4,'05_Расчёт'!E4,'05_Расчёт'!F4,'05_Расчёт'!G4,'05_Расчёт'!H4)/net_time)</t>
        </is>
      </c>
      <c r="F134" s="7" t="inlineStr">
        <is>
          <t>calc</t>
        </is>
      </c>
      <c r="G134" s="6" t="inlineStr">
        <is>
          <t>выручка, net_time</t>
        </is>
      </c>
      <c r="H134" s="30" t="inlineStr">
        <is>
          <t>Выручка / чистое время. Реальная цена ЛЮБОГО рабочего часа, с налогами и расходами</t>
        </is>
      </c>
    </row>
    <row r="135">
      <c r="A135" s="27" t="inlineStr">
        <is>
          <t>site_value</t>
        </is>
      </c>
      <c r="B135" s="28" t="inlineStr">
        <is>
          <t>Сайт · оценка своего труда</t>
        </is>
      </c>
      <c r="C135" s="38">
        <f>IF(site_mode="Нанимал (а) специалиста",site_cost,site_hours*full_hour_rate)</f>
        <v/>
      </c>
      <c r="D135" s="28" t="inlineStr">
        <is>
          <t>₽</t>
        </is>
      </c>
      <c r="E135" s="30" t="inlineStr">
        <is>
          <t>IF(site_mode="Нанимал (а) специалиста",site_cost,site_hours*full_hour_rate)</t>
        </is>
      </c>
      <c r="F135" s="7" t="inlineStr">
        <is>
          <t>calc</t>
        </is>
      </c>
      <c r="G135" s="6" t="inlineStr">
        <is>
          <t>site_mode, site_cost, site_hours, full_hour_rate</t>
        </is>
      </c>
      <c r="H135" s="30" t="inlineStr">
        <is>
          <t>Цена подрядчика или ваши часы по полной ставке</t>
        </is>
      </c>
    </row>
    <row r="136">
      <c r="A136" s="3" t="inlineStr">
        <is>
          <t>10 · ДОБАВЛЕНО ПОД HTML-ОТЧЁТ</t>
        </is>
      </c>
    </row>
    <row r="137">
      <c r="A137" s="26" t="inlineStr">
        <is>
          <t>ID</t>
        </is>
      </c>
      <c r="B137" s="26" t="inlineStr">
        <is>
          <t>Название</t>
        </is>
      </c>
      <c r="C137" s="26" t="inlineStr">
        <is>
          <t>Значение</t>
        </is>
      </c>
      <c r="D137" s="26" t="inlineStr">
        <is>
          <t>Ед.</t>
        </is>
      </c>
      <c r="E137" s="26" t="inlineStr">
        <is>
          <t>Формула / как получено</t>
        </is>
      </c>
      <c r="F137" s="26" t="inlineStr">
        <is>
          <t>Тип</t>
        </is>
      </c>
      <c r="G137" s="26" t="inlineStr">
        <is>
          <t>Зависит от</t>
        </is>
      </c>
    </row>
    <row r="138">
      <c r="A138" s="27" t="inlineStr">
        <is>
          <t>idle_time</t>
        </is>
      </c>
      <c r="B138" s="28" t="inlineStr">
        <is>
          <t>РАБОЧИЕ ПАУЗЫ за год</t>
        </is>
      </c>
      <c r="C138" s="36">
        <f>net_days*(nominal_hours-eff_hours)</f>
        <v/>
      </c>
      <c r="D138" s="28" t="inlineStr">
        <is>
          <t>ч/год</t>
        </is>
      </c>
      <c r="E138" s="30" t="inlineStr">
        <is>
          <t>1 час в день: подготовка и уборка места, зарядка техники, размяться, отойти</t>
        </is>
      </c>
      <c r="F138" s="7" t="inlineStr">
        <is>
          <t>calc</t>
        </is>
      </c>
      <c r="G138" s="6" t="inlineStr">
        <is>
          <t>net_days, nominal_hours, eff_hours</t>
        </is>
      </c>
    </row>
    <row r="139">
      <c r="A139" s="27" t="inlineStr">
        <is>
          <t>idle_week</t>
        </is>
      </c>
      <c r="B139" s="28" t="inlineStr">
        <is>
          <t>Рабочие паузы в неделю</t>
        </is>
      </c>
      <c r="C139" s="36">
        <f>IF(net_weeks=0,0,idle_time/net_weeks)</f>
        <v/>
      </c>
      <c r="D139" s="28" t="inlineStr">
        <is>
          <t>ч/нед</t>
        </is>
      </c>
      <c r="E139" s="30" t="inlineStr"/>
      <c r="F139" s="7" t="inlineStr">
        <is>
          <t>calc</t>
        </is>
      </c>
      <c r="G139" s="6" t="inlineStr">
        <is>
          <t>idle_time, net_weeks</t>
        </is>
      </c>
    </row>
    <row r="140">
      <c r="A140" s="27" t="inlineStr">
        <is>
          <t>hour_all</t>
        </is>
      </c>
      <c r="B140" s="28" t="inlineStr">
        <is>
          <t>Час вашего времени (блок 09)</t>
        </is>
      </c>
      <c r="C140" s="36">
        <f>IF(net_time+idle_time=0,0,target_income/(net_time+idle_time))</f>
        <v/>
      </c>
      <c r="D140" s="28" t="inlineStr">
        <is>
          <t>₽/ч</t>
        </is>
      </c>
      <c r="E140" s="30" t="inlineStr">
        <is>
          <t>Доход на ВСЁ рабочее время, включая паузы</t>
        </is>
      </c>
      <c r="F140" s="7" t="inlineStr">
        <is>
          <t>calc</t>
        </is>
      </c>
      <c r="G140" s="6" t="inlineStr">
        <is>
          <t>target_income, net_time, idle_time</t>
        </is>
      </c>
    </row>
    <row r="141">
      <c r="A141" s="27" t="inlineStr">
        <is>
          <t>frames_out</t>
        </is>
      </c>
      <c r="B141" s="28" t="inlineStr">
        <is>
          <t>Обработанных кадров с часа съёмки</t>
        </is>
      </c>
      <c r="C141" s="33" t="n">
        <v>80</v>
      </c>
      <c r="D141" s="28" t="inlineStr">
        <is>
          <t>шт/ч</t>
        </is>
      </c>
      <c r="E141" s="30" t="inlineStr">
        <is>
          <t>Задаёт пользователь в форме</t>
        </is>
      </c>
      <c r="F141" s="7" t="inlineStr">
        <is>
          <t>default</t>
        </is>
      </c>
      <c r="G141" s="6" t="inlineStr"/>
    </row>
    <row r="142">
      <c r="A142" s="27" t="inlineStr">
        <is>
          <t>frames_total</t>
        </is>
      </c>
      <c r="B142" s="28" t="inlineStr">
        <is>
          <t>Кадров за одну съёмку</t>
        </is>
      </c>
      <c r="C142" s="36">
        <f>frames_out*shoot_duration</f>
        <v/>
      </c>
      <c r="D142" s="28" t="inlineStr">
        <is>
          <t>шт</t>
        </is>
      </c>
      <c r="E142" s="30" t="inlineStr"/>
      <c r="F142" s="7" t="inlineStr">
        <is>
          <t>calc</t>
        </is>
      </c>
      <c r="G142" s="6" t="inlineStr">
        <is>
          <t>frames_out, shoot_duration</t>
        </is>
      </c>
    </row>
    <row r="143">
      <c r="A143" s="27" t="inlineStr">
        <is>
          <t>equip_only</t>
        </is>
      </c>
      <c r="B143" s="28" t="inlineStr">
        <is>
          <t>Оборудование и ПО без обучения</t>
        </is>
      </c>
      <c r="C143" s="36">
        <f>dep_shoot+dep_office+dep_software</f>
        <v/>
      </c>
      <c r="D143" s="28" t="inlineStr">
        <is>
          <t>₽/год</t>
        </is>
      </c>
      <c r="E143" s="30" t="inlineStr">
        <is>
          <t>Только железо и ПО, для блока 09</t>
        </is>
      </c>
      <c r="F143" s="7" t="inlineStr">
        <is>
          <t>calc</t>
        </is>
      </c>
      <c r="G143" s="6" t="inlineStr">
        <is>
          <t>dep_shoot, dep_office, dep_software</t>
        </is>
      </c>
    </row>
  </sheetData>
  <mergeCells count="11">
    <mergeCell ref="A4:H4"/>
    <mergeCell ref="A62:H62"/>
    <mergeCell ref="A57:H57"/>
    <mergeCell ref="A2:H2"/>
    <mergeCell ref="A129:H129"/>
    <mergeCell ref="A103:H103"/>
    <mergeCell ref="A19:H19"/>
    <mergeCell ref="A1:H1"/>
    <mergeCell ref="A37:H37"/>
    <mergeCell ref="A74:H74"/>
    <mergeCell ref="A88:H88"/>
  </mergeCells>
  <dataValidations count="7">
    <dataValidation sqref="C27" showDropDown="0" showInputMessage="0" showErrorMessage="0" allowBlank="1" type="list">
      <formula1>"Нанимаю бухгалтера,Веду самостоятельно"</formula1>
    </dataValidation>
    <dataValidation sqref="C32" showDropDown="0" showInputMessage="0" showErrorMessage="0" allowBlank="1" type="list">
      <formula1>"Заложить резерв,Не закладывать"</formula1>
    </dataValidation>
    <dataValidation sqref="C64" showDropDown="0" showInputMessage="0" showErrorMessage="0" allowBlank="1" type="list">
      <formula1>"Работаю из дома,Арендую помещение"</formula1>
    </dataValidation>
    <dataValidation sqref="C65" showDropDown="0" showInputMessage="0" showErrorMessage="0" allowBlank="1" type="list">
      <formula1>"нет,да"</formula1>
    </dataValidation>
    <dataValidation sqref="C79" showDropDown="0" showInputMessage="0" showErrorMessage="0" allowBlank="1" type="list">
      <formula1>"Учитывать упущенную выгоду,Учитывать только стоимость обучения"</formula1>
    </dataValidation>
    <dataValidation sqref="C82" showDropDown="0" showInputMessage="0" showErrorMessage="0" allowBlank="1" type="list">
      <formula1>"Нанимал (а) специалиста,Делал (а) самостоятельно"</formula1>
    </dataValidation>
    <dataValidation sqref="C105" showDropDown="0" showInputMessage="0" showErrorMessage="0" allowBlank="1" type="list">
      <formula1>"Самозанятый (НПД), средняя ставка,Самозанятый (НПД), Физ. лица,Самозанятый (НПД), Юр. лица,УСН доходы,УСН доходы минус расходы,АУСН доходы,АУСН доходы минус расходы"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4" customWidth="1" min="3" max="3"/>
    <col width="10" customWidth="1" min="4" max="4"/>
    <col width="12" customWidth="1" min="5" max="5"/>
    <col width="10" customWidth="1" min="6" max="6"/>
    <col width="16" customWidth="1" min="7" max="7"/>
    <col width="26" customWidth="1" min="8" max="8"/>
  </cols>
  <sheetData>
    <row r="1">
      <c r="A1" s="1" t="inlineStr">
        <is>
          <t>03 · КАТАЛОГИ — списки значений по умолчанию для форм калькулятора</t>
        </is>
      </c>
    </row>
    <row r="2">
      <c r="A2" s="25" t="inlineStr">
        <is>
          <t>Только данные, никаких строк «ИТОГО». Итог берётся формулой SUMIF по коду формы. Период: Год=1, Месяц=12, Квартал=4 — как в ваших выпадающих списках.</t>
        </is>
      </c>
    </row>
    <row r="4" ht="26" customHeight="1">
      <c r="A4" s="44" t="inlineStr">
        <is>
          <t>Форма</t>
        </is>
      </c>
      <c r="B4" s="44" t="inlineStr">
        <is>
          <t>Позиция</t>
        </is>
      </c>
      <c r="C4" s="44" t="inlineStr">
        <is>
          <t>Стоимость, ₽</t>
        </is>
      </c>
      <c r="D4" s="44" t="inlineStr">
        <is>
          <t>Срок, лет</t>
        </is>
      </c>
      <c r="E4" s="44" t="inlineStr">
        <is>
          <t>Период</t>
        </is>
      </c>
      <c r="F4" s="44" t="inlineStr">
        <is>
          <t>Платежей/год</t>
        </is>
      </c>
      <c r="G4" s="44" t="inlineStr">
        <is>
          <t>₽/год</t>
        </is>
      </c>
      <c r="H4" s="44" t="inlineStr">
        <is>
          <t>Тип расхода</t>
        </is>
      </c>
    </row>
    <row r="5">
      <c r="A5" s="27" t="inlineStr">
        <is>
          <t>Form001</t>
        </is>
      </c>
      <c r="B5" s="28" t="inlineStr">
        <is>
          <t>Canon EOS R6 Mark II</t>
        </is>
      </c>
      <c r="C5" s="45" t="n">
        <v>239999</v>
      </c>
      <c r="D5" s="46" t="n">
        <v>3</v>
      </c>
      <c r="E5" s="46" t="n"/>
      <c r="F5" s="32">
        <f>IF(E5="Год",1,IF(E5="Квартал",4,IF(E5="Месяц",12,0)))</f>
        <v/>
      </c>
      <c r="G5" s="36">
        <f>IF(N(D5)&gt;0,C5/D5,C5*F5)</f>
        <v/>
      </c>
      <c r="H5" s="25" t="inlineStr">
        <is>
          <t>амортизация</t>
        </is>
      </c>
    </row>
    <row r="6">
      <c r="A6" s="27" t="inlineStr">
        <is>
          <t>Form001</t>
        </is>
      </c>
      <c r="B6" s="28" t="inlineStr">
        <is>
          <t>Canon RF 24–105mm F4 L</t>
        </is>
      </c>
      <c r="C6" s="45" t="n">
        <v>159999</v>
      </c>
      <c r="D6" s="46" t="n">
        <v>5</v>
      </c>
      <c r="E6" s="46" t="n"/>
      <c r="F6" s="32">
        <f>IF(E6="Год",1,IF(E6="Квартал",4,IF(E6="Месяц",12,0)))</f>
        <v/>
      </c>
      <c r="G6" s="36">
        <f>IF(N(D6)&gt;0,C6/D6,C6*F6)</f>
        <v/>
      </c>
      <c r="H6" s="25" t="inlineStr">
        <is>
          <t>амортизация</t>
        </is>
      </c>
    </row>
    <row r="7">
      <c r="A7" s="27" t="inlineStr">
        <is>
          <t>Form001</t>
        </is>
      </c>
      <c r="B7" s="28" t="inlineStr">
        <is>
          <t>Godox V1Pro C</t>
        </is>
      </c>
      <c r="C7" s="45" t="n">
        <v>36990</v>
      </c>
      <c r="D7" s="46" t="n">
        <v>5</v>
      </c>
      <c r="E7" s="46" t="n"/>
      <c r="F7" s="32">
        <f>IF(E7="Год",1,IF(E7="Квартал",4,IF(E7="Месяц",12,0)))</f>
        <v/>
      </c>
      <c r="G7" s="36">
        <f>IF(N(D7)&gt;0,C7/D7,C7*F7)</f>
        <v/>
      </c>
      <c r="H7" s="25" t="inlineStr">
        <is>
          <t>амортизация</t>
        </is>
      </c>
    </row>
    <row r="8">
      <c r="A8" s="27" t="inlineStr">
        <is>
          <t>Form001</t>
        </is>
      </c>
      <c r="B8" s="28" t="inlineStr">
        <is>
          <t>Godox XPro II C</t>
        </is>
      </c>
      <c r="C8" s="45" t="n">
        <v>9355</v>
      </c>
      <c r="D8" s="46" t="n">
        <v>5</v>
      </c>
      <c r="E8" s="46" t="n"/>
      <c r="F8" s="32">
        <f>IF(E8="Год",1,IF(E8="Квартал",4,IF(E8="Месяц",12,0)))</f>
        <v/>
      </c>
      <c r="G8" s="36">
        <f>IF(N(D8)&gt;0,C8/D8,C8*F8)</f>
        <v/>
      </c>
      <c r="H8" s="25" t="inlineStr">
        <is>
          <t>амортизация</t>
        </is>
      </c>
    </row>
    <row r="9">
      <c r="A9" s="27" t="inlineStr">
        <is>
          <t>Form001</t>
        </is>
      </c>
      <c r="B9" s="28" t="inlineStr">
        <is>
          <t>Аккумулятор LP-E6NH</t>
        </is>
      </c>
      <c r="C9" s="45" t="n">
        <v>12978</v>
      </c>
      <c r="D9" s="46" t="n">
        <v>3</v>
      </c>
      <c r="E9" s="46" t="n"/>
      <c r="F9" s="32">
        <f>IF(E9="Год",1,IF(E9="Квартал",4,IF(E9="Месяц",12,0)))</f>
        <v/>
      </c>
      <c r="G9" s="36">
        <f>IF(N(D9)&gt;0,C9/D9,C9*F9)</f>
        <v/>
      </c>
      <c r="H9" s="25" t="inlineStr">
        <is>
          <t>амортизация</t>
        </is>
      </c>
    </row>
    <row r="10">
      <c r="A10" s="27" t="inlineStr">
        <is>
          <t>Form001</t>
        </is>
      </c>
      <c r="B10" s="28" t="inlineStr">
        <is>
          <t>SanDisk Extreme PRO 256 ГБ #1</t>
        </is>
      </c>
      <c r="C10" s="45" t="n">
        <v>6990</v>
      </c>
      <c r="D10" s="46" t="n">
        <v>2</v>
      </c>
      <c r="E10" s="46" t="n"/>
      <c r="F10" s="32">
        <f>IF(E10="Год",1,IF(E10="Квартал",4,IF(E10="Месяц",12,0)))</f>
        <v/>
      </c>
      <c r="G10" s="36">
        <f>IF(N(D10)&gt;0,C10/D10,C10*F10)</f>
        <v/>
      </c>
      <c r="H10" s="25" t="inlineStr">
        <is>
          <t>амортизация</t>
        </is>
      </c>
    </row>
    <row r="11">
      <c r="A11" s="27" t="inlineStr">
        <is>
          <t>Form001</t>
        </is>
      </c>
      <c r="B11" s="28" t="inlineStr">
        <is>
          <t>SanDisk Extreme PRO 256 ГБ #2</t>
        </is>
      </c>
      <c r="C11" s="45" t="n">
        <v>6990</v>
      </c>
      <c r="D11" s="46" t="n">
        <v>2</v>
      </c>
      <c r="E11" s="46" t="n"/>
      <c r="F11" s="32">
        <f>IF(E11="Год",1,IF(E11="Квартал",4,IF(E11="Месяц",12,0)))</f>
        <v/>
      </c>
      <c r="G11" s="36">
        <f>IF(N(D11)&gt;0,C11/D11,C11*F11)</f>
        <v/>
      </c>
      <c r="H11" s="25" t="inlineStr">
        <is>
          <t>амортизация</t>
        </is>
      </c>
    </row>
    <row r="12">
      <c r="A12" s="27" t="inlineStr">
        <is>
          <t>Form001</t>
        </is>
      </c>
      <c r="B12" s="28" t="inlineStr">
        <is>
          <t>Рюкзак Lowepro ProTactic</t>
        </is>
      </c>
      <c r="C12" s="45" t="n">
        <v>27962</v>
      </c>
      <c r="D12" s="46" t="n">
        <v>7</v>
      </c>
      <c r="E12" s="46" t="n"/>
      <c r="F12" s="32">
        <f>IF(E12="Год",1,IF(E12="Квартал",4,IF(E12="Месяц",12,0)))</f>
        <v/>
      </c>
      <c r="G12" s="36">
        <f>IF(N(D12)&gt;0,C12/D12,C12*F12)</f>
        <v/>
      </c>
      <c r="H12" s="25" t="inlineStr">
        <is>
          <t>амортизация</t>
        </is>
      </c>
    </row>
    <row r="13">
      <c r="A13" s="27" t="inlineStr">
        <is>
          <t>Form001</t>
        </is>
      </c>
      <c r="B13" s="28" t="inlineStr">
        <is>
          <t>Godox RFT-05 отражатель</t>
        </is>
      </c>
      <c r="C13" s="45" t="n">
        <v>3000</v>
      </c>
      <c r="D13" s="46" t="n">
        <v>5</v>
      </c>
      <c r="E13" s="46" t="n"/>
      <c r="F13" s="32">
        <f>IF(E13="Год",1,IF(E13="Квартал",4,IF(E13="Месяц",12,0)))</f>
        <v/>
      </c>
      <c r="G13" s="36">
        <f>IF(N(D13)&gt;0,C13/D13,C13*F13)</f>
        <v/>
      </c>
      <c r="H13" s="25" t="inlineStr">
        <is>
          <t>амортизация</t>
        </is>
      </c>
    </row>
    <row r="14">
      <c r="A14" s="27" t="inlineStr">
        <is>
          <t>Form001</t>
        </is>
      </c>
      <c r="B14" s="28" t="inlineStr">
        <is>
          <t>X-Rite ColorChecker</t>
        </is>
      </c>
      <c r="C14" s="45" t="n">
        <v>5000</v>
      </c>
      <c r="D14" s="46" t="n">
        <v>7</v>
      </c>
      <c r="E14" s="46" t="n"/>
      <c r="F14" s="32">
        <f>IF(E14="Год",1,IF(E14="Квартал",4,IF(E14="Месяц",12,0)))</f>
        <v/>
      </c>
      <c r="G14" s="36">
        <f>IF(N(D14)&gt;0,C14/D14,C14*F14)</f>
        <v/>
      </c>
      <c r="H14" s="25" t="inlineStr">
        <is>
          <t>амортизация</t>
        </is>
      </c>
    </row>
    <row r="15">
      <c r="A15" s="27" t="inlineStr">
        <is>
          <t>Form002</t>
        </is>
      </c>
      <c r="B15" s="28" t="inlineStr">
        <is>
          <t>Системный блок</t>
        </is>
      </c>
      <c r="C15" s="45" t="n">
        <v>180000</v>
      </c>
      <c r="D15" s="46" t="n">
        <v>5</v>
      </c>
      <c r="E15" s="46" t="n"/>
      <c r="F15" s="32">
        <f>IF(E15="Год",1,IF(E15="Квартал",4,IF(E15="Месяц",12,0)))</f>
        <v/>
      </c>
      <c r="G15" s="36">
        <f>IF(N(D15)&gt;0,C15/D15,C15*F15)</f>
        <v/>
      </c>
      <c r="H15" s="25" t="inlineStr">
        <is>
          <t>амортизация</t>
        </is>
      </c>
    </row>
    <row r="16">
      <c r="A16" s="27" t="inlineStr">
        <is>
          <t>Form002</t>
        </is>
      </c>
      <c r="B16" s="28" t="inlineStr">
        <is>
          <t>Монитор ASUS ProArt</t>
        </is>
      </c>
      <c r="C16" s="45" t="n">
        <v>55000</v>
      </c>
      <c r="D16" s="46" t="n">
        <v>5</v>
      </c>
      <c r="E16" s="46" t="n"/>
      <c r="F16" s="32">
        <f>IF(E16="Год",1,IF(E16="Квартал",4,IF(E16="Месяц",12,0)))</f>
        <v/>
      </c>
      <c r="G16" s="36">
        <f>IF(N(D16)&gt;0,C16/D16,C16*F16)</f>
        <v/>
      </c>
      <c r="H16" s="25" t="inlineStr">
        <is>
          <t>амортизация</t>
        </is>
      </c>
    </row>
    <row r="17">
      <c r="A17" s="27" t="inlineStr">
        <is>
          <t>Form002</t>
        </is>
      </c>
      <c r="B17" s="28" t="inlineStr">
        <is>
          <t>Calibrite ColorChecker</t>
        </is>
      </c>
      <c r="C17" s="45" t="n">
        <v>30000</v>
      </c>
      <c r="D17" s="46" t="n">
        <v>5</v>
      </c>
      <c r="E17" s="46" t="n"/>
      <c r="F17" s="32">
        <f>IF(E17="Год",1,IF(E17="Квартал",4,IF(E17="Месяц",12,0)))</f>
        <v/>
      </c>
      <c r="G17" s="36">
        <f>IF(N(D17)&gt;0,C17/D17,C17*F17)</f>
        <v/>
      </c>
      <c r="H17" s="25" t="inlineStr">
        <is>
          <t>амортизация</t>
        </is>
      </c>
    </row>
    <row r="18">
      <c r="A18" s="27" t="inlineStr">
        <is>
          <t>Form002</t>
        </is>
      </c>
      <c r="B18" s="28" t="inlineStr">
        <is>
          <t>Колонки Logitech Z207</t>
        </is>
      </c>
      <c r="C18" s="45" t="n">
        <v>5000</v>
      </c>
      <c r="D18" s="46" t="n">
        <v>5</v>
      </c>
      <c r="E18" s="46" t="n"/>
      <c r="F18" s="32">
        <f>IF(E18="Год",1,IF(E18="Квартал",4,IF(E18="Месяц",12,0)))</f>
        <v/>
      </c>
      <c r="G18" s="36">
        <f>IF(N(D18)&gt;0,C18/D18,C18*F18)</f>
        <v/>
      </c>
      <c r="H18" s="25" t="inlineStr">
        <is>
          <t>амортизация</t>
        </is>
      </c>
    </row>
    <row r="19">
      <c r="A19" s="27" t="inlineStr">
        <is>
          <t>Form002</t>
        </is>
      </c>
      <c r="B19" s="28" t="inlineStr">
        <is>
          <t>Клавиатура Logitech K380</t>
        </is>
      </c>
      <c r="C19" s="45" t="n">
        <v>3500</v>
      </c>
      <c r="D19" s="46" t="n">
        <v>7</v>
      </c>
      <c r="E19" s="46" t="n"/>
      <c r="F19" s="32">
        <f>IF(E19="Год",1,IF(E19="Квартал",4,IF(E19="Месяц",12,0)))</f>
        <v/>
      </c>
      <c r="G19" s="36">
        <f>IF(N(D19)&gt;0,C19/D19,C19*F19)</f>
        <v/>
      </c>
      <c r="H19" s="25" t="inlineStr">
        <is>
          <t>амортизация</t>
        </is>
      </c>
    </row>
    <row r="20">
      <c r="A20" s="27" t="inlineStr">
        <is>
          <t>Form002</t>
        </is>
      </c>
      <c r="B20" s="28" t="inlineStr">
        <is>
          <t>Мышь Logitech M650</t>
        </is>
      </c>
      <c r="C20" s="45" t="n">
        <v>4000</v>
      </c>
      <c r="D20" s="46" t="n">
        <v>3</v>
      </c>
      <c r="E20" s="46" t="n"/>
      <c r="F20" s="32">
        <f>IF(E20="Год",1,IF(E20="Квартал",4,IF(E20="Месяц",12,0)))</f>
        <v/>
      </c>
      <c r="G20" s="36">
        <f>IF(N(D20)&gt;0,C20/D20,C20*F20)</f>
        <v/>
      </c>
      <c r="H20" s="25" t="inlineStr">
        <is>
          <t>амортизация</t>
        </is>
      </c>
    </row>
    <row r="21">
      <c r="A21" s="27" t="inlineStr">
        <is>
          <t>Form002</t>
        </is>
      </c>
      <c r="B21" s="28" t="inlineStr">
        <is>
          <t>Веб-камера Logitech Brio</t>
        </is>
      </c>
      <c r="C21" s="45" t="n">
        <v>15999</v>
      </c>
      <c r="D21" s="46" t="n">
        <v>5</v>
      </c>
      <c r="E21" s="46" t="n"/>
      <c r="F21" s="32">
        <f>IF(E21="Год",1,IF(E21="Квартал",4,IF(E21="Месяц",12,0)))</f>
        <v/>
      </c>
      <c r="G21" s="36">
        <f>IF(N(D21)&gt;0,C21/D21,C21*F21)</f>
        <v/>
      </c>
      <c r="H21" s="25" t="inlineStr">
        <is>
          <t>амортизация</t>
        </is>
      </c>
    </row>
    <row r="22">
      <c r="A22" s="27" t="inlineStr">
        <is>
          <t>Form002</t>
        </is>
      </c>
      <c r="B22" s="28" t="inlineStr">
        <is>
          <t>Микрофон FIFINE K669B</t>
        </is>
      </c>
      <c r="C22" s="45" t="n">
        <v>3500</v>
      </c>
      <c r="D22" s="46" t="n">
        <v>5</v>
      </c>
      <c r="E22" s="46" t="n"/>
      <c r="F22" s="32">
        <f>IF(E22="Год",1,IF(E22="Квартал",4,IF(E22="Месяц",12,0)))</f>
        <v/>
      </c>
      <c r="G22" s="36">
        <f>IF(N(D22)&gt;0,C22/D22,C22*F22)</f>
        <v/>
      </c>
      <c r="H22" s="25" t="inlineStr">
        <is>
          <t>амортизация</t>
        </is>
      </c>
    </row>
    <row r="23">
      <c r="A23" s="27" t="inlineStr">
        <is>
          <t>Form002</t>
        </is>
      </c>
      <c r="B23" s="28" t="inlineStr">
        <is>
          <t>Принтер Canon PIXMA G640</t>
        </is>
      </c>
      <c r="C23" s="45" t="n">
        <v>29999</v>
      </c>
      <c r="D23" s="46" t="n">
        <v>5</v>
      </c>
      <c r="E23" s="46" t="n"/>
      <c r="F23" s="32">
        <f>IF(E23="Год",1,IF(E23="Квартал",4,IF(E23="Месяц",12,0)))</f>
        <v/>
      </c>
      <c r="G23" s="36">
        <f>IF(N(D23)&gt;0,C23/D23,C23*F23)</f>
        <v/>
      </c>
      <c r="H23" s="25" t="inlineStr">
        <is>
          <t>амортизация</t>
        </is>
      </c>
    </row>
    <row r="24">
      <c r="A24" s="27" t="inlineStr">
        <is>
          <t>Form004</t>
        </is>
      </c>
      <c r="B24" s="28" t="inlineStr">
        <is>
          <t>Retouch4me Heal</t>
        </is>
      </c>
      <c r="C24" s="45" t="n">
        <v>6900</v>
      </c>
      <c r="D24" s="46" t="n">
        <v>3</v>
      </c>
      <c r="E24" s="46" t="n"/>
      <c r="F24" s="32">
        <f>IF(E24="Год",1,IF(E24="Квартал",4,IF(E24="Месяц",12,0)))</f>
        <v/>
      </c>
      <c r="G24" s="36">
        <f>IF(N(D24)&gt;0,C24/D24,C24*F24)</f>
        <v/>
      </c>
      <c r="H24" s="25" t="inlineStr">
        <is>
          <t>амортизация</t>
        </is>
      </c>
    </row>
    <row r="25">
      <c r="A25" s="27" t="inlineStr">
        <is>
          <t>Form004</t>
        </is>
      </c>
      <c r="B25" s="28" t="inlineStr">
        <is>
          <t>Retouch4me Dodge &amp; Burn</t>
        </is>
      </c>
      <c r="C25" s="45" t="n">
        <v>6900</v>
      </c>
      <c r="D25" s="46" t="n">
        <v>3</v>
      </c>
      <c r="E25" s="46" t="n"/>
      <c r="F25" s="32">
        <f>IF(E25="Год",1,IF(E25="Квартал",4,IF(E25="Месяц",12,0)))</f>
        <v/>
      </c>
      <c r="G25" s="36">
        <f>IF(N(D25)&gt;0,C25/D25,C25*F25)</f>
        <v/>
      </c>
      <c r="H25" s="25" t="inlineStr">
        <is>
          <t>амортизация</t>
        </is>
      </c>
    </row>
    <row r="26">
      <c r="A26" s="27" t="inlineStr">
        <is>
          <t>Form004</t>
        </is>
      </c>
      <c r="B26" s="28" t="inlineStr">
        <is>
          <t>Retouch4me Fabric</t>
        </is>
      </c>
      <c r="C26" s="45" t="n">
        <v>6900</v>
      </c>
      <c r="D26" s="46" t="n">
        <v>3</v>
      </c>
      <c r="E26" s="46" t="n"/>
      <c r="F26" s="32">
        <f>IF(E26="Год",1,IF(E26="Квартал",4,IF(E26="Месяц",12,0)))</f>
        <v/>
      </c>
      <c r="G26" s="36">
        <f>IF(N(D26)&gt;0,C26/D26,C26*F26)</f>
        <v/>
      </c>
      <c r="H26" s="25" t="inlineStr">
        <is>
          <t>амортизация</t>
        </is>
      </c>
    </row>
    <row r="27">
      <c r="A27" s="27" t="inlineStr">
        <is>
          <t>Form004</t>
        </is>
      </c>
      <c r="B27" s="28" t="inlineStr">
        <is>
          <t>Retouch4me Clean Backdrop</t>
        </is>
      </c>
      <c r="C27" s="45" t="n">
        <v>6900</v>
      </c>
      <c r="D27" s="46" t="n">
        <v>3</v>
      </c>
      <c r="E27" s="46" t="n"/>
      <c r="F27" s="32">
        <f>IF(E27="Год",1,IF(E27="Квартал",4,IF(E27="Месяц",12,0)))</f>
        <v/>
      </c>
      <c r="G27" s="36">
        <f>IF(N(D27)&gt;0,C27/D27,C27*F27)</f>
        <v/>
      </c>
      <c r="H27" s="25" t="inlineStr">
        <is>
          <t>амортизация</t>
        </is>
      </c>
    </row>
    <row r="28">
      <c r="A28" s="27" t="inlineStr">
        <is>
          <t>Form004</t>
        </is>
      </c>
      <c r="B28" s="28" t="inlineStr">
        <is>
          <t>Retouch4me Dust</t>
        </is>
      </c>
      <c r="C28" s="45" t="n">
        <v>6900</v>
      </c>
      <c r="D28" s="46" t="n">
        <v>3</v>
      </c>
      <c r="E28" s="46" t="n"/>
      <c r="F28" s="32">
        <f>IF(E28="Год",1,IF(E28="Квартал",4,IF(E28="Месяц",12,0)))</f>
        <v/>
      </c>
      <c r="G28" s="36">
        <f>IF(N(D28)&gt;0,C28/D28,C28*F28)</f>
        <v/>
      </c>
      <c r="H28" s="25" t="inlineStr">
        <is>
          <t>амортизация</t>
        </is>
      </c>
    </row>
    <row r="29">
      <c r="A29" s="27" t="inlineStr">
        <is>
          <t>Form013</t>
        </is>
      </c>
      <c r="B29" s="28" t="inlineStr">
        <is>
          <t>Мебель</t>
        </is>
      </c>
      <c r="C29" s="45" t="n">
        <v>35000</v>
      </c>
      <c r="D29" s="46" t="n">
        <v>7</v>
      </c>
      <c r="E29" s="46" t="n"/>
      <c r="F29" s="32">
        <f>IF(E29="Год",1,IF(E29="Квартал",4,IF(E29="Месяц",12,0)))</f>
        <v/>
      </c>
      <c r="G29" s="36">
        <f>IF(N(D29)&gt;0,C29/D29,C29*F29)</f>
        <v/>
      </c>
      <c r="H29" s="25" t="inlineStr">
        <is>
          <t>амортизация</t>
        </is>
      </c>
    </row>
    <row r="30">
      <c r="A30" s="27" t="inlineStr">
        <is>
          <t>Form013</t>
        </is>
      </c>
      <c r="B30" s="28" t="inlineStr">
        <is>
          <t>Косметический ремонт</t>
        </is>
      </c>
      <c r="C30" s="45" t="n">
        <v>30000</v>
      </c>
      <c r="D30" s="46" t="n">
        <v>7</v>
      </c>
      <c r="E30" s="46" t="n"/>
      <c r="F30" s="32">
        <f>IF(E30="Год",1,IF(E30="Квартал",4,IF(E30="Месяц",12,0)))</f>
        <v/>
      </c>
      <c r="G30" s="36">
        <f>IF(N(D30)&gt;0,C30/D30,C30*F30)</f>
        <v/>
      </c>
      <c r="H30" s="25" t="inlineStr">
        <is>
          <t>амортизация</t>
        </is>
      </c>
    </row>
    <row r="31">
      <c r="A31" s="27" t="inlineStr">
        <is>
          <t>Form003</t>
        </is>
      </c>
      <c r="B31" s="28" t="inlineStr">
        <is>
          <t>Adobe CC Photography</t>
        </is>
      </c>
      <c r="C31" s="45" t="n">
        <v>2000</v>
      </c>
      <c r="D31" s="46" t="n"/>
      <c r="E31" s="47" t="inlineStr">
        <is>
          <t>Месяц</t>
        </is>
      </c>
      <c r="F31" s="32">
        <f>IF(E31="Год",1,IF(E31="Квартал",4,IF(E31="Месяц",12,0)))</f>
        <v/>
      </c>
      <c r="G31" s="36">
        <f>IF(N(D31)&gt;0,C31/D31,C31*F31)</f>
        <v/>
      </c>
      <c r="H31" s="25" t="inlineStr">
        <is>
          <t>регулярный платёж</t>
        </is>
      </c>
    </row>
    <row r="32">
      <c r="A32" s="27" t="inlineStr">
        <is>
          <t>Form003</t>
        </is>
      </c>
      <c r="B32" s="28" t="inlineStr">
        <is>
          <t>Яндекс Диск 1 ТБ</t>
        </is>
      </c>
      <c r="C32" s="45" t="n">
        <v>250</v>
      </c>
      <c r="D32" s="46" t="n"/>
      <c r="E32" s="47" t="inlineStr">
        <is>
          <t>Месяц</t>
        </is>
      </c>
      <c r="F32" s="32">
        <f>IF(E32="Год",1,IF(E32="Квартал",4,IF(E32="Месяц",12,0)))</f>
        <v/>
      </c>
      <c r="G32" s="36">
        <f>IF(N(D32)&gt;0,C32/D32,C32*F32)</f>
        <v/>
      </c>
      <c r="H32" s="25" t="inlineStr">
        <is>
          <t>регулярный платёж</t>
        </is>
      </c>
    </row>
    <row r="33">
      <c r="A33" s="27" t="inlineStr">
        <is>
          <t>Form007</t>
        </is>
      </c>
      <c r="B33" s="28" t="inlineStr">
        <is>
          <t>Обслуживание счёта (РКО)</t>
        </is>
      </c>
      <c r="C33" s="45" t="n">
        <v>0</v>
      </c>
      <c r="D33" s="46" t="n"/>
      <c r="E33" s="47" t="inlineStr">
        <is>
          <t>Месяц</t>
        </is>
      </c>
      <c r="F33" s="32">
        <f>IF(E33="Год",1,IF(E33="Квартал",4,IF(E33="Месяц",12,0)))</f>
        <v/>
      </c>
      <c r="G33" s="36">
        <f>IF(N(D33)&gt;0,C33/D33,C33*F33)</f>
        <v/>
      </c>
      <c r="H33" s="25" t="inlineStr">
        <is>
          <t>регулярный платёж</t>
        </is>
      </c>
    </row>
    <row r="34">
      <c r="A34" s="27" t="inlineStr">
        <is>
          <t>Form007</t>
        </is>
      </c>
      <c r="B34" s="28" t="inlineStr">
        <is>
          <t>СМС-уведомления</t>
        </is>
      </c>
      <c r="C34" s="45" t="n">
        <v>150</v>
      </c>
      <c r="D34" s="46" t="n"/>
      <c r="E34" s="47" t="inlineStr">
        <is>
          <t>Месяц</t>
        </is>
      </c>
      <c r="F34" s="32">
        <f>IF(E34="Год",1,IF(E34="Квартал",4,IF(E34="Месяц",12,0)))</f>
        <v/>
      </c>
      <c r="G34" s="36">
        <f>IF(N(D34)&gt;0,C34/D34,C34*F34)</f>
        <v/>
      </c>
      <c r="H34" s="25" t="inlineStr">
        <is>
          <t>регулярный платёж</t>
        </is>
      </c>
    </row>
    <row r="35">
      <c r="A35" s="27" t="inlineStr">
        <is>
          <t>Form010</t>
        </is>
      </c>
      <c r="B35" s="28" t="inlineStr">
        <is>
          <t>Домен сайта</t>
        </is>
      </c>
      <c r="C35" s="45" t="n">
        <v>1500</v>
      </c>
      <c r="D35" s="46" t="n"/>
      <c r="E35" s="47" t="inlineStr">
        <is>
          <t>Год</t>
        </is>
      </c>
      <c r="F35" s="32">
        <f>IF(E35="Год",1,IF(E35="Квартал",4,IF(E35="Месяц",12,0)))</f>
        <v/>
      </c>
      <c r="G35" s="36">
        <f>IF(N(D35)&gt;0,C35/D35,C35*F35)</f>
        <v/>
      </c>
      <c r="H35" s="25" t="inlineStr">
        <is>
          <t>регулярный платёж</t>
        </is>
      </c>
    </row>
    <row r="36">
      <c r="A36" s="27" t="inlineStr">
        <is>
          <t>Form010</t>
        </is>
      </c>
      <c r="B36" s="28" t="inlineStr">
        <is>
          <t>Хостинг сайта</t>
        </is>
      </c>
      <c r="C36" s="45" t="n">
        <v>6000</v>
      </c>
      <c r="D36" s="46" t="n"/>
      <c r="E36" s="47" t="inlineStr">
        <is>
          <t>Год</t>
        </is>
      </c>
      <c r="F36" s="32">
        <f>IF(E36="Год",1,IF(E36="Квартал",4,IF(E36="Месяц",12,0)))</f>
        <v/>
      </c>
      <c r="G36" s="36">
        <f>IF(N(D36)&gt;0,C36/D36,C36*F36)</f>
        <v/>
      </c>
      <c r="H36" s="25" t="inlineStr">
        <is>
          <t>регулярный платёж</t>
        </is>
      </c>
    </row>
    <row r="37">
      <c r="A37" s="27" t="inlineStr">
        <is>
          <t>Form010</t>
        </is>
      </c>
      <c r="B37" s="28" t="inlineStr">
        <is>
          <t>Яндекс Директ</t>
        </is>
      </c>
      <c r="C37" s="45" t="n">
        <v>15000</v>
      </c>
      <c r="D37" s="46" t="n"/>
      <c r="E37" s="47" t="inlineStr">
        <is>
          <t>Месяц</t>
        </is>
      </c>
      <c r="F37" s="32">
        <f>IF(E37="Год",1,IF(E37="Квартал",4,IF(E37="Месяц",12,0)))</f>
        <v/>
      </c>
      <c r="G37" s="36">
        <f>IF(N(D37)&gt;0,C37/D37,C37*F37)</f>
        <v/>
      </c>
      <c r="H37" s="25" t="inlineStr">
        <is>
          <t>регулярный платёж</t>
        </is>
      </c>
    </row>
    <row r="38">
      <c r="A38" s="27" t="inlineStr">
        <is>
          <t>Form010</t>
        </is>
      </c>
      <c r="B38" s="28" t="inlineStr">
        <is>
          <t>Авито</t>
        </is>
      </c>
      <c r="C38" s="45" t="n">
        <v>0</v>
      </c>
      <c r="D38" s="46" t="n"/>
      <c r="E38" s="47" t="inlineStr">
        <is>
          <t>Месяц</t>
        </is>
      </c>
      <c r="F38" s="32">
        <f>IF(E38="Год",1,IF(E38="Квартал",4,IF(E38="Месяц",12,0)))</f>
        <v/>
      </c>
      <c r="G38" s="36">
        <f>IF(N(D38)&gt;0,C38/D38,C38*F38)</f>
        <v/>
      </c>
      <c r="H38" s="25" t="inlineStr">
        <is>
          <t>регулярный платёж</t>
        </is>
      </c>
    </row>
    <row r="39">
      <c r="A39" s="27" t="inlineStr">
        <is>
          <t>Form010</t>
        </is>
      </c>
      <c r="B39" s="28" t="inlineStr">
        <is>
          <t>Таргетированная реклама</t>
        </is>
      </c>
      <c r="C39" s="45" t="n">
        <v>0</v>
      </c>
      <c r="D39" s="46" t="n"/>
      <c r="E39" s="47" t="inlineStr">
        <is>
          <t>Месяц</t>
        </is>
      </c>
      <c r="F39" s="32">
        <f>IF(E39="Год",1,IF(E39="Квартал",4,IF(E39="Месяц",12,0)))</f>
        <v/>
      </c>
      <c r="G39" s="36">
        <f>IF(N(D39)&gt;0,C39/D39,C39*F39)</f>
        <v/>
      </c>
      <c r="H39" s="25" t="inlineStr">
        <is>
          <t>регулярный платёж</t>
        </is>
      </c>
    </row>
    <row r="40">
      <c r="A40" s="27" t="inlineStr">
        <is>
          <t>Form010</t>
        </is>
      </c>
      <c r="B40" s="28" t="inlineStr">
        <is>
          <t>Платные размещения у блогеров</t>
        </is>
      </c>
      <c r="C40" s="45" t="n">
        <v>0</v>
      </c>
      <c r="D40" s="46" t="n"/>
      <c r="E40" s="47" t="inlineStr">
        <is>
          <t>Месяц</t>
        </is>
      </c>
      <c r="F40" s="32">
        <f>IF(E40="Год",1,IF(E40="Квартал",4,IF(E40="Месяц",12,0)))</f>
        <v/>
      </c>
      <c r="G40" s="36">
        <f>IF(N(D40)&gt;0,C40/D40,C40*F40)</f>
        <v/>
      </c>
      <c r="H40" s="25" t="inlineStr">
        <is>
          <t>регулярный платёж</t>
        </is>
      </c>
    </row>
    <row r="41">
      <c r="A41" s="27" t="inlineStr">
        <is>
          <t>Form010</t>
        </is>
      </c>
      <c r="B41" s="28" t="inlineStr">
        <is>
          <t>Отклики на Profi.ru</t>
        </is>
      </c>
      <c r="C41" s="45" t="n">
        <v>0</v>
      </c>
      <c r="D41" s="46" t="n"/>
      <c r="E41" s="47" t="inlineStr">
        <is>
          <t>Месяц</t>
        </is>
      </c>
      <c r="F41" s="32">
        <f>IF(E41="Год",1,IF(E41="Квартал",4,IF(E41="Месяц",12,0)))</f>
        <v/>
      </c>
      <c r="G41" s="36">
        <f>IF(N(D41)&gt;0,C41/D41,C41*F41)</f>
        <v/>
      </c>
      <c r="H41" s="25" t="inlineStr">
        <is>
          <t>регулярный платёж</t>
        </is>
      </c>
    </row>
  </sheetData>
  <mergeCells count="2">
    <mergeCell ref="A2:H2"/>
    <mergeCell ref="A1:H1"/>
  </mergeCells>
  <dataValidations count="1">
    <dataValidation sqref="E31 E32 E33 E34 E35 E36 E37 E38 E39 E40 E41" showDropDown="0" showInputMessage="0" showErrorMessage="0" allowBlank="1" type="list">
      <formula1>"Год,Квартал,Месяц"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7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44" customWidth="1" min="3" max="3"/>
  </cols>
  <sheetData>
    <row r="1">
      <c r="A1" s="1" t="inlineStr">
        <is>
          <t>04 · ИТОГ по выбранному режиму</t>
        </is>
      </c>
    </row>
    <row r="3">
      <c r="A3" s="3" t="inlineStr">
        <is>
          <t>ГЛАВНЫЙ РЕЗУЛЬТАТ</t>
        </is>
      </c>
    </row>
    <row r="4">
      <c r="A4" s="2" t="inlineStr">
        <is>
          <t>Выбранный режим</t>
        </is>
      </c>
      <c r="B4" s="34">
        <f>regime</f>
        <v/>
      </c>
      <c r="C4" s="25" t="inlineStr">
        <is>
          <t>меняется в 02_Параметры → regime</t>
        </is>
      </c>
    </row>
    <row r="5">
      <c r="A5" s="2" t="inlineStr">
        <is>
          <t>ПОЛНАЯ СТАВКА ЧАСА, ₽/час</t>
        </is>
      </c>
      <c r="B5" s="48">
        <f>CHOOSE(regime_no,'05_Расчёт'!B19,'05_Расчёт'!C19,'05_Расчёт'!D19,'05_Расчёт'!E19,'05_Расчёт'!F19,'05_Расчёт'!G19,'05_Расчёт'!H19)</f>
        <v/>
      </c>
      <c r="C5" s="25" t="inlineStr">
        <is>
          <t>цена съёмочного часа для клиента</t>
        </is>
      </c>
    </row>
    <row r="6">
      <c r="A6" s="2" t="inlineStr">
        <is>
          <t>Стоимость проекта, ₽</t>
        </is>
      </c>
      <c r="B6" s="48">
        <f>CHOOSE(regime_no,'05_Расчёт'!B20,'05_Расчёт'!C20,'05_Расчёт'!D20,'05_Расчёт'!E20,'05_Расчёт'!F20,'05_Расчёт'!G20,'05_Расчёт'!H20)</f>
        <v/>
      </c>
    </row>
    <row r="7">
      <c r="A7" s="2" t="inlineStr">
        <is>
          <t>Полная ставка РАБОЧЕГО часа, ₽/час</t>
        </is>
      </c>
      <c r="B7" s="49">
        <f>full_hour_rate</f>
        <v/>
      </c>
      <c r="C7" s="25" t="inlineStr">
        <is>
          <t>цена любого часа: съёмка, обработка, продвижение</t>
        </is>
      </c>
    </row>
    <row r="8">
      <c r="A8" s="2" t="inlineStr">
        <is>
          <t>Выручка, ₽/год</t>
        </is>
      </c>
      <c r="B8" s="48">
        <f>CHOOSE(regime_no,'05_Расчёт'!B4,'05_Расчёт'!C4,'05_Расчёт'!D4,'05_Расчёт'!E4,'05_Расчёт'!F4,'05_Расчёт'!G4,'05_Расчёт'!H4)</f>
        <v/>
      </c>
    </row>
    <row r="9">
      <c r="A9" s="2" t="inlineStr">
        <is>
          <t>Выручка, ₽/месяц</t>
        </is>
      </c>
      <c r="B9" s="48">
        <f>CHOOSE(regime_no,'05_Расчёт'!B5,'05_Расчёт'!C5,'05_Расчёт'!D5,'05_Расчёт'!E5,'05_Расчёт'!F5,'05_Расчёт'!G5,'05_Расчёт'!H5)</f>
        <v/>
      </c>
    </row>
    <row r="10">
      <c r="A10" s="2" t="inlineStr">
        <is>
          <t>Всего налогов и взносов, ₽/год</t>
        </is>
      </c>
      <c r="B10" s="48">
        <f>CHOOSE(regime_no,'05_Расчёт'!B15,'05_Расчёт'!C15,'05_Расчёт'!D15,'05_Расчёт'!E15,'05_Расчёт'!F15,'05_Расчёт'!G15,'05_Расчёт'!H15)</f>
        <v/>
      </c>
    </row>
    <row r="11">
      <c r="A11" s="2" t="inlineStr">
        <is>
          <t>Эффективная нагрузка</t>
        </is>
      </c>
      <c r="B11" s="50">
        <f>CHOOSE(regime_no,'05_Расчёт'!B17,'05_Расчёт'!C17,'05_Расчёт'!D17,'05_Расчёт'!E17,'05_Расчёт'!F17,'05_Расчёт'!G17,'05_Расчёт'!H17)</f>
        <v/>
      </c>
    </row>
    <row r="12">
      <c r="A12" s="2" t="inlineStr">
        <is>
          <t>Точка безубыточности, ₽/год</t>
        </is>
      </c>
      <c r="B12" s="51">
        <f>CHOOSE(regime_no,'05_Расчёт'!B22,'05_Расчёт'!C22,'05_Расчёт'!D22,'05_Расчёт'!E22,'05_Расчёт'!F22,'05_Расчёт'!G22,'05_Расчёт'!H22)</f>
        <v/>
      </c>
    </row>
    <row r="13">
      <c r="A13" s="3" t="inlineStr">
        <is>
          <t>ВРЕМЯ — иерархия</t>
        </is>
      </c>
    </row>
    <row r="14">
      <c r="A14" t="inlineStr">
        <is>
          <t>ЧИСТОЕ время (всё доступное)</t>
        </is>
      </c>
      <c r="B14" s="31">
        <f>net_time</f>
        <v/>
      </c>
      <c r="C14" s="25" t="inlineStr">
        <is>
          <t>производств. календарь − отпуск − больничный − час/день</t>
        </is>
      </c>
    </row>
    <row r="15">
      <c r="A15" t="inlineStr">
        <is>
          <t xml:space="preserve">  ├ ОПЕРАЦИОННОЕ (второстепенное)</t>
        </is>
      </c>
      <c r="B15" s="31">
        <f>side_time</f>
        <v/>
      </c>
      <c r="C15" s="25" t="inlineStr">
        <is>
          <t>продвижение + учёт</t>
        </is>
      </c>
    </row>
    <row r="16">
      <c r="A16" t="inlineStr">
        <is>
          <t xml:space="preserve">  ├ РЕЗЕРВ на форс-мажоры</t>
        </is>
      </c>
      <c r="B16" s="31">
        <f>fm_time</f>
        <v/>
      </c>
      <c r="C16" s="25" t="inlineStr">
        <is>
          <t>переносы, отмены, срывы</t>
        </is>
      </c>
    </row>
    <row r="17">
      <c r="A17" t="inlineStr">
        <is>
          <t xml:space="preserve">  └ ПРОЕКТНОЕ за год</t>
        </is>
      </c>
      <c r="B17" s="31">
        <f>project_pool</f>
        <v/>
      </c>
      <c r="C17" s="25" t="inlineStr">
        <is>
          <t>на выполнение всех проектов</t>
        </is>
      </c>
    </row>
    <row r="18">
      <c r="A18" t="inlineStr">
        <is>
          <t xml:space="preserve">      ├ ПРОФИЛЬНОЕ (по профилю)</t>
        </is>
      </c>
      <c r="B18" s="31">
        <f>core_time</f>
        <v/>
      </c>
      <c r="C18" s="25" t="inlineStr">
        <is>
          <t>S × (1+коэф.): площадка + обработка</t>
        </is>
      </c>
    </row>
    <row r="19">
      <c r="A19" t="inlineStr">
        <is>
          <t xml:space="preserve">      │   ├ СЪЁМОЧНОЕ ← ЦЕЛЬ</t>
        </is>
      </c>
      <c r="B19" s="52">
        <f>shooting_time</f>
        <v/>
      </c>
      <c r="C19" s="25" t="inlineStr">
        <is>
          <t>S — работа на площадке</t>
        </is>
      </c>
    </row>
    <row r="20">
      <c r="A20" t="inlineStr">
        <is>
          <t xml:space="preserve">      │   └ постпродакшн</t>
        </is>
      </c>
      <c r="B20" s="31">
        <f>post_time</f>
        <v/>
      </c>
      <c r="C20" s="25" t="inlineStr">
        <is>
          <t>S × коэффициент — обработка</t>
        </is>
      </c>
    </row>
    <row r="21">
      <c r="A21" t="inlineStr">
        <is>
          <t xml:space="preserve">      └ работа с клиентом</t>
        </is>
      </c>
      <c r="B21" s="31">
        <f>client_total</f>
        <v/>
      </c>
      <c r="C21" s="25" t="inlineStr">
        <is>
          <t>1 ч на проект: продажа, согласования</t>
        </is>
      </c>
    </row>
    <row r="22">
      <c r="A22" t="inlineStr">
        <is>
          <t>Продолжительность съёмки (S)</t>
        </is>
      </c>
      <c r="B22" s="31">
        <f>shoot_duration</f>
        <v/>
      </c>
      <c r="C22" s="25" t="inlineStr">
        <is>
          <t>типовой заказ, задаёт пользователь</t>
        </is>
      </c>
    </row>
    <row r="23">
      <c r="A23" t="inlineStr">
        <is>
          <t>Коэффициент обработки</t>
        </is>
      </c>
      <c r="B23" s="31">
        <f>post_ratio</f>
        <v/>
      </c>
      <c r="C23" s="25" t="inlineStr">
        <is>
          <t>часов обработки на 1 час съёмки</t>
        </is>
      </c>
    </row>
    <row r="24">
      <c r="A24" t="inlineStr">
        <is>
          <t>Проектное время на 1 проект</t>
        </is>
      </c>
      <c r="B24" s="31">
        <f>project_time</f>
        <v/>
      </c>
      <c r="C24" s="25" t="inlineStr">
        <is>
          <t>S × (1+коэф.) + 1</t>
        </is>
      </c>
    </row>
    <row r="25">
      <c r="A25" t="inlineStr">
        <is>
          <t>Проектов в год</t>
        </is>
      </c>
      <c r="B25" s="31">
        <f>projects_year</f>
        <v/>
      </c>
      <c r="C25" s="25" t="inlineStr"/>
    </row>
    <row r="26">
      <c r="A26" t="inlineStr">
        <is>
          <t>Проектов в неделю</t>
        </is>
      </c>
      <c r="B26" s="31">
        <f>projects_week</f>
        <v/>
      </c>
      <c r="C26" s="25" t="inlineStr">
        <is>
          <t>при авторежиме = 1</t>
        </is>
      </c>
    </row>
    <row r="28">
      <c r="A28" s="3" t="inlineStr">
        <is>
          <t>ПРОВЕРКА ИЕРАРХИИ ВРЕМЕНИ</t>
        </is>
      </c>
    </row>
    <row r="29">
      <c r="A29" t="inlineStr">
        <is>
          <t>Операционное + резерв + проектное = чистое</t>
        </is>
      </c>
      <c r="B29" s="53">
        <f>IF(ABS(side_time+fm_time+project_pool-net_time)&lt;0.01,"OK","ОШИБКА")</f>
        <v/>
      </c>
    </row>
    <row r="30">
      <c r="A30" t="inlineStr">
        <is>
          <t>Профильное + клиентское = проектное</t>
        </is>
      </c>
      <c r="B30" s="53">
        <f>IF(ABS(core_time+client_total-project_pool)&lt;0.01,"OK","ОШИБКА")</f>
        <v/>
      </c>
    </row>
    <row r="31">
      <c r="A31" t="inlineStr">
        <is>
          <t>Съёмочное + постпродакшн = профильное</t>
        </is>
      </c>
      <c r="B31" s="53">
        <f>IF(ABS(shooting_time+post_time-core_time)&lt;0.01,"OK","ОШИБКА")</f>
        <v/>
      </c>
    </row>
    <row r="33">
      <c r="A33" s="3" t="inlineStr">
        <is>
          <t>РАСХОДЫ</t>
        </is>
      </c>
    </row>
    <row r="34">
      <c r="A34" t="inlineStr">
        <is>
          <t>Амортизация</t>
        </is>
      </c>
      <c r="B34" s="36">
        <f>investment</f>
        <v/>
      </c>
    </row>
    <row r="35">
      <c r="A35" t="inlineStr">
        <is>
          <t>Переменные расходы</t>
        </is>
      </c>
      <c r="B35" s="36">
        <f>variable_costs</f>
        <v/>
      </c>
    </row>
    <row r="36">
      <c r="A36" t="inlineStr">
        <is>
          <t>ВСЕГО расходов (C)</t>
        </is>
      </c>
      <c r="B36" s="36">
        <f>total_costs</f>
        <v/>
      </c>
    </row>
    <row r="37">
      <c r="A37" t="inlineStr">
        <is>
          <t>Эквайринг (% от выручки)</t>
        </is>
      </c>
      <c r="B37" s="39">
        <f>acquiring</f>
        <v/>
      </c>
    </row>
    <row r="39">
      <c r="A39" s="3" t="inlineStr">
        <is>
          <t>СКОЛЬКО ВЫ ТЕРЯЕТЕ</t>
        </is>
      </c>
    </row>
    <row r="41">
      <c r="B41" s="54">
        <f>B38-B37</f>
        <v/>
      </c>
    </row>
    <row r="42">
      <c r="B42" s="55">
        <f>B5</f>
        <v/>
      </c>
    </row>
    <row r="43">
      <c r="A43" t="inlineStr">
        <is>
          <t>Разница с текущей, ₽/час</t>
        </is>
      </c>
    </row>
    <row r="44">
      <c r="A44" t="inlineStr">
        <is>
          <t>Недополучено за год, ₽</t>
        </is>
      </c>
      <c r="B44" s="54">
        <f>B43*shooting_time</f>
        <v/>
      </c>
    </row>
    <row r="46">
      <c r="A46" s="3" t="inlineStr">
        <is>
          <t>САМОПРОВЕРКИ</t>
        </is>
      </c>
    </row>
    <row r="47">
      <c r="A47" t="inlineStr">
        <is>
          <t>Все режимы дают желаемый доход</t>
        </is>
      </c>
      <c r="B47" s="53">
        <f>IF(SUMPRODUCT(--(ABS('05_Расчёт'!B24:H24-target_income)&gt;1))=0,"OK","ОШИБКА")</f>
        <v/>
      </c>
    </row>
    <row r="48">
      <c r="A48" t="inlineStr">
        <is>
          <t>Точки безубыточности сходятся в ноль</t>
        </is>
      </c>
      <c r="B48" s="53">
        <f>IF(SUMPRODUCT(--(ABS('05_Расчёт'!B23:H23)&gt;1))=0,"OK","ОШИБКА")</f>
        <v/>
      </c>
    </row>
    <row r="49">
      <c r="A49" t="inlineStr">
        <is>
          <t>Амортизация + переменные = всего расходов</t>
        </is>
      </c>
      <c r="B49" s="53">
        <f>IF(ABS(investment+variable_costs-total_costs)&lt;0.01,"OK","ОШИБКА")</f>
        <v/>
      </c>
    </row>
    <row r="50">
      <c r="A50" t="inlineStr">
        <is>
          <t>Проектное время положительно</t>
        </is>
      </c>
      <c r="B50" s="53">
        <f>IF(project_pool&gt;0,"OK","ОШИБКА: операционное больше чистого")</f>
        <v/>
      </c>
    </row>
    <row r="51">
      <c r="A51" t="inlineStr">
        <is>
          <t>Съёмочных часов больше нуля</t>
        </is>
      </c>
      <c r="B51" s="53">
        <f>IF(shooting_time&gt;0,"OK","ЗАПОЛНИТЕ продолжительность съёмки")</f>
        <v/>
      </c>
    </row>
    <row r="52">
      <c r="A52" t="inlineStr">
        <is>
          <t>Лимиты режимов не превышены</t>
        </is>
      </c>
      <c r="B52" s="53">
        <f>IF(COUNTIF('05_Расчёт'!B25:H25,"ок")=7,"OK","ПРОВЕРЬТЕ")</f>
        <v/>
      </c>
    </row>
    <row r="53">
      <c r="A53" t="inlineStr">
        <is>
          <t>Бухгалтер: либо деньги, либо время</t>
        </is>
      </c>
      <c r="B53" s="53">
        <f>IF(OR(AND(var_accounting&gt;0,accounting_time=0),AND(var_accounting=0,accounting_time&gt;0)),"OK","ПРОВЕРЬТЕ")</f>
        <v/>
      </c>
    </row>
    <row r="54">
      <c r="A54" t="inlineStr">
        <is>
          <t>Длительность съёмки задана</t>
        </is>
      </c>
      <c r="B54" s="53">
        <f>IF(shoot_duration&gt;0,"OK","ЗАПОЛНИТЕ")</f>
        <v/>
      </c>
    </row>
    <row r="55">
      <c r="A55" t="inlineStr">
        <is>
          <t>Час проектного времени положителен</t>
        </is>
      </c>
      <c r="B55" s="53">
        <f>IF(hour_pool&gt;0,"OK","ПРОВЕРЬТЕ")</f>
        <v/>
      </c>
    </row>
    <row r="56">
      <c r="A56" t="inlineStr">
        <is>
          <t>Резерв на форс-мажоры не больше 30%</t>
        </is>
      </c>
      <c r="B56" s="53">
        <f>IF(fm_pct&lt;=0.3,"OK","СЛИШКОМ БОЛЬШОЙ")</f>
        <v/>
      </c>
    </row>
    <row r="57">
      <c r="A57" t="inlineStr">
        <is>
          <t>Сайт: либо сумма, либо часы</t>
        </is>
      </c>
      <c r="B57" s="53">
        <f>IF(OR(AND(dep_website&gt;0,site_divisor=0),AND(dep_website=0,site_divisor&gt;=0)),"OK","ПРОВЕРЬТЕ")</f>
        <v/>
      </c>
    </row>
  </sheetData>
  <mergeCells count="7">
    <mergeCell ref="A28:C28"/>
    <mergeCell ref="A33:C33"/>
    <mergeCell ref="A13:C13"/>
    <mergeCell ref="A1:C1"/>
    <mergeCell ref="A46:C46"/>
    <mergeCell ref="A3:C3"/>
    <mergeCell ref="A39:C3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05 · РАСЧЁТ — семь режимов, как в вашем выпадающем списке</t>
        </is>
      </c>
    </row>
    <row r="3" ht="34" customHeight="1">
      <c r="A3" s="3" t="inlineStr">
        <is>
          <t>Показатель</t>
        </is>
      </c>
      <c r="B3" s="56" t="inlineStr">
        <is>
          <t>НПД
средняя 5%</t>
        </is>
      </c>
      <c r="C3" s="56" t="inlineStr">
        <is>
          <t>НПД
физлица 4%</t>
        </is>
      </c>
      <c r="D3" s="56" t="inlineStr">
        <is>
          <t>НПД
юрлица 6%</t>
        </is>
      </c>
      <c r="E3" s="56" t="inlineStr">
        <is>
          <t>УСН
Доходы 6%</t>
        </is>
      </c>
      <c r="F3" s="56" t="inlineStr">
        <is>
          <t>УСН
Д−Р 15%</t>
        </is>
      </c>
      <c r="G3" s="56" t="inlineStr">
        <is>
          <t>АУСН
Доходы 8%</t>
        </is>
      </c>
      <c r="H3" s="56" t="inlineStr">
        <is>
          <t>АУСН
Д−Р 20%</t>
        </is>
      </c>
    </row>
    <row r="4">
      <c r="A4" s="2" t="inlineStr">
        <is>
          <t>ВЫРУЧКА, ₽/год</t>
        </is>
      </c>
      <c r="B4" s="48">
        <f>(target_income+total_costs)/((1-acquiring-site_divisor)-rate_npd_avg)</f>
        <v/>
      </c>
      <c r="C4" s="48">
        <f>(target_income+total_costs)/((1-acquiring-site_divisor)-rate_npd_fiz)</f>
        <v/>
      </c>
      <c r="D4" s="48">
        <f>(target_income+total_costs)/((1-acquiring-site_divisor)-rate_npd_ur)</f>
        <v/>
      </c>
      <c r="E4" s="48">
        <f>MAX(((target_income+total_costs)+fixed_contrib-threshold_credit)/((1-acquiring-site_divisor)-extra_contrib),(target_income+total_costs)/((1-acquiring-site_divisor)-rate_usn_inc))</f>
        <v/>
      </c>
      <c r="F4" s="48">
        <f>((target_income/(1-rate_usn_prof))+(fixed_contrib-threshold_credit+extra_contrib*(target_income/(1-rate_usn_prof)))+total_costs)/(1-acquiring-site_divisor)</f>
        <v/>
      </c>
      <c r="G4" s="48">
        <f>((target_income+total_costs)+injury_contrib)/((1-acquiring-site_divisor)-rate_ausn_inc)</f>
        <v/>
      </c>
      <c r="H4" s="48">
        <f>((target_income/(1-rate_ausn_prof))+total_costs+injury_contrib)/(1-acquiring-site_divisor)</f>
        <v/>
      </c>
    </row>
    <row r="5">
      <c r="A5" t="inlineStr">
        <is>
          <t>Выручка, ₽/месяц</t>
        </is>
      </c>
      <c r="B5" s="57">
        <f>B4/months</f>
        <v/>
      </c>
      <c r="C5" s="57">
        <f>C4/months</f>
        <v/>
      </c>
      <c r="D5" s="57">
        <f>D4/months</f>
        <v/>
      </c>
      <c r="E5" s="57">
        <f>E4/months</f>
        <v/>
      </c>
      <c r="F5" s="57">
        <f>F4/months</f>
        <v/>
      </c>
      <c r="G5" s="57">
        <f>G4/months</f>
        <v/>
      </c>
      <c r="H5" s="57">
        <f>H4/months</f>
        <v/>
      </c>
    </row>
    <row r="7">
      <c r="A7" t="inlineStr">
        <is>
          <t>Эквайринг, ₽/год</t>
        </is>
      </c>
      <c r="B7" s="57">
        <f>B4*acquiring</f>
        <v/>
      </c>
      <c r="C7" s="57">
        <f>C4*acquiring</f>
        <v/>
      </c>
      <c r="D7" s="57">
        <f>D4*acquiring</f>
        <v/>
      </c>
      <c r="E7" s="57">
        <f>E4*acquiring</f>
        <v/>
      </c>
      <c r="F7" s="57">
        <f>F4*acquiring</f>
        <v/>
      </c>
      <c r="G7" s="57">
        <f>G4*acquiring</f>
        <v/>
      </c>
      <c r="H7" s="57">
        <f>H4*acquiring</f>
        <v/>
      </c>
    </row>
    <row r="8">
      <c r="A8" t="inlineStr">
        <is>
          <t>Страховые взносы (фикс.)</t>
        </is>
      </c>
      <c r="B8" s="57">
        <f>0</f>
        <v/>
      </c>
      <c r="C8" s="57">
        <f>0</f>
        <v/>
      </c>
      <c r="D8" s="57">
        <f>0</f>
        <v/>
      </c>
      <c r="E8" s="57">
        <f>fixed_contrib</f>
        <v/>
      </c>
      <c r="F8" s="57">
        <f>fixed_contrib</f>
        <v/>
      </c>
      <c r="G8" s="57">
        <f>0</f>
        <v/>
      </c>
      <c r="H8" s="57">
        <f>0</f>
        <v/>
      </c>
    </row>
    <row r="9">
      <c r="A9" t="inlineStr">
        <is>
          <t>База для доначисления 1%</t>
        </is>
      </c>
      <c r="B9" s="57">
        <f>0</f>
        <v/>
      </c>
      <c r="C9" s="57">
        <f>0</f>
        <v/>
      </c>
      <c r="D9" s="57">
        <f>0</f>
        <v/>
      </c>
      <c r="E9" s="57">
        <f>MAX(0,E4-contrib_threshold)</f>
        <v/>
      </c>
      <c r="F9" s="57">
        <f>MAX(0,(target_income/(1-rate_usn_prof))-contrib_threshold)</f>
        <v/>
      </c>
      <c r="G9" s="57">
        <f>0</f>
        <v/>
      </c>
      <c r="H9" s="57">
        <f>0</f>
        <v/>
      </c>
    </row>
    <row r="10">
      <c r="A10" t="inlineStr">
        <is>
          <t>Доначисление 1%</t>
        </is>
      </c>
      <c r="B10" s="57">
        <f>0</f>
        <v/>
      </c>
      <c r="C10" s="57">
        <f>0</f>
        <v/>
      </c>
      <c r="D10" s="57">
        <f>0</f>
        <v/>
      </c>
      <c r="E10" s="57">
        <f>MIN(E9*extra_contrib,contrib_cap)</f>
        <v/>
      </c>
      <c r="F10" s="57">
        <f>MIN(F9*extra_contrib,contrib_cap)</f>
        <v/>
      </c>
      <c r="G10" s="57">
        <f>0</f>
        <v/>
      </c>
      <c r="H10" s="57">
        <f>0</f>
        <v/>
      </c>
    </row>
    <row r="11">
      <c r="A11" t="inlineStr">
        <is>
          <t>Налог</t>
        </is>
      </c>
      <c r="B11" s="57">
        <f>B4*rate_npd_avg</f>
        <v/>
      </c>
      <c r="C11" s="57">
        <f>C4*rate_npd_fiz</f>
        <v/>
      </c>
      <c r="D11" s="57">
        <f>D4*rate_npd_ur</f>
        <v/>
      </c>
      <c r="E11" s="57">
        <f>MAX(0,E4*rate_usn_inc-(E8+E10))</f>
        <v/>
      </c>
      <c r="F11" s="57">
        <f>MAX((target_income/(1-rate_usn_prof))*rate_usn_prof,F4*min_tax_usn)</f>
        <v/>
      </c>
      <c r="G11" s="57">
        <f>G4*rate_ausn_inc</f>
        <v/>
      </c>
      <c r="H11" s="57">
        <f>MAX((target_income/(1-rate_ausn_prof))*rate_ausn_prof,H4*min_tax_ausn)</f>
        <v/>
      </c>
    </row>
    <row r="12">
      <c r="A12" t="inlineStr">
        <is>
          <t>Взнос на травматизм</t>
        </is>
      </c>
      <c r="B12" s="57">
        <f>0</f>
        <v/>
      </c>
      <c r="C12" s="57">
        <f>0</f>
        <v/>
      </c>
      <c r="D12" s="57">
        <f>0</f>
        <v/>
      </c>
      <c r="E12" s="57">
        <f>0</f>
        <v/>
      </c>
      <c r="F12" s="57">
        <f>0</f>
        <v/>
      </c>
      <c r="G12" s="57">
        <f>injury_contrib</f>
        <v/>
      </c>
      <c r="H12" s="57">
        <f>injury_contrib</f>
        <v/>
      </c>
    </row>
    <row r="13">
      <c r="A13" t="inlineStr">
        <is>
          <t>Применён минимальный налог?</t>
        </is>
      </c>
      <c r="B13" s="28">
        <f>"—"</f>
        <v/>
      </c>
      <c r="C13" s="28">
        <f>"—"</f>
        <v/>
      </c>
      <c r="D13" s="28">
        <f>"—"</f>
        <v/>
      </c>
      <c r="E13" s="28">
        <f>"—"</f>
        <v/>
      </c>
      <c r="F13" s="28">
        <f>IF((target_income/(1-rate_usn_prof))*rate_usn_prof&lt;F4*min_tax_usn,"ДА","нет")</f>
        <v/>
      </c>
      <c r="G13" s="28">
        <f>"—"</f>
        <v/>
      </c>
      <c r="H13" s="28">
        <f>IF((target_income/(1-rate_ausn_prof))*rate_ausn_prof&lt;H4*min_tax_ausn,"ДА","нет")</f>
        <v/>
      </c>
    </row>
    <row r="15">
      <c r="A15" s="2" t="inlineStr">
        <is>
          <t>ВСЕГО налогов и взносов</t>
        </is>
      </c>
      <c r="B15" s="58">
        <f>B8+B10+B11+B12</f>
        <v/>
      </c>
      <c r="C15" s="58">
        <f>C8+C10+C11+C12</f>
        <v/>
      </c>
      <c r="D15" s="58">
        <f>D8+D10+D11+D12</f>
        <v/>
      </c>
      <c r="E15" s="58">
        <f>E8+E10+E11+E12</f>
        <v/>
      </c>
      <c r="F15" s="58">
        <f>F8+F10+F11+F12</f>
        <v/>
      </c>
      <c r="G15" s="58">
        <f>G8+G10+G11+G12</f>
        <v/>
      </c>
      <c r="H15" s="58">
        <f>H8+H10+H11+H12</f>
        <v/>
      </c>
    </row>
    <row r="16">
      <c r="A16" t="inlineStr">
        <is>
          <t>Всего налогов и взносов, ₽/мес</t>
        </is>
      </c>
      <c r="B16" s="57">
        <f>B15/months</f>
        <v/>
      </c>
      <c r="C16" s="57">
        <f>C15/months</f>
        <v/>
      </c>
      <c r="D16" s="57">
        <f>D15/months</f>
        <v/>
      </c>
      <c r="E16" s="57">
        <f>E15/months</f>
        <v/>
      </c>
      <c r="F16" s="57">
        <f>F15/months</f>
        <v/>
      </c>
      <c r="G16" s="57">
        <f>G15/months</f>
        <v/>
      </c>
      <c r="H16" s="57">
        <f>H15/months</f>
        <v/>
      </c>
    </row>
    <row r="17">
      <c r="A17" s="2" t="inlineStr">
        <is>
          <t>Эффективная нагрузка</t>
        </is>
      </c>
      <c r="B17" s="59">
        <f>IF(B4=0,0,B15/B4)</f>
        <v/>
      </c>
      <c r="C17" s="59">
        <f>IF(C4=0,0,C15/C4)</f>
        <v/>
      </c>
      <c r="D17" s="59">
        <f>IF(D4=0,0,D15/D4)</f>
        <v/>
      </c>
      <c r="E17" s="59">
        <f>IF(E4=0,0,E15/E4)</f>
        <v/>
      </c>
      <c r="F17" s="59">
        <f>IF(F4=0,0,F15/F4)</f>
        <v/>
      </c>
      <c r="G17" s="59">
        <f>IF(G4=0,0,G15/G4)</f>
        <v/>
      </c>
      <c r="H17" s="59">
        <f>IF(H4=0,0,H15/H4)</f>
        <v/>
      </c>
    </row>
    <row r="19">
      <c r="A19" s="2" t="inlineStr">
        <is>
          <t>ПОЛНАЯ СТАВКА ЧАСА, ₽/час</t>
        </is>
      </c>
      <c r="B19" s="48">
        <f>IF(shooting_time=0,0,B4/shooting_time)</f>
        <v/>
      </c>
      <c r="C19" s="48">
        <f>IF(shooting_time=0,0,C4/shooting_time)</f>
        <v/>
      </c>
      <c r="D19" s="48">
        <f>IF(shooting_time=0,0,D4/shooting_time)</f>
        <v/>
      </c>
      <c r="E19" s="48">
        <f>IF(shooting_time=0,0,E4/shooting_time)</f>
        <v/>
      </c>
      <c r="F19" s="48">
        <f>IF(shooting_time=0,0,F4/shooting_time)</f>
        <v/>
      </c>
      <c r="G19" s="48">
        <f>IF(shooting_time=0,0,G4/shooting_time)</f>
        <v/>
      </c>
      <c r="H19" s="48">
        <f>IF(shooting_time=0,0,H4/shooting_time)</f>
        <v/>
      </c>
    </row>
    <row r="20">
      <c r="A20" s="2" t="inlineStr">
        <is>
          <t>Стоимость проекта, ₽</t>
        </is>
      </c>
      <c r="B20" s="48">
        <f>IF(projects_year=0,0,B4/projects_year)</f>
        <v/>
      </c>
      <c r="C20" s="48">
        <f>IF(projects_year=0,0,C4/projects_year)</f>
        <v/>
      </c>
      <c r="D20" s="48">
        <f>IF(projects_year=0,0,D4/projects_year)</f>
        <v/>
      </c>
      <c r="E20" s="48">
        <f>IF(projects_year=0,0,E4/projects_year)</f>
        <v/>
      </c>
      <c r="F20" s="48">
        <f>IF(projects_year=0,0,F4/projects_year)</f>
        <v/>
      </c>
      <c r="G20" s="48">
        <f>IF(projects_year=0,0,G4/projects_year)</f>
        <v/>
      </c>
      <c r="H20" s="48">
        <f>IF(projects_year=0,0,H4/projects_year)</f>
        <v/>
      </c>
    </row>
    <row r="22">
      <c r="A22" t="inlineStr">
        <is>
          <t>Точка безубыточности, ₽/год</t>
        </is>
      </c>
      <c r="B22" s="60">
        <f>total_costs/((1-acquiring-site_divisor)-rate_npd_avg)</f>
        <v/>
      </c>
      <c r="C22" s="60">
        <f>total_costs/((1-acquiring-site_divisor)-rate_npd_fiz)</f>
        <v/>
      </c>
      <c r="D22" s="60">
        <f>total_costs/((1-acquiring-site_divisor)-rate_npd_ur)</f>
        <v/>
      </c>
      <c r="E22" s="60">
        <f>MAX((total_costs+fixed_contrib-threshold_credit)/((1-acquiring-site_divisor)-extra_contrib),total_costs/((1-acquiring-site_divisor)-rate_usn_inc))</f>
        <v/>
      </c>
      <c r="F22" s="60">
        <f>(total_costs+fixed_contrib)/((1-acquiring-site_divisor)-min_tax_usn)</f>
        <v/>
      </c>
      <c r="G22" s="60">
        <f>(total_costs+injury_contrib)/((1-acquiring-site_divisor)-rate_ausn_inc)</f>
        <v/>
      </c>
      <c r="H22" s="60">
        <f>(total_costs+injury_contrib)/((1-acquiring-site_divisor)-min_tax_ausn)</f>
        <v/>
      </c>
    </row>
    <row r="23">
      <c r="A23" t="inlineStr">
        <is>
          <t>ПРОВЕРКА безубыточности (=0)</t>
        </is>
      </c>
      <c r="B23" s="38">
        <f>B22-total_costs-B22*acquiring-B22*rate_npd_avg</f>
        <v/>
      </c>
      <c r="C23" s="38">
        <f>C22-total_costs-C22*acquiring-C22*rate_npd_fiz</f>
        <v/>
      </c>
      <c r="D23" s="38">
        <f>D22-total_costs-D22*acquiring-D22*rate_npd_ur</f>
        <v/>
      </c>
      <c r="E23" s="38">
        <f>E22-total_costs-E22*acquiring-MAX(fixed_contrib+MIN(MAX(0,E22-contrib_threshold)*extra_contrib,contrib_cap),E22*rate_usn_inc)</f>
        <v/>
      </c>
      <c r="F23" s="38">
        <f>F22-total_costs-F22*acquiring-fixed_contrib-F22*min_tax_usn</f>
        <v/>
      </c>
      <c r="G23" s="38">
        <f>G22-total_costs-G22*acquiring-G22*rate_ausn_inc</f>
        <v/>
      </c>
      <c r="H23" s="38">
        <f>H22-total_costs-H22*acquiring-H22*min_tax_ausn</f>
        <v/>
      </c>
    </row>
    <row r="24">
      <c r="A24" s="2" t="inlineStr">
        <is>
          <t>ПРОВЕРКА: остаётся на руки</t>
        </is>
      </c>
      <c r="B24" s="58">
        <f>B4-total_costs-B7-B15</f>
        <v/>
      </c>
      <c r="C24" s="58">
        <f>C4-total_costs-C7-C15</f>
        <v/>
      </c>
      <c r="D24" s="58">
        <f>D4-total_costs-D7-D15</f>
        <v/>
      </c>
      <c r="E24" s="58">
        <f>E4-total_costs-E7-E15</f>
        <v/>
      </c>
      <c r="F24" s="58">
        <f>F4-total_costs-F7-F15</f>
        <v/>
      </c>
      <c r="G24" s="58">
        <f>G4-total_costs-G7-G15</f>
        <v/>
      </c>
      <c r="H24" s="58">
        <f>H4-total_costs-H7-H15</f>
        <v/>
      </c>
    </row>
    <row r="25">
      <c r="A25" t="inlineStr">
        <is>
          <t>Контроль лимитов</t>
        </is>
      </c>
      <c r="B25" s="61">
        <f>IF(B4&gt;limit_npd,"! лимит НПД","ок")</f>
        <v/>
      </c>
      <c r="C25" s="61">
        <f>IF(C4&gt;limit_npd,"! лимит НПД","ок")</f>
        <v/>
      </c>
      <c r="D25" s="61">
        <f>IF(D4&gt;limit_npd,"! лимит НПД","ок")</f>
        <v/>
      </c>
      <c r="E25" s="61">
        <f>IF(E4&gt;vat_threshold,"! НДС","ок")</f>
        <v/>
      </c>
      <c r="F25" s="61">
        <f>IF(F4&gt;vat_threshold,"! НДС","ок")</f>
        <v/>
      </c>
      <c r="G25" s="61">
        <f>IF(G4&gt;limit_ausn,"! лимит АУСН","ок")</f>
        <v/>
      </c>
      <c r="H25" s="61">
        <f>IF(H4&gt;limit_ausn,"! лимит АУСН","ок")</f>
        <v/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7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3" customWidth="1" min="9" max="9"/>
    <col width="34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06 · ОТЧЁТ — куда уходит каждый рубль с часа съёмки</t>
        </is>
      </c>
    </row>
    <row r="2">
      <c r="A2" s="25" t="inlineStr">
        <is>
          <t>Личный доход разложен по ролям: фотограф, ретушёр, менеджер, маркетолог, бухгалтер. Расходы — по назначению.</t>
        </is>
      </c>
    </row>
    <row r="4">
      <c r="A4" s="3" t="inlineStr">
        <is>
          <t>1 · ВАШ ЛИЧНЫЙ ДОХОД ПО РОЛЯМ  (ставка любого рабочего часа = доход / чистое время)</t>
        </is>
      </c>
    </row>
    <row r="5" ht="26" customHeight="1">
      <c r="A5" s="44" t="inlineStr">
        <is>
          <t>Статья</t>
        </is>
      </c>
      <c r="B5" s="44" t="inlineStr">
        <is>
          <t>₽/год</t>
        </is>
      </c>
      <c r="C5" s="44" t="inlineStr">
        <is>
          <t>₽/месяц</t>
        </is>
      </c>
      <c r="D5" s="44" t="inlineStr">
        <is>
          <t>₽/съём. час</t>
        </is>
      </c>
      <c r="E5" s="44" t="inlineStr">
        <is>
          <t>₽/проект</t>
        </is>
      </c>
      <c r="F5" s="44" t="inlineStr">
        <is>
          <t>доля</t>
        </is>
      </c>
      <c r="G5" s="44" t="inlineStr">
        <is>
          <t>часов/год</t>
        </is>
      </c>
    </row>
    <row r="6">
      <c r="A6" t="inlineStr">
        <is>
          <t>Как ФОТОГРАФ — работа на площадке</t>
        </is>
      </c>
      <c r="B6" s="57">
        <f>(target_income/net_time)*shooting_time</f>
        <v/>
      </c>
      <c r="C6" s="57">
        <f>IF(months=0,0,B6/months)</f>
        <v/>
      </c>
      <c r="D6" s="57">
        <f>IF(shooting_time=0,0,B6/shooting_time)</f>
        <v/>
      </c>
      <c r="E6" s="57">
        <f>IF(projects_year=0,0,B6/projects_year)</f>
        <v/>
      </c>
      <c r="F6" s="62">
        <f>IF((CHOOSE(regime_no,'05_Расчёт'!B4,'05_Расчёт'!C4,'05_Расчёт'!D4,'05_Расчёт'!E4,'05_Расчёт'!F4,'05_Расчёт'!G4,'05_Расчёт'!H4))=0,0,B6/(CHOOSE(regime_no,'05_Расчёт'!B4,'05_Расчёт'!C4,'05_Расчёт'!D4,'05_Расчёт'!E4,'05_Расчёт'!F4,'05_Расчёт'!G4,'05_Расчёт'!H4)))</f>
        <v/>
      </c>
      <c r="G6" s="63">
        <f>shooting_time</f>
        <v/>
      </c>
    </row>
    <row r="7">
      <c r="A7" t="inlineStr">
        <is>
          <t>Как РЕТУШЁР — обработка материала</t>
        </is>
      </c>
      <c r="B7" s="57">
        <f>(target_income/net_time)*post_time</f>
        <v/>
      </c>
      <c r="C7" s="57">
        <f>IF(months=0,0,B7/months)</f>
        <v/>
      </c>
      <c r="D7" s="57">
        <f>IF(shooting_time=0,0,B7/shooting_time)</f>
        <v/>
      </c>
      <c r="E7" s="57">
        <f>IF(projects_year=0,0,B7/projects_year)</f>
        <v/>
      </c>
      <c r="F7" s="62">
        <f>IF((CHOOSE(regime_no,'05_Расчёт'!B4,'05_Расчёт'!C4,'05_Расчёт'!D4,'05_Расчёт'!E4,'05_Расчёт'!F4,'05_Расчёт'!G4,'05_Расчёт'!H4))=0,0,B7/(CHOOSE(regime_no,'05_Расчёт'!B4,'05_Расчёт'!C4,'05_Расчёт'!D4,'05_Расчёт'!E4,'05_Расчёт'!F4,'05_Расчёт'!G4,'05_Расчёт'!H4)))</f>
        <v/>
      </c>
      <c r="G7" s="63">
        <f>post_time</f>
        <v/>
      </c>
    </row>
    <row r="8">
      <c r="A8" t="inlineStr">
        <is>
          <t>Как МЕНЕДЖЕР — работа с клиентом</t>
        </is>
      </c>
      <c r="B8" s="57">
        <f>(target_income/net_time)*client_total</f>
        <v/>
      </c>
      <c r="C8" s="57">
        <f>IF(months=0,0,B8/months)</f>
        <v/>
      </c>
      <c r="D8" s="57">
        <f>IF(shooting_time=0,0,B8/shooting_time)</f>
        <v/>
      </c>
      <c r="E8" s="57">
        <f>IF(projects_year=0,0,B8/projects_year)</f>
        <v/>
      </c>
      <c r="F8" s="62">
        <f>IF((CHOOSE(regime_no,'05_Расчёт'!B4,'05_Расчёт'!C4,'05_Расчёт'!D4,'05_Расчёт'!E4,'05_Расчёт'!F4,'05_Расчёт'!G4,'05_Расчёт'!H4))=0,0,B8/(CHOOSE(regime_no,'05_Расчёт'!B4,'05_Расчёт'!C4,'05_Расчёт'!D4,'05_Расчёт'!E4,'05_Расчёт'!F4,'05_Расчёт'!G4,'05_Расчёт'!H4)))</f>
        <v/>
      </c>
      <c r="G8" s="63">
        <f>client_total</f>
        <v/>
      </c>
    </row>
    <row r="9">
      <c r="A9" t="inlineStr">
        <is>
          <t>Как МАРКЕТОЛОГ — продвижение</t>
        </is>
      </c>
      <c r="B9" s="57">
        <f>(target_income/net_time)*promo_time</f>
        <v/>
      </c>
      <c r="C9" s="57">
        <f>IF(months=0,0,B9/months)</f>
        <v/>
      </c>
      <c r="D9" s="57">
        <f>IF(shooting_time=0,0,B9/shooting_time)</f>
        <v/>
      </c>
      <c r="E9" s="57">
        <f>IF(projects_year=0,0,B9/projects_year)</f>
        <v/>
      </c>
      <c r="F9" s="62">
        <f>IF((CHOOSE(regime_no,'05_Расчёт'!B4,'05_Расчёт'!C4,'05_Расчёт'!D4,'05_Расчёт'!E4,'05_Расчёт'!F4,'05_Расчёт'!G4,'05_Расчёт'!H4))=0,0,B9/(CHOOSE(regime_no,'05_Расчёт'!B4,'05_Расчёт'!C4,'05_Расчёт'!D4,'05_Расчёт'!E4,'05_Расчёт'!F4,'05_Расчёт'!G4,'05_Расчёт'!H4)))</f>
        <v/>
      </c>
      <c r="G9" s="63">
        <f>promo_time</f>
        <v/>
      </c>
    </row>
    <row r="10">
      <c r="A10" t="inlineStr">
        <is>
          <t>Как БУХГАЛТЕР — учёт и отчётность</t>
        </is>
      </c>
      <c r="B10" s="57">
        <f>(target_income/net_time)*accounting_time</f>
        <v/>
      </c>
      <c r="C10" s="57">
        <f>IF(months=0,0,B10/months)</f>
        <v/>
      </c>
      <c r="D10" s="57">
        <f>IF(shooting_time=0,0,B10/shooting_time)</f>
        <v/>
      </c>
      <c r="E10" s="57">
        <f>IF(projects_year=0,0,B10/projects_year)</f>
        <v/>
      </c>
      <c r="F10" s="62">
        <f>IF((CHOOSE(regime_no,'05_Расчёт'!B4,'05_Расчёт'!C4,'05_Расчёт'!D4,'05_Расчёт'!E4,'05_Расчёт'!F4,'05_Расчёт'!G4,'05_Расчёт'!H4))=0,0,B10/(CHOOSE(regime_no,'05_Расчёт'!B4,'05_Расчёт'!C4,'05_Расчёт'!D4,'05_Расчёт'!E4,'05_Расчёт'!F4,'05_Расчёт'!G4,'05_Расчёт'!H4)))</f>
        <v/>
      </c>
      <c r="G10" s="63">
        <f>accounting_time</f>
        <v/>
      </c>
    </row>
    <row r="11">
      <c r="A11" t="inlineStr">
        <is>
          <t>Компенсация форс-мажоров</t>
        </is>
      </c>
      <c r="B11" s="57">
        <f>(target_income/net_time)*fm_time</f>
        <v/>
      </c>
      <c r="C11" s="57">
        <f>IF(months=0,0,B11/months)</f>
        <v/>
      </c>
      <c r="D11" s="57">
        <f>IF(shooting_time=0,0,B11/shooting_time)</f>
        <v/>
      </c>
      <c r="E11" s="57">
        <f>IF(projects_year=0,0,B11/projects_year)</f>
        <v/>
      </c>
      <c r="F11" s="62">
        <f>IF((CHOOSE(regime_no,'05_Расчёт'!B4,'05_Расчёт'!C4,'05_Расчёт'!D4,'05_Расчёт'!E4,'05_Расчёт'!F4,'05_Расчёт'!G4,'05_Расчёт'!H4))=0,0,B11/(CHOOSE(regime_no,'05_Расчёт'!B4,'05_Расчёт'!C4,'05_Расчёт'!D4,'05_Расчёт'!E4,'05_Расчёт'!F4,'05_Расчёт'!G4,'05_Расчёт'!H4)))</f>
        <v/>
      </c>
      <c r="G11" s="63">
        <f>fm_time</f>
        <v/>
      </c>
    </row>
    <row r="12">
      <c r="A12" s="2" t="inlineStr">
        <is>
          <t>ИТОГО НА РУКИ</t>
        </is>
      </c>
      <c r="B12" s="48">
        <f>target_income</f>
        <v/>
      </c>
      <c r="C12" s="55">
        <f>IF(months=0,0,B12/months)</f>
        <v/>
      </c>
      <c r="D12" s="55">
        <f>IF(shooting_time=0,0,B12/shooting_time)</f>
        <v/>
      </c>
      <c r="E12" s="55">
        <f>IF(projects_year=0,0,B12/projects_year)</f>
        <v/>
      </c>
      <c r="F12" s="62">
        <f>IF((CHOOSE(regime_no,'05_Расчёт'!B4,'05_Расчёт'!C4,'05_Расчёт'!D4,'05_Расчёт'!E4,'05_Расчёт'!F4,'05_Расчёт'!G4,'05_Расчёт'!H4))=0,0,B12/(CHOOSE(regime_no,'05_Расчёт'!B4,'05_Расчёт'!C4,'05_Расчёт'!D4,'05_Расчёт'!E4,'05_Расчёт'!F4,'05_Расчёт'!G4,'05_Расчёт'!H4)))</f>
        <v/>
      </c>
      <c r="G12" s="63">
        <f>net_time</f>
        <v/>
      </c>
    </row>
    <row r="14">
      <c r="A14" s="3" t="inlineStr">
        <is>
          <t>2 · ОТЛОЖИТЬ НА ВОССТАНОВЛЕНИЕ ВЛОЖЕНИЙ  (амортизация)</t>
        </is>
      </c>
    </row>
    <row r="15" ht="26" customHeight="1">
      <c r="A15" s="44" t="inlineStr">
        <is>
          <t>Статья</t>
        </is>
      </c>
      <c r="B15" s="44" t="inlineStr">
        <is>
          <t>₽/год</t>
        </is>
      </c>
      <c r="C15" s="44" t="inlineStr">
        <is>
          <t>₽/месяц</t>
        </is>
      </c>
      <c r="D15" s="44" t="inlineStr">
        <is>
          <t>₽/съём. час</t>
        </is>
      </c>
      <c r="E15" s="44" t="inlineStr">
        <is>
          <t>₽/проект</t>
        </is>
      </c>
      <c r="F15" s="44" t="inlineStr">
        <is>
          <t>доля</t>
        </is>
      </c>
      <c r="G15" s="44" t="inlineStr">
        <is>
          <t>часов/год</t>
        </is>
      </c>
    </row>
    <row r="16">
      <c r="A16" t="inlineStr">
        <is>
          <t>На съёмочное оборудование</t>
        </is>
      </c>
      <c r="B16" s="57">
        <f>dep_shoot</f>
        <v/>
      </c>
      <c r="C16" s="57">
        <f>IF(months=0,0,B16/months)</f>
        <v/>
      </c>
      <c r="D16" s="57">
        <f>IF(shooting_time=0,0,B16/shooting_time)</f>
        <v/>
      </c>
      <c r="E16" s="57">
        <f>IF(projects_year=0,0,B16/projects_year)</f>
        <v/>
      </c>
      <c r="F16" s="62">
        <f>IF((CHOOSE(regime_no,'05_Расчёт'!B4,'05_Расчёт'!C4,'05_Расчёт'!D4,'05_Расчёт'!E4,'05_Расчёт'!F4,'05_Расчёт'!G4,'05_Расчёт'!H4))=0,0,B16/(CHOOSE(regime_no,'05_Расчёт'!B4,'05_Расчёт'!C4,'05_Расчёт'!D4,'05_Расчёт'!E4,'05_Расчёт'!F4,'05_Расчёт'!G4,'05_Расчёт'!H4)))</f>
        <v/>
      </c>
    </row>
    <row r="17">
      <c r="A17" t="inlineStr">
        <is>
          <t>На офисное оборудование</t>
        </is>
      </c>
      <c r="B17" s="57">
        <f>dep_office</f>
        <v/>
      </c>
      <c r="C17" s="57">
        <f>IF(months=0,0,B17/months)</f>
        <v/>
      </c>
      <c r="D17" s="57">
        <f>IF(shooting_time=0,0,B17/shooting_time)</f>
        <v/>
      </c>
      <c r="E17" s="57">
        <f>IF(projects_year=0,0,B17/projects_year)</f>
        <v/>
      </c>
      <c r="F17" s="62">
        <f>IF((CHOOSE(regime_no,'05_Расчёт'!B4,'05_Расчёт'!C4,'05_Расчёт'!D4,'05_Расчёт'!E4,'05_Расчёт'!F4,'05_Расчёт'!G4,'05_Расчёт'!H4))=0,0,B17/(CHOOSE(regime_no,'05_Расчёт'!B4,'05_Расчёт'!C4,'05_Расчёт'!D4,'05_Расчёт'!E4,'05_Расчёт'!F4,'05_Расчёт'!G4,'05_Расчёт'!H4)))</f>
        <v/>
      </c>
    </row>
    <row r="18">
      <c r="A18" t="inlineStr">
        <is>
          <t>На ПО (разовые покупки)</t>
        </is>
      </c>
      <c r="B18" s="57">
        <f>dep_software</f>
        <v/>
      </c>
      <c r="C18" s="57">
        <f>IF(months=0,0,B18/months)</f>
        <v/>
      </c>
      <c r="D18" s="57">
        <f>IF(shooting_time=0,0,B18/shooting_time)</f>
        <v/>
      </c>
      <c r="E18" s="57">
        <f>IF(projects_year=0,0,B18/projects_year)</f>
        <v/>
      </c>
      <c r="F18" s="62">
        <f>IF((CHOOSE(regime_no,'05_Расчёт'!B4,'05_Расчёт'!C4,'05_Расчёт'!D4,'05_Расчёт'!E4,'05_Расчёт'!F4,'05_Расчёт'!G4,'05_Расчёт'!H4))=0,0,B18/(CHOOSE(regime_no,'05_Расчёт'!B4,'05_Расчёт'!C4,'05_Расчёт'!D4,'05_Расчёт'!E4,'05_Расчёт'!F4,'05_Расчёт'!G4,'05_Расчёт'!H4)))</f>
        <v/>
      </c>
    </row>
    <row r="19">
      <c r="A19" t="inlineStr">
        <is>
          <t>На обустройство рабочего места</t>
        </is>
      </c>
      <c r="B19" s="57">
        <f>dep_workspace</f>
        <v/>
      </c>
      <c r="C19" s="57">
        <f>IF(months=0,0,B19/months)</f>
        <v/>
      </c>
      <c r="D19" s="57">
        <f>IF(shooting_time=0,0,B19/shooting_time)</f>
        <v/>
      </c>
      <c r="E19" s="57">
        <f>IF(projects_year=0,0,B19/projects_year)</f>
        <v/>
      </c>
      <c r="F19" s="62">
        <f>IF((CHOOSE(regime_no,'05_Расчёт'!B4,'05_Расчёт'!C4,'05_Расчёт'!D4,'05_Расчёт'!E4,'05_Расчёт'!F4,'05_Расчёт'!G4,'05_Расчёт'!H4))=0,0,B19/(CHOOSE(regime_no,'05_Расчёт'!B4,'05_Расчёт'!C4,'05_Расчёт'!D4,'05_Расчёт'!E4,'05_Расчёт'!F4,'05_Расчёт'!G4,'05_Расчёт'!H4)))</f>
        <v/>
      </c>
    </row>
    <row r="20">
      <c r="A20" t="inlineStr">
        <is>
          <t>На обучение</t>
        </is>
      </c>
      <c r="B20" s="57">
        <f>dep_education</f>
        <v/>
      </c>
      <c r="C20" s="57">
        <f>IF(months=0,0,B20/months)</f>
        <v/>
      </c>
      <c r="D20" s="57">
        <f>IF(shooting_time=0,0,B20/shooting_time)</f>
        <v/>
      </c>
      <c r="E20" s="57">
        <f>IF(projects_year=0,0,B20/projects_year)</f>
        <v/>
      </c>
      <c r="F20" s="62">
        <f>IF((CHOOSE(regime_no,'05_Расчёт'!B4,'05_Расчёт'!C4,'05_Расчёт'!D4,'05_Расчёт'!E4,'05_Расчёт'!F4,'05_Расчёт'!G4,'05_Расчёт'!H4))=0,0,B20/(CHOOSE(regime_no,'05_Расчёт'!B4,'05_Расчёт'!C4,'05_Расчёт'!D4,'05_Расчёт'!E4,'05_Расчёт'!F4,'05_Расчёт'!G4,'05_Расчёт'!H4)))</f>
        <v/>
      </c>
    </row>
    <row r="21">
      <c r="A21" t="inlineStr">
        <is>
          <t>На сайт</t>
        </is>
      </c>
      <c r="B21" s="57">
        <f>dep_website</f>
        <v/>
      </c>
      <c r="C21" s="57">
        <f>IF(months=0,0,B21/months)</f>
        <v/>
      </c>
      <c r="D21" s="57">
        <f>IF(shooting_time=0,0,B21/shooting_time)</f>
        <v/>
      </c>
      <c r="E21" s="57">
        <f>IF(projects_year=0,0,B21/projects_year)</f>
        <v/>
      </c>
      <c r="F21" s="62">
        <f>IF((CHOOSE(regime_no,'05_Расчёт'!B4,'05_Расчёт'!C4,'05_Расчёт'!D4,'05_Расчёт'!E4,'05_Расчёт'!F4,'05_Расчёт'!G4,'05_Расчёт'!H4))=0,0,B21/(CHOOSE(regime_no,'05_Расчёт'!B4,'05_Расчёт'!C4,'05_Расчёт'!D4,'05_Расчёт'!E4,'05_Расчёт'!F4,'05_Расчёт'!G4,'05_Расчёт'!H4)))</f>
        <v/>
      </c>
    </row>
    <row r="22">
      <c r="A22" s="2" t="inlineStr">
        <is>
          <t>ИТОГО амортизация</t>
        </is>
      </c>
      <c r="B22" s="58">
        <f>investment</f>
        <v/>
      </c>
      <c r="C22" s="38">
        <f>IF(months=0,0,B22/months)</f>
        <v/>
      </c>
      <c r="D22" s="38">
        <f>IF(shooting_time=0,0,B22/shooting_time)</f>
        <v/>
      </c>
      <c r="E22" s="38">
        <f>IF(projects_year=0,0,B22/projects_year)</f>
        <v/>
      </c>
      <c r="F22" s="62">
        <f>IF((CHOOSE(regime_no,'05_Расчёт'!B4,'05_Расчёт'!C4,'05_Расчёт'!D4,'05_Расчёт'!E4,'05_Расчёт'!F4,'05_Расчёт'!G4,'05_Расчёт'!H4))=0,0,B22/(CHOOSE(regime_no,'05_Расчёт'!B4,'05_Расчёт'!C4,'05_Расчёт'!D4,'05_Расчёт'!E4,'05_Расчёт'!F4,'05_Расчёт'!G4,'05_Расчёт'!H4)))</f>
        <v/>
      </c>
    </row>
    <row r="24">
      <c r="A24" s="3" t="inlineStr">
        <is>
          <t>3 · РЕГУЛЯРНЫЕ РАСХОДЫ</t>
        </is>
      </c>
    </row>
    <row r="25" ht="26" customHeight="1">
      <c r="A25" s="44" t="inlineStr">
        <is>
          <t>Статья</t>
        </is>
      </c>
      <c r="B25" s="44" t="inlineStr">
        <is>
          <t>₽/год</t>
        </is>
      </c>
      <c r="C25" s="44" t="inlineStr">
        <is>
          <t>₽/месяц</t>
        </is>
      </c>
      <c r="D25" s="44" t="inlineStr">
        <is>
          <t>₽/съём. час</t>
        </is>
      </c>
      <c r="E25" s="44" t="inlineStr">
        <is>
          <t>₽/проект</t>
        </is>
      </c>
      <c r="F25" s="44" t="inlineStr">
        <is>
          <t>доля</t>
        </is>
      </c>
      <c r="G25" s="44" t="inlineStr">
        <is>
          <t>часов/год</t>
        </is>
      </c>
    </row>
    <row r="26">
      <c r="A26" t="inlineStr">
        <is>
          <t>Подписки на ПО</t>
        </is>
      </c>
      <c r="B26" s="57">
        <f>var_software</f>
        <v/>
      </c>
      <c r="C26" s="57">
        <f>IF(months=0,0,B26/months)</f>
        <v/>
      </c>
      <c r="D26" s="57">
        <f>IF(shooting_time=0,0,B26/shooting_time)</f>
        <v/>
      </c>
      <c r="E26" s="57">
        <f>IF(projects_year=0,0,B26/projects_year)</f>
        <v/>
      </c>
      <c r="F26" s="62">
        <f>IF((CHOOSE(regime_no,'05_Расчёт'!B4,'05_Расчёт'!C4,'05_Расчёт'!D4,'05_Расчёт'!E4,'05_Расчёт'!F4,'05_Расчёт'!G4,'05_Расчёт'!H4))=0,0,B26/(CHOOSE(regime_no,'05_Расчёт'!B4,'05_Расчёт'!C4,'05_Расчёт'!D4,'05_Расчёт'!E4,'05_Расчёт'!F4,'05_Расчёт'!G4,'05_Расчёт'!H4)))</f>
        <v/>
      </c>
    </row>
    <row r="27">
      <c r="A27" t="inlineStr">
        <is>
          <t>Реклама и продвижение</t>
        </is>
      </c>
      <c r="B27" s="57">
        <f>var_ads</f>
        <v/>
      </c>
      <c r="C27" s="57">
        <f>IF(months=0,0,B27/months)</f>
        <v/>
      </c>
      <c r="D27" s="57">
        <f>IF(shooting_time=0,0,B27/shooting_time)</f>
        <v/>
      </c>
      <c r="E27" s="57">
        <f>IF(projects_year=0,0,B27/projects_year)</f>
        <v/>
      </c>
      <c r="F27" s="62">
        <f>IF((CHOOSE(regime_no,'05_Расчёт'!B4,'05_Расчёт'!C4,'05_Расчёт'!D4,'05_Расчёт'!E4,'05_Расчёт'!F4,'05_Расчёт'!G4,'05_Расчёт'!H4))=0,0,B27/(CHOOSE(regime_no,'05_Расчёт'!B4,'05_Расчёт'!C4,'05_Расчёт'!D4,'05_Расчёт'!E4,'05_Расчёт'!F4,'05_Расчёт'!G4,'05_Расчёт'!H4)))</f>
        <v/>
      </c>
    </row>
    <row r="28">
      <c r="A28" t="inlineStr">
        <is>
          <t>Банк: РКО и СМС</t>
        </is>
      </c>
      <c r="B28" s="57">
        <f>var_bank</f>
        <v/>
      </c>
      <c r="C28" s="57">
        <f>IF(months=0,0,B28/months)</f>
        <v/>
      </c>
      <c r="D28" s="57">
        <f>IF(shooting_time=0,0,B28/shooting_time)</f>
        <v/>
      </c>
      <c r="E28" s="57">
        <f>IF(projects_year=0,0,B28/projects_year)</f>
        <v/>
      </c>
      <c r="F28" s="62">
        <f>IF((CHOOSE(regime_no,'05_Расчёт'!B4,'05_Расчёт'!C4,'05_Расчёт'!D4,'05_Расчёт'!E4,'05_Расчёт'!F4,'05_Расчёт'!G4,'05_Расчёт'!H4))=0,0,B28/(CHOOSE(regime_no,'05_Расчёт'!B4,'05_Расчёт'!C4,'05_Расчёт'!D4,'05_Расчёт'!E4,'05_Расчёт'!F4,'05_Расчёт'!G4,'05_Расчёт'!H4)))</f>
        <v/>
      </c>
    </row>
    <row r="29">
      <c r="A29" t="inlineStr">
        <is>
          <t>Бухгалтер (0 = веду самостоятельно)</t>
        </is>
      </c>
      <c r="B29" s="57">
        <f>var_accounting</f>
        <v/>
      </c>
      <c r="C29" s="57">
        <f>IF(months=0,0,B29/months)</f>
        <v/>
      </c>
      <c r="D29" s="57">
        <f>IF(shooting_time=0,0,B29/shooting_time)</f>
        <v/>
      </c>
      <c r="E29" s="57">
        <f>IF(projects_year=0,0,B29/projects_year)</f>
        <v/>
      </c>
      <c r="F29" s="62">
        <f>IF((CHOOSE(regime_no,'05_Расчёт'!B4,'05_Расчёт'!C4,'05_Расчёт'!D4,'05_Расчёт'!E4,'05_Расчёт'!F4,'05_Расчёт'!G4,'05_Расчёт'!H4))=0,0,B29/(CHOOSE(regime_no,'05_Расчёт'!B4,'05_Расчёт'!C4,'05_Расчёт'!D4,'05_Расчёт'!E4,'05_Расчёт'!F4,'05_Расчёт'!G4,'05_Расчёт'!H4)))</f>
        <v/>
      </c>
    </row>
    <row r="30">
      <c r="A30" t="inlineStr">
        <is>
          <t>Аренда и коммунальные</t>
        </is>
      </c>
      <c r="B30" s="57">
        <f>var_workspace</f>
        <v/>
      </c>
      <c r="C30" s="57">
        <f>IF(months=0,0,B30/months)</f>
        <v/>
      </c>
      <c r="D30" s="57">
        <f>IF(shooting_time=0,0,B30/shooting_time)</f>
        <v/>
      </c>
      <c r="E30" s="57">
        <f>IF(projects_year=0,0,B30/projects_year)</f>
        <v/>
      </c>
      <c r="F30" s="62">
        <f>IF((CHOOSE(regime_no,'05_Расчёт'!B4,'05_Расчёт'!C4,'05_Расчёт'!D4,'05_Расчёт'!E4,'05_Расчёт'!F4,'05_Расчёт'!G4,'05_Расчёт'!H4))=0,0,B30/(CHOOSE(regime_no,'05_Расчёт'!B4,'05_Расчёт'!C4,'05_Расчёт'!D4,'05_Расчёт'!E4,'05_Расчёт'!F4,'05_Расчёт'!G4,'05_Расчёт'!H4)))</f>
        <v/>
      </c>
    </row>
    <row r="31">
      <c r="A31" s="2" t="inlineStr">
        <is>
          <t>ИТОГО переменные</t>
        </is>
      </c>
      <c r="B31" s="58">
        <f>variable_costs</f>
        <v/>
      </c>
      <c r="C31" s="38">
        <f>IF(months=0,0,B31/months)</f>
        <v/>
      </c>
      <c r="D31" s="38">
        <f>IF(shooting_time=0,0,B31/shooting_time)</f>
        <v/>
      </c>
      <c r="E31" s="38">
        <f>IF(projects_year=0,0,B31/projects_year)</f>
        <v/>
      </c>
      <c r="F31" s="62">
        <f>IF((CHOOSE(regime_no,'05_Расчёт'!B4,'05_Расчёт'!C4,'05_Расчёт'!D4,'05_Расчёт'!E4,'05_Расчёт'!F4,'05_Расчёт'!G4,'05_Расчёт'!H4))=0,0,B31/(CHOOSE(regime_no,'05_Расчёт'!B4,'05_Расчёт'!C4,'05_Расчёт'!D4,'05_Расчёт'!E4,'05_Расчёт'!F4,'05_Расчёт'!G4,'05_Расчёт'!H4)))</f>
        <v/>
      </c>
    </row>
    <row r="33">
      <c r="A33" s="3" t="inlineStr">
        <is>
          <t>4 · ГОСУДАРСТВУ И БАНКУ</t>
        </is>
      </c>
    </row>
    <row r="34" ht="26" customHeight="1">
      <c r="A34" s="44" t="inlineStr">
        <is>
          <t>Статья</t>
        </is>
      </c>
      <c r="B34" s="44" t="inlineStr">
        <is>
          <t>₽/год</t>
        </is>
      </c>
      <c r="C34" s="44" t="inlineStr">
        <is>
          <t>₽/месяц</t>
        </is>
      </c>
      <c r="D34" s="44" t="inlineStr">
        <is>
          <t>₽/съём. час</t>
        </is>
      </c>
      <c r="E34" s="44" t="inlineStr">
        <is>
          <t>₽/проект</t>
        </is>
      </c>
      <c r="F34" s="44" t="inlineStr">
        <is>
          <t>доля</t>
        </is>
      </c>
      <c r="G34" s="44" t="inlineStr">
        <is>
          <t>часов/год</t>
        </is>
      </c>
    </row>
    <row r="35">
      <c r="A35" t="inlineStr">
        <is>
          <t>Налог и страховые взносы</t>
        </is>
      </c>
      <c r="B35" s="57">
        <f>CHOOSE(regime_no,'05_Расчёт'!B15,'05_Расчёт'!C15,'05_Расчёт'!D15,'05_Расчёт'!E15,'05_Расчёт'!F15,'05_Расчёт'!G15,'05_Расчёт'!H15)</f>
        <v/>
      </c>
      <c r="C35" s="57">
        <f>IF(months=0,0,B35/months)</f>
        <v/>
      </c>
      <c r="D35" s="57">
        <f>IF(shooting_time=0,0,B35/shooting_time)</f>
        <v/>
      </c>
      <c r="E35" s="57">
        <f>IF(projects_year=0,0,B35/projects_year)</f>
        <v/>
      </c>
      <c r="F35" s="62">
        <f>IF((CHOOSE(regime_no,'05_Расчёт'!B4,'05_Расчёт'!C4,'05_Расчёт'!D4,'05_Расчёт'!E4,'05_Расчёт'!F4,'05_Расчёт'!G4,'05_Расчёт'!H4))=0,0,B35/(CHOOSE(regime_no,'05_Расчёт'!B4,'05_Расчёт'!C4,'05_Расчёт'!D4,'05_Расчёт'!E4,'05_Расчёт'!F4,'05_Расчёт'!G4,'05_Расчёт'!H4)))</f>
        <v/>
      </c>
    </row>
    <row r="36">
      <c r="A36" t="inlineStr">
        <is>
          <t>Эквайринг (комиссия банка)</t>
        </is>
      </c>
      <c r="B36" s="57">
        <f>(CHOOSE(regime_no,'05_Расчёт'!B4,'05_Расчёт'!C4,'05_Расчёт'!D4,'05_Расчёт'!E4,'05_Расчёт'!F4,'05_Расчёт'!G4,'05_Расчёт'!H4))*acquiring</f>
        <v/>
      </c>
      <c r="C36" s="57">
        <f>IF(months=0,0,B36/months)</f>
        <v/>
      </c>
      <c r="D36" s="57">
        <f>IF(shooting_time=0,0,B36/shooting_time)</f>
        <v/>
      </c>
      <c r="E36" s="57">
        <f>IF(projects_year=0,0,B36/projects_year)</f>
        <v/>
      </c>
      <c r="F36" s="62">
        <f>IF((CHOOSE(regime_no,'05_Расчёт'!B4,'05_Расчёт'!C4,'05_Расчёт'!D4,'05_Расчёт'!E4,'05_Расчёт'!F4,'05_Расчёт'!G4,'05_Расчёт'!H4))=0,0,B36/(CHOOSE(regime_no,'05_Расчёт'!B4,'05_Расчёт'!C4,'05_Расчёт'!D4,'05_Расчёт'!E4,'05_Расчёт'!F4,'05_Расчёт'!G4,'05_Расчёт'!H4)))</f>
        <v/>
      </c>
    </row>
    <row r="38">
      <c r="A38" s="2" t="inlineStr">
        <is>
          <t>ВСЕГО = ВЫРУЧКА</t>
        </is>
      </c>
      <c r="B38" s="48">
        <f>CHOOSE(regime_no,'05_Расчёт'!B4,'05_Расчёт'!C4,'05_Расчёт'!D4,'05_Расчёт'!E4,'05_Расчёт'!F4,'05_Расчёт'!G4,'05_Расчёт'!H4)</f>
        <v/>
      </c>
      <c r="C38" s="48">
        <f>IF(months=0,0,B38/months)</f>
        <v/>
      </c>
      <c r="D38" s="48">
        <f>IF(shooting_time=0,0,B38/shooting_time)</f>
        <v/>
      </c>
      <c r="E38" s="48">
        <f>IF(projects_year=0,0,B38/projects_year)</f>
        <v/>
      </c>
      <c r="F38" s="50">
        <f>1</f>
        <v/>
      </c>
    </row>
    <row r="39">
      <c r="A39" s="2" t="inlineStr">
        <is>
          <t>Сверка: сумма всех статей</t>
        </is>
      </c>
      <c r="B39" s="64">
        <f>IF(ABS(B12+investment+variable_costs+B35+B36-B38)&lt;1,"OK — сходится до рубля","РАСХОЖДЕНИЕ")</f>
        <v/>
      </c>
    </row>
    <row r="41">
      <c r="A41" s="3" t="inlineStr">
        <is>
          <t>5 · ТРИ СЦЕНАРИЯ — сравните, где вы сейчас</t>
        </is>
      </c>
    </row>
    <row r="42">
      <c r="A42" s="44" t="inlineStr">
        <is>
          <t>Сценарий</t>
        </is>
      </c>
      <c r="B42" s="44" t="inlineStr">
        <is>
          <t>Ставка часа</t>
        </is>
      </c>
      <c r="C42" s="44" t="inlineStr">
        <is>
          <t>Цена проекта</t>
        </is>
      </c>
      <c r="D42" s="44" t="inlineStr">
        <is>
          <t>Выручка/год</t>
        </is>
      </c>
      <c r="E42" s="44" t="inlineStr">
        <is>
          <t>На руки/год</t>
        </is>
      </c>
      <c r="F42" s="44" t="inlineStr">
        <is>
          <t>На руки/мес</t>
        </is>
      </c>
      <c r="G42" s="44" t="inlineStr">
        <is>
          <t>% от цели</t>
        </is>
      </c>
    </row>
    <row r="43">
      <c r="A43" s="2" t="inlineStr">
        <is>
          <t>ВАША РАСЧЁТНАЯ — чтобы получать желаемое</t>
        </is>
      </c>
      <c r="B43" s="55">
        <f>(CHOOSE(regime_no,'05_Расчёт'!B4,'05_Расчёт'!C4,'05_Расчёт'!D4,'05_Расчёт'!E4,'05_Расчёт'!F4,'05_Расчёт'!G4,'05_Расчёт'!H4))/shooting_time</f>
        <v/>
      </c>
      <c r="C43" s="55">
        <f>(CHOOSE(regime_no,'05_Расчёт'!B4,'05_Расчёт'!C4,'05_Расчёт'!D4,'05_Расчёт'!E4,'05_Расчёт'!F4,'05_Расчёт'!G4,'05_Расчёт'!H4))/projects_year</f>
        <v/>
      </c>
      <c r="D43" s="55">
        <f>CHOOSE(regime_no,'05_Расчёт'!B4,'05_Расчёт'!C4,'05_Расчёт'!D4,'05_Расчёт'!E4,'05_Расчёт'!F4,'05_Расчёт'!G4,'05_Расчёт'!H4)</f>
        <v/>
      </c>
      <c r="E43" s="55">
        <f>target_income</f>
        <v/>
      </c>
      <c r="F43" s="55">
        <f>target_income/months</f>
        <v/>
      </c>
      <c r="G43" s="65">
        <f>1</f>
        <v/>
      </c>
    </row>
    <row r="44">
      <c r="A44" s="2" t="inlineStr">
        <is>
          <t>ВАША ТЕКУЩАЯ — по ней работаете сейчас</t>
        </is>
      </c>
      <c r="B44" s="66">
        <f>current_rate</f>
        <v/>
      </c>
      <c r="C44" s="66">
        <f>current_rate*shooting_time/projects_year</f>
        <v/>
      </c>
      <c r="D44" s="66">
        <f>current_rate*shooting_time</f>
        <v/>
      </c>
      <c r="E44" s="66">
        <f>(current_rate*shooting_time*(1-rate_current-acquiring)-total_costs)</f>
        <v/>
      </c>
      <c r="F44" s="66">
        <f>(current_rate*shooting_time*(1-rate_current-acquiring)-total_costs)/months</f>
        <v/>
      </c>
      <c r="G44" s="67">
        <f>(current_rate*shooting_time*(1-rate_current-acquiring)-total_costs)/target_income</f>
        <v/>
      </c>
    </row>
    <row r="45">
      <c r="A45" s="2" t="inlineStr">
        <is>
          <t>БЕЗУБЫТОЧНОСТЬ — работа в ноль</t>
        </is>
      </c>
      <c r="B45" s="68">
        <f>(CHOOSE(regime_no,'05_Расчёт'!B22,'05_Расчёт'!C22,'05_Расчёт'!D22,'05_Расчёт'!E22,'05_Расчёт'!F22,'05_Расчёт'!G22,'05_Расчёт'!H22))/shooting_time</f>
        <v/>
      </c>
      <c r="C45" s="68">
        <f>(CHOOSE(regime_no,'05_Расчёт'!B22,'05_Расчёт'!C22,'05_Расчёт'!D22,'05_Расчёт'!E22,'05_Расчёт'!F22,'05_Расчёт'!G22,'05_Расчёт'!H22))/projects_year</f>
        <v/>
      </c>
      <c r="D45" s="68">
        <f>CHOOSE(regime_no,'05_Расчёт'!B22,'05_Расчёт'!C22,'05_Расчёт'!D22,'05_Расчёт'!E22,'05_Расчёт'!F22,'05_Расчёт'!G22,'05_Расчёт'!H22)</f>
        <v/>
      </c>
      <c r="E45" s="68">
        <f>0</f>
        <v/>
      </c>
      <c r="F45" s="68">
        <f>0</f>
        <v/>
      </c>
      <c r="G45" s="69">
        <f>0</f>
        <v/>
      </c>
    </row>
    <row r="47">
      <c r="A47" s="2" t="inlineStr">
        <is>
          <t>Недополучено за год при текущей ставке</t>
        </is>
      </c>
      <c r="B47" s="54">
        <f>target_income-(current_rate*shooting_time*(1-rate_current-acquiring)-total_costs)</f>
        <v/>
      </c>
      <c r="C47" s="70" t="inlineStr">
        <is>
          <t>это ваш вклад в чужой бизнес</t>
        </is>
      </c>
    </row>
    <row r="51">
      <c r="A51" s="3" t="inlineStr">
        <is>
          <t>7 · ТРИ КАРТИНЫ ОДНОГО ЧАСА — куда уходят деньги клиента</t>
        </is>
      </c>
    </row>
    <row r="52">
      <c r="A52" s="25" t="inlineStr">
        <is>
          <t>Слева направо: сколько НУЖНО брать · сколько берёте СЕЙЧАС · минимум, чтобы не работать в убыток.</t>
        </is>
      </c>
    </row>
    <row r="54">
      <c r="A54" s="71" t="inlineStr">
        <is>
          <t>ВАША РАСЧЁТНАЯ СТАВКА</t>
        </is>
      </c>
      <c r="B54" s="72" t="n"/>
      <c r="C54" s="72" t="n"/>
      <c r="D54" s="73" t="n"/>
      <c r="F54" s="74" t="inlineStr">
        <is>
          <t>ВАША ТЕКУЩАЯ СТАВКА</t>
        </is>
      </c>
      <c r="G54" s="72" t="n"/>
      <c r="H54" s="72" t="n"/>
      <c r="I54" s="73" t="n"/>
      <c r="K54" s="75" t="inlineStr">
        <is>
          <t>РАБОТА В НОЛЬ</t>
        </is>
      </c>
      <c r="L54" s="72" t="n"/>
      <c r="M54" s="72" t="n"/>
      <c r="N54" s="73" t="n"/>
    </row>
    <row r="55">
      <c r="A55" s="76" t="inlineStr">
        <is>
          <t>Статья</t>
        </is>
      </c>
      <c r="B55" s="76" t="inlineStr">
        <is>
          <t>₽/год</t>
        </is>
      </c>
      <c r="C55" s="76" t="inlineStr">
        <is>
          <t>₽/час</t>
        </is>
      </c>
      <c r="D55" s="76" t="inlineStr">
        <is>
          <t>доля</t>
        </is>
      </c>
      <c r="F55" s="76" t="inlineStr">
        <is>
          <t>Статья</t>
        </is>
      </c>
      <c r="G55" s="76" t="inlineStr">
        <is>
          <t>₽/год</t>
        </is>
      </c>
      <c r="H55" s="76" t="inlineStr">
        <is>
          <t>₽/час</t>
        </is>
      </c>
      <c r="I55" s="76" t="inlineStr">
        <is>
          <t>доля</t>
        </is>
      </c>
      <c r="K55" s="76" t="inlineStr">
        <is>
          <t>Статья</t>
        </is>
      </c>
      <c r="L55" s="76" t="inlineStr">
        <is>
          <t>₽/год</t>
        </is>
      </c>
      <c r="M55" s="76" t="inlineStr">
        <is>
          <t>₽/час</t>
        </is>
      </c>
      <c r="N55" s="76" t="inlineStr">
        <is>
          <t>доля</t>
        </is>
      </c>
    </row>
    <row r="56">
      <c r="A56" s="5" t="inlineStr">
        <is>
          <t>Ваш доход на руки</t>
        </is>
      </c>
      <c r="B56" s="57">
        <f>MAX(0,target_income)</f>
        <v/>
      </c>
      <c r="C56" s="57">
        <f>IF(shooting_time=0,0,B56/shooting_time)</f>
        <v/>
      </c>
      <c r="D56" s="62">
        <f>IF((CHOOSE(regime_no,'05_Расчёт'!B4,'05_Расчёт'!C4,'05_Расчёт'!D4,'05_Расчёт'!E4,'05_Расчёт'!F4,'05_Расчёт'!G4,'05_Расчёт'!H4))=0,0,B56/(CHOOSE(regime_no,'05_Расчёт'!B4,'05_Расчёт'!C4,'05_Расчёт'!D4,'05_Расчёт'!E4,'05_Расчёт'!F4,'05_Расчёт'!G4,'05_Расчёт'!H4)))</f>
        <v/>
      </c>
      <c r="F56" s="5" t="inlineStr">
        <is>
          <t>Ваш доход на руки</t>
        </is>
      </c>
      <c r="G56" s="57">
        <f>MAX(0,((current_rate*shooting_time)*(1-rate_current-acquiring)-total_costs))</f>
        <v/>
      </c>
      <c r="H56" s="57">
        <f>IF(shooting_time=0,0,G56/shooting_time)</f>
        <v/>
      </c>
      <c r="I56" s="62">
        <f>IF((current_rate*shooting_time)=0,0,G56/(current_rate*shooting_time))</f>
        <v/>
      </c>
      <c r="K56" s="5" t="inlineStr">
        <is>
          <t>Ваш доход на руки</t>
        </is>
      </c>
      <c r="L56" s="57">
        <f>MAX(0,0)</f>
        <v/>
      </c>
      <c r="M56" s="57">
        <f>IF(shooting_time=0,0,L56/shooting_time)</f>
        <v/>
      </c>
      <c r="N56" s="62">
        <f>IF((CHOOSE(regime_no,'05_Расчёт'!B22,'05_Расчёт'!C22,'05_Расчёт'!D22,'05_Расчёт'!E22,'05_Расчёт'!F22,'05_Расчёт'!G22,'05_Расчёт'!H22))=0,0,L56/(CHOOSE(regime_no,'05_Расчёт'!B22,'05_Расчёт'!C22,'05_Расчёт'!D22,'05_Расчёт'!E22,'05_Расчёт'!F22,'05_Расчёт'!G22,'05_Расчёт'!H22)))</f>
        <v/>
      </c>
    </row>
    <row r="57">
      <c r="A57" s="5" t="inlineStr">
        <is>
          <t>Отложить на оборудование и обучение</t>
        </is>
      </c>
      <c r="B57" s="57">
        <f>MAX(0,investment)</f>
        <v/>
      </c>
      <c r="C57" s="57">
        <f>IF(shooting_time=0,0,B57/shooting_time)</f>
        <v/>
      </c>
      <c r="D57" s="62">
        <f>IF((CHOOSE(regime_no,'05_Расчёт'!B4,'05_Расчёт'!C4,'05_Расчёт'!D4,'05_Расчёт'!E4,'05_Расчёт'!F4,'05_Расчёт'!G4,'05_Расчёт'!H4))=0,0,B57/(CHOOSE(regime_no,'05_Расчёт'!B4,'05_Расчёт'!C4,'05_Расчёт'!D4,'05_Расчёт'!E4,'05_Расчёт'!F4,'05_Расчёт'!G4,'05_Расчёт'!H4)))</f>
        <v/>
      </c>
      <c r="F57" s="5" t="inlineStr">
        <is>
          <t>Отложить на оборудование и обучение</t>
        </is>
      </c>
      <c r="G57" s="57">
        <f>MAX(0,investment)</f>
        <v/>
      </c>
      <c r="H57" s="57">
        <f>IF(shooting_time=0,0,G57/shooting_time)</f>
        <v/>
      </c>
      <c r="I57" s="62">
        <f>IF((current_rate*shooting_time)=0,0,G57/(current_rate*shooting_time))</f>
        <v/>
      </c>
      <c r="K57" s="5" t="inlineStr">
        <is>
          <t>Отложить на оборудование и обучение</t>
        </is>
      </c>
      <c r="L57" s="57">
        <f>MAX(0,investment)</f>
        <v/>
      </c>
      <c r="M57" s="57">
        <f>IF(shooting_time=0,0,L57/shooting_time)</f>
        <v/>
      </c>
      <c r="N57" s="62">
        <f>IF((CHOOSE(regime_no,'05_Расчёт'!B22,'05_Расчёт'!C22,'05_Расчёт'!D22,'05_Расчёт'!E22,'05_Расчёт'!F22,'05_Расчёт'!G22,'05_Расчёт'!H22))=0,0,L57/(CHOOSE(regime_no,'05_Расчёт'!B22,'05_Расчёт'!C22,'05_Расчёт'!D22,'05_Расчёт'!E22,'05_Расчёт'!F22,'05_Расчёт'!G22,'05_Расчёт'!H22)))</f>
        <v/>
      </c>
    </row>
    <row r="58">
      <c r="A58" s="5" t="inlineStr">
        <is>
          <t>Регулярные расходы (реклама, аренда, ПО)</t>
        </is>
      </c>
      <c r="B58" s="57">
        <f>MAX(0,variable_costs)</f>
        <v/>
      </c>
      <c r="C58" s="57">
        <f>IF(shooting_time=0,0,B58/shooting_time)</f>
        <v/>
      </c>
      <c r="D58" s="62">
        <f>IF((CHOOSE(regime_no,'05_Расчёт'!B4,'05_Расчёт'!C4,'05_Расчёт'!D4,'05_Расчёт'!E4,'05_Расчёт'!F4,'05_Расчёт'!G4,'05_Расчёт'!H4))=0,0,B58/(CHOOSE(regime_no,'05_Расчёт'!B4,'05_Расчёт'!C4,'05_Расчёт'!D4,'05_Расчёт'!E4,'05_Расчёт'!F4,'05_Расчёт'!G4,'05_Расчёт'!H4)))</f>
        <v/>
      </c>
      <c r="F58" s="5" t="inlineStr">
        <is>
          <t>Регулярные расходы (реклама, аренда, ПО)</t>
        </is>
      </c>
      <c r="G58" s="57">
        <f>MAX(0,variable_costs)</f>
        <v/>
      </c>
      <c r="H58" s="57">
        <f>IF(shooting_time=0,0,G58/shooting_time)</f>
        <v/>
      </c>
      <c r="I58" s="62">
        <f>IF((current_rate*shooting_time)=0,0,G58/(current_rate*shooting_time))</f>
        <v/>
      </c>
      <c r="K58" s="5" t="inlineStr">
        <is>
          <t>Регулярные расходы (реклама, аренда, ПО)</t>
        </is>
      </c>
      <c r="L58" s="57">
        <f>MAX(0,variable_costs)</f>
        <v/>
      </c>
      <c r="M58" s="57">
        <f>IF(shooting_time=0,0,L58/shooting_time)</f>
        <v/>
      </c>
      <c r="N58" s="62">
        <f>IF((CHOOSE(regime_no,'05_Расчёт'!B22,'05_Расчёт'!C22,'05_Расчёт'!D22,'05_Расчёт'!E22,'05_Расчёт'!F22,'05_Расчёт'!G22,'05_Расчёт'!H22))=0,0,L58/(CHOOSE(regime_no,'05_Расчёт'!B22,'05_Расчёт'!C22,'05_Расчёт'!D22,'05_Расчёт'!E22,'05_Расчёт'!F22,'05_Расчёт'!G22,'05_Расчёт'!H22)))</f>
        <v/>
      </c>
    </row>
    <row r="59">
      <c r="A59" s="5" t="inlineStr">
        <is>
          <t>Налог и страховые взносы</t>
        </is>
      </c>
      <c r="B59" s="57">
        <f>MAX(0,(CHOOSE(regime_no,'05_Расчёт'!B4,'05_Расчёт'!C4,'05_Расчёт'!D4,'05_Расчёт'!E4,'05_Расчёт'!F4,'05_Расчёт'!G4,'05_Расчёт'!H4))*rate_current)</f>
        <v/>
      </c>
      <c r="C59" s="57">
        <f>IF(shooting_time=0,0,B59/shooting_time)</f>
        <v/>
      </c>
      <c r="D59" s="62">
        <f>IF((CHOOSE(regime_no,'05_Расчёт'!B4,'05_Расчёт'!C4,'05_Расчёт'!D4,'05_Расчёт'!E4,'05_Расчёт'!F4,'05_Расчёт'!G4,'05_Расчёт'!H4))=0,0,B59/(CHOOSE(regime_no,'05_Расчёт'!B4,'05_Расчёт'!C4,'05_Расчёт'!D4,'05_Расчёт'!E4,'05_Расчёт'!F4,'05_Расчёт'!G4,'05_Расчёт'!H4)))</f>
        <v/>
      </c>
      <c r="F59" s="5" t="inlineStr">
        <is>
          <t>Налог и страховые взносы</t>
        </is>
      </c>
      <c r="G59" s="57">
        <f>MAX(0,(current_rate*shooting_time)*rate_current)</f>
        <v/>
      </c>
      <c r="H59" s="57">
        <f>IF(shooting_time=0,0,G59/shooting_time)</f>
        <v/>
      </c>
      <c r="I59" s="62">
        <f>IF((current_rate*shooting_time)=0,0,G59/(current_rate*shooting_time))</f>
        <v/>
      </c>
      <c r="K59" s="5" t="inlineStr">
        <is>
          <t>Налог и страховые взносы</t>
        </is>
      </c>
      <c r="L59" s="57">
        <f>MAX(0,(CHOOSE(regime_no,'05_Расчёт'!B22,'05_Расчёт'!C22,'05_Расчёт'!D22,'05_Расчёт'!E22,'05_Расчёт'!F22,'05_Расчёт'!G22,'05_Расчёт'!H22))*rate_current)</f>
        <v/>
      </c>
      <c r="M59" s="57">
        <f>IF(shooting_time=0,0,L59/shooting_time)</f>
        <v/>
      </c>
      <c r="N59" s="62">
        <f>IF((CHOOSE(regime_no,'05_Расчёт'!B22,'05_Расчёт'!C22,'05_Расчёт'!D22,'05_Расчёт'!E22,'05_Расчёт'!F22,'05_Расчёт'!G22,'05_Расчёт'!H22))=0,0,L59/(CHOOSE(regime_no,'05_Расчёт'!B22,'05_Расчёт'!C22,'05_Расчёт'!D22,'05_Расчёт'!E22,'05_Расчёт'!F22,'05_Расчёт'!G22,'05_Расчёт'!H22)))</f>
        <v/>
      </c>
    </row>
    <row r="60">
      <c r="A60" s="5" t="inlineStr">
        <is>
          <t>Банку за эквайринг</t>
        </is>
      </c>
      <c r="B60" s="57">
        <f>MAX(0,(CHOOSE(regime_no,'05_Расчёт'!B4,'05_Расчёт'!C4,'05_Расчёт'!D4,'05_Расчёт'!E4,'05_Расчёт'!F4,'05_Расчёт'!G4,'05_Расчёт'!H4))*acquiring)</f>
        <v/>
      </c>
      <c r="C60" s="57">
        <f>IF(shooting_time=0,0,B60/shooting_time)</f>
        <v/>
      </c>
      <c r="D60" s="62">
        <f>IF((CHOOSE(regime_no,'05_Расчёт'!B4,'05_Расчёт'!C4,'05_Расчёт'!D4,'05_Расчёт'!E4,'05_Расчёт'!F4,'05_Расчёт'!G4,'05_Расчёт'!H4))=0,0,B60/(CHOOSE(regime_no,'05_Расчёт'!B4,'05_Расчёт'!C4,'05_Расчёт'!D4,'05_Расчёт'!E4,'05_Расчёт'!F4,'05_Расчёт'!G4,'05_Расчёт'!H4)))</f>
        <v/>
      </c>
      <c r="F60" s="5" t="inlineStr">
        <is>
          <t>Банку за эквайринг</t>
        </is>
      </c>
      <c r="G60" s="57">
        <f>MAX(0,(current_rate*shooting_time)*acquiring)</f>
        <v/>
      </c>
      <c r="H60" s="57">
        <f>IF(shooting_time=0,0,G60/shooting_time)</f>
        <v/>
      </c>
      <c r="I60" s="62">
        <f>IF((current_rate*shooting_time)=0,0,G60/(current_rate*shooting_time))</f>
        <v/>
      </c>
      <c r="K60" s="5" t="inlineStr">
        <is>
          <t>Банку за эквайринг</t>
        </is>
      </c>
      <c r="L60" s="57">
        <f>MAX(0,(CHOOSE(regime_no,'05_Расчёт'!B22,'05_Расчёт'!C22,'05_Расчёт'!D22,'05_Расчёт'!E22,'05_Расчёт'!F22,'05_Расчёт'!G22,'05_Расчёт'!H22))*acquiring)</f>
        <v/>
      </c>
      <c r="M60" s="57">
        <f>IF(shooting_time=0,0,L60/shooting_time)</f>
        <v/>
      </c>
      <c r="N60" s="62">
        <f>IF((CHOOSE(regime_no,'05_Расчёт'!B22,'05_Расчёт'!C22,'05_Расчёт'!D22,'05_Расчёт'!E22,'05_Расчёт'!F22,'05_Расчёт'!G22,'05_Расчёт'!H22))=0,0,L60/(CHOOSE(regime_no,'05_Расчёт'!B22,'05_Расчёт'!C22,'05_Расчёт'!D22,'05_Расчёт'!E22,'05_Расчёт'!F22,'05_Расчёт'!G22,'05_Расчёт'!H22)))</f>
        <v/>
      </c>
    </row>
    <row r="61">
      <c r="A61" s="77" t="inlineStr">
        <is>
          <t>ИТОГО берёте с клиента</t>
        </is>
      </c>
      <c r="B61" s="48">
        <f>(CHOOSE(regime_no,'05_Расчёт'!B4,'05_Расчёт'!C4,'05_Расчёт'!D4,'05_Расчёт'!E4,'05_Расчёт'!F4,'05_Расчёт'!G4,'05_Расчёт'!H4))</f>
        <v/>
      </c>
      <c r="C61" s="48">
        <f>IF(shooting_time=0,0,(CHOOSE(regime_no,'05_Расчёт'!B4,'05_Расчёт'!C4,'05_Расчёт'!D4,'05_Расчёт'!E4,'05_Расчёт'!F4,'05_Расчёт'!G4,'05_Расчёт'!H4))/shooting_time)</f>
        <v/>
      </c>
      <c r="D61" s="50">
        <f>1</f>
        <v/>
      </c>
      <c r="F61" s="77" t="inlineStr">
        <is>
          <t>ИТОГО берёте с клиента</t>
        </is>
      </c>
      <c r="G61" s="54">
        <f>(current_rate*shooting_time)</f>
        <v/>
      </c>
      <c r="H61" s="54">
        <f>IF(shooting_time=0,0,(current_rate*shooting_time)/shooting_time)</f>
        <v/>
      </c>
      <c r="I61" s="78">
        <f>1</f>
        <v/>
      </c>
      <c r="K61" s="77" t="inlineStr">
        <is>
          <t>ИТОГО берёте с клиента</t>
        </is>
      </c>
      <c r="L61" s="43">
        <f>(CHOOSE(regime_no,'05_Расчёт'!B22,'05_Расчёт'!C22,'05_Расчёт'!D22,'05_Расчёт'!E22,'05_Расчёт'!F22,'05_Расчёт'!G22,'05_Расчёт'!H22))</f>
        <v/>
      </c>
      <c r="M61" s="43">
        <f>IF(shooting_time=0,0,(CHOOSE(regime_no,'05_Расчёт'!B22,'05_Расчёт'!C22,'05_Расчёт'!D22,'05_Расчёт'!E22,'05_Расчёт'!F22,'05_Расчёт'!G22,'05_Расчёт'!H22))/shooting_time)</f>
        <v/>
      </c>
      <c r="N61" s="42">
        <f>1</f>
        <v/>
      </c>
    </row>
    <row r="84">
      <c r="A84" s="3" t="inlineStr">
        <is>
          <t>8 · ЧТО ЭТО ЗНАЧИТ — расшифровка простыми словами</t>
        </is>
      </c>
    </row>
    <row r="85">
      <c r="A85" s="24" t="inlineStr">
        <is>
          <t>ЗА ОДИН ЧАС СЪЁМКИ ВАМ ЗАПЛАТЯТ — И ВОТ КУДА УЙДУТ ЭТИ ДЕНЬГИ:</t>
        </is>
      </c>
    </row>
    <row r="86"/>
    <row r="87">
      <c r="A87" s="2" t="inlineStr">
        <is>
          <t>Вам заплатят за час съёмки:</t>
        </is>
      </c>
      <c r="B87" s="79">
        <f>IF(shooting_time=0,0,(CHOOSE(regime_no,'05_Расчёт'!B4,'05_Расчёт'!C4,'05_Расчёт'!D4,'05_Расчёт'!E4,'05_Расчёт'!F4,'05_Расчёт'!G4,'05_Расчёт'!H4))/shooting_time)</f>
        <v/>
      </c>
    </row>
    <row r="89">
      <c r="A89" s="2" t="inlineStr">
        <is>
          <t>Из них вы заработаете (за все свои роли)</t>
        </is>
      </c>
      <c r="B89" s="80">
        <f>IF(shooting_time=0,0,target_income/shooting_time)</f>
        <v/>
      </c>
    </row>
    <row r="90">
      <c r="A90" s="25" t="inlineStr">
        <is>
          <t>Это оплата не одного часа, а ВСЕЙ работы вокруг него. Разбивка по ролям — в таблице ниже.</t>
        </is>
      </c>
    </row>
    <row r="91">
      <c r="A91" s="2" t="inlineStr">
        <is>
          <t>Откладываете на оборудование и обучение</t>
        </is>
      </c>
      <c r="B91" s="81">
        <f>IF(shooting_time=0,0,investment/shooting_time)</f>
        <v/>
      </c>
    </row>
    <row r="92">
      <c r="A92" s="25" t="inlineStr">
        <is>
          <t>Камера, компьютер, объективы и курсы изнашиваются. Если не откладывать — через 3 года купить новое будет не на что.</t>
        </is>
      </c>
    </row>
    <row r="93">
      <c r="A93" s="2" t="inlineStr">
        <is>
          <t>Платите за рекламу, аренду и подписки</t>
        </is>
      </c>
      <c r="B93" s="82">
        <f>IF(shooting_time=0,0,variable_costs/shooting_time)</f>
        <v/>
      </c>
    </row>
    <row r="94">
      <c r="A94" s="25" t="inlineStr">
        <is>
          <t>Директ, хостинг, Adobe, доля квартиры под кабинет. Это уходит каждый месяц, даже когда съёмок нет.</t>
        </is>
      </c>
    </row>
    <row r="95">
      <c r="A95" s="2" t="inlineStr">
        <is>
          <t>Отдаёте государству</t>
        </is>
      </c>
      <c r="B95" s="83">
        <f>IF(shooting_time=0,0,(CHOOSE(regime_no,'05_Расчёт'!B4,'05_Расчёт'!C4,'05_Расчёт'!D4,'05_Расчёт'!E4,'05_Расчёт'!F4,'05_Расчёт'!G4,'05_Расчёт'!H4))*rate_current/shooting_time)</f>
        <v/>
      </c>
    </row>
    <row r="96">
      <c r="A96" s="25" t="inlineStr">
        <is>
          <t>Налог по вашему режиму и страховые взносы. Считается с оборота, а не с того, что осталось.</t>
        </is>
      </c>
    </row>
    <row r="97">
      <c r="A97" s="2" t="inlineStr">
        <is>
          <t>Отдаёте банку</t>
        </is>
      </c>
      <c r="B97" s="84">
        <f>IF(shooting_time=0,0,(CHOOSE(regime_no,'05_Расчёт'!B4,'05_Расчёт'!C4,'05_Расчёт'!D4,'05_Расчёт'!E4,'05_Расчёт'!F4,'05_Расчёт'!G4,'05_Расчёт'!H4))*acquiring/shooting_time)</f>
        <v/>
      </c>
    </row>
    <row r="98">
      <c r="A98" s="25" t="inlineStr">
        <is>
          <t>Комиссия за приём оплаты картой. Берётся с каждого поступления.</t>
        </is>
      </c>
    </row>
    <row r="100">
      <c r="A100" s="24" t="inlineStr">
        <is>
          <t>ЗА КАКИЕ РОЛИ ВЫ ЭТО ЗАРАБОТАЛИ</t>
        </is>
      </c>
    </row>
    <row r="101">
      <c r="A101" s="44" t="inlineStr">
        <is>
          <t>Роль</t>
        </is>
      </c>
      <c r="B101" s="44" t="inlineStr">
        <is>
          <t>Часов в год</t>
        </is>
      </c>
      <c r="C101" s="44" t="inlineStr">
        <is>
          <t>Часов на 1 проект</t>
        </is>
      </c>
      <c r="D101" s="44" t="inlineStr">
        <is>
          <t>Заработок ₽/год</t>
        </is>
      </c>
      <c r="E101" s="44" t="inlineStr">
        <is>
          <t>₽ с часа съёмки</t>
        </is>
      </c>
    </row>
    <row r="102">
      <c r="A102" t="inlineStr">
        <is>
          <t>ФОТОГРАФ — работа на съёмочной площадке</t>
        </is>
      </c>
      <c r="B102" s="85">
        <f>shooting_time</f>
        <v/>
      </c>
      <c r="C102" s="85">
        <f>shoot_duration</f>
        <v/>
      </c>
      <c r="D102" s="57">
        <f>(target_income/net_time)*shooting_time</f>
        <v/>
      </c>
      <c r="E102" s="57">
        <f>IF(shooting_time=0,0,(target_income/net_time)*shooting_time/shooting_time)</f>
        <v/>
      </c>
    </row>
    <row r="103">
      <c r="A103" t="inlineStr">
        <is>
          <t>РЕТУШЁР — обработка отснятого материала</t>
        </is>
      </c>
      <c r="B103" s="85">
        <f>post_time</f>
        <v/>
      </c>
      <c r="C103" s="85">
        <f>shoot_duration*post_ratio</f>
        <v/>
      </c>
      <c r="D103" s="57">
        <f>(target_income/net_time)*post_time</f>
        <v/>
      </c>
      <c r="E103" s="57">
        <f>IF(shooting_time=0,0,(target_income/net_time)*post_time/shooting_time)</f>
        <v/>
      </c>
    </row>
    <row r="104">
      <c r="A104" t="inlineStr">
        <is>
          <t>МЕНЕДЖЕР ПО ПРОДАЖАМ — переговоры, согласования</t>
        </is>
      </c>
      <c r="B104" s="85">
        <f>client_total</f>
        <v/>
      </c>
      <c r="C104" s="85">
        <f>client_time</f>
        <v/>
      </c>
      <c r="D104" s="57">
        <f>(target_income/net_time)*client_total</f>
        <v/>
      </c>
      <c r="E104" s="57">
        <f>IF(shooting_time=0,0,(target_income/net_time)*client_total/shooting_time)</f>
        <v/>
      </c>
    </row>
    <row r="105">
      <c r="A105" t="inlineStr">
        <is>
          <t>МАРКЕТОЛОГ и SMM — продвижение, соцсети, отклики</t>
        </is>
      </c>
      <c r="B105" s="85">
        <f>promo_time</f>
        <v/>
      </c>
      <c r="C105" s="85">
        <f>IF(projects_year=0,0,promo_time/projects_year)</f>
        <v/>
      </c>
      <c r="D105" s="57">
        <f>(target_income/net_time)*promo_time</f>
        <v/>
      </c>
      <c r="E105" s="57">
        <f>IF(shooting_time=0,0,(target_income/net_time)*promo_time/shooting_time)</f>
        <v/>
      </c>
    </row>
    <row r="106">
      <c r="A106" t="inlineStr">
        <is>
          <t>БУХГАЛТЕР — учёт, отчётность, налоги</t>
        </is>
      </c>
      <c r="B106" s="85">
        <f>accounting_time</f>
        <v/>
      </c>
      <c r="C106" s="85">
        <f>IF(projects_year=0,0,accounting_time/projects_year)</f>
        <v/>
      </c>
      <c r="D106" s="57">
        <f>(target_income/net_time)*accounting_time</f>
        <v/>
      </c>
      <c r="E106" s="57">
        <f>IF(shooting_time=0,0,(target_income/net_time)*accounting_time/shooting_time)</f>
        <v/>
      </c>
    </row>
    <row r="107">
      <c r="A107" t="inlineStr">
        <is>
          <t>Компенсация сорванных съёмок</t>
        </is>
      </c>
      <c r="B107" s="85">
        <f>fm_time</f>
        <v/>
      </c>
      <c r="C107" s="85">
        <f>IF(projects_year=0,0,fm_time/projects_year)</f>
        <v/>
      </c>
      <c r="D107" s="57">
        <f>(target_income/net_time)*fm_time</f>
        <v/>
      </c>
      <c r="E107" s="57">
        <f>IF(shooting_time=0,0,(target_income/net_time)*fm_time/shooting_time)</f>
        <v/>
      </c>
    </row>
    <row r="108">
      <c r="A108" s="2" t="inlineStr">
        <is>
          <t>ИТОГО за все роли</t>
        </is>
      </c>
      <c r="B108" s="86">
        <f>net_time</f>
        <v/>
      </c>
      <c r="C108" s="86">
        <f>IF(projects_year=0,0,net_time/projects_year)</f>
        <v/>
      </c>
      <c r="D108" s="48">
        <f>target_income</f>
        <v/>
      </c>
      <c r="E108" s="48">
        <f>IF(shooting_time=0,0,target_income/shooting_time)</f>
        <v/>
      </c>
    </row>
    <row r="109"/>
    <row r="110">
      <c r="A110" t="inlineStr">
        <is>
          <t>Обратите внимание: собственно ФОТОГРАФОМ вы работаете меньше всего часов. Основное время уходит</t>
        </is>
      </c>
    </row>
    <row r="111">
      <c r="A111" t="inlineStr">
        <is>
          <t>на обработку и продвижение — и всё это оплачивается из той же суммы за час съёмки.</t>
        </is>
      </c>
    </row>
    <row r="113">
      <c r="A113" s="87" t="inlineStr">
        <is>
          <t>ЕСЛИ ВЫ БЕРЁТЕ МЕНЬШЕ, ЧЕМ НУЖНО</t>
        </is>
      </c>
    </row>
    <row r="114">
      <c r="A114" s="2" t="inlineStr">
        <is>
          <t>Ваша текущая ставка</t>
        </is>
      </c>
      <c r="B114" s="66">
        <f>current_rate</f>
        <v/>
      </c>
    </row>
    <row r="115">
      <c r="A115" s="2" t="inlineStr">
        <is>
          <t>Остаётся вам на руки за год</t>
        </is>
      </c>
      <c r="B115" s="57">
        <f>MAX(0,((current_rate*shooting_time)*(1-rate_current-acquiring)-total_costs))</f>
        <v/>
      </c>
    </row>
    <row r="116">
      <c r="A116" s="2" t="inlineStr">
        <is>
          <t>Недополучено за год</t>
        </is>
      </c>
      <c r="B116" s="88">
        <f>MAX(0,target_income-((current_rate*shooting_time)*(1-rate_current-acquiring)-total_costs))</f>
        <v/>
      </c>
    </row>
    <row r="117">
      <c r="A117" s="2" t="inlineStr">
        <is>
          <t>Недополучено с каждого часа съёмки</t>
        </is>
      </c>
      <c r="B117" s="54">
        <f>IF(shooting_time=0,0,MAX(0,target_income-((current_rate*shooting_time)*(1-rate_current-acquiring)-total_costs))/shooting_time)</f>
        <v/>
      </c>
    </row>
    <row r="118"/>
    <row r="119">
      <c r="A119" t="inlineStr">
        <is>
          <t>Расходы бизнеса не уменьшаются от того, что вы взяли меньше. Аренда, реклама и амортизация</t>
        </is>
      </c>
    </row>
    <row r="120">
      <c r="A120" t="inlineStr">
        <is>
          <t>останутся прежними — сократится только ваш собственный доход. Разницу вы фактически дарите клиенту.</t>
        </is>
      </c>
    </row>
    <row r="122">
      <c r="A122" s="89" t="inlineStr">
        <is>
          <t>МИНИМУМ, НИЖЕ КОТОРОГО РАБОТАТЬ НЕЛЬЗЯ</t>
        </is>
      </c>
    </row>
    <row r="123">
      <c r="A123" s="2" t="inlineStr">
        <is>
          <t>Ставка при работе в ноль</t>
        </is>
      </c>
      <c r="B123" s="90">
        <f>IF(shooting_time=0,0,(CHOOSE(regime_no,'05_Расчёт'!B22,'05_Расчёт'!C22,'05_Расчёт'!D22,'05_Расчёт'!E22,'05_Расчёт'!F22,'05_Расчёт'!G22,'05_Расчёт'!H22))/shooting_time)</f>
        <v/>
      </c>
    </row>
    <row r="124">
      <c r="A124" s="2" t="inlineStr">
        <is>
          <t>Цена проекта при работе в ноль</t>
        </is>
      </c>
      <c r="B124" s="68">
        <f>IF(projects_year=0,0,(CHOOSE(regime_no,'05_Расчёт'!B22,'05_Расчёт'!C22,'05_Расчёт'!D22,'05_Расчёт'!E22,'05_Расчёт'!F22,'05_Расчёт'!G22,'05_Расчёт'!H22))/projects_year)</f>
        <v/>
      </c>
    </row>
    <row r="125"/>
    <row r="126">
      <c r="A126" t="inlineStr">
        <is>
          <t>При этой ставке вы покрываете расходы, налоги и откладываете на технику — но не получаете НИЧЕГО.</t>
        </is>
      </c>
    </row>
    <row r="127">
      <c r="A127" t="inlineStr">
        <is>
          <t>Всё, что ниже, означает, что вы доплачиваете за право работать.</t>
        </is>
      </c>
    </row>
    <row r="129">
      <c r="A129" s="3" t="inlineStr">
        <is>
          <t>6 · ВАША НЕДЕЛЯ — 7 дней по 24 часа. Серое: сон и отдых. Цветное: работа</t>
        </is>
      </c>
    </row>
    <row r="130">
      <c r="A130" s="25" t="inlineStr">
        <is>
          <t>Каждый квадрат = 1 час. Часы работы распределены пропорционально годовым затратам времени.</t>
        </is>
      </c>
    </row>
    <row r="131">
      <c r="A131" s="24" t="inlineStr">
        <is>
          <t>час</t>
        </is>
      </c>
      <c r="B131" s="76" t="inlineStr">
        <is>
          <t>ПН</t>
        </is>
      </c>
      <c r="C131" s="76" t="inlineStr">
        <is>
          <t>ВТ</t>
        </is>
      </c>
      <c r="D131" s="76" t="inlineStr">
        <is>
          <t>СР</t>
        </is>
      </c>
      <c r="E131" s="76" t="inlineStr">
        <is>
          <t>ЧТ</t>
        </is>
      </c>
      <c r="F131" s="76" t="inlineStr">
        <is>
          <t>ПТ</t>
        </is>
      </c>
      <c r="G131" s="76" t="inlineStr">
        <is>
          <t>СБ</t>
        </is>
      </c>
      <c r="H131" s="76" t="inlineStr">
        <is>
          <t>ВС</t>
        </is>
      </c>
    </row>
    <row r="132" ht="13" customHeight="1">
      <c r="A132" s="91" t="inlineStr">
        <is>
          <t>00:00</t>
        </is>
      </c>
      <c r="B132" s="92" t="inlineStr"/>
      <c r="C132" s="92" t="inlineStr"/>
      <c r="D132" s="92" t="inlineStr"/>
      <c r="E132" s="92" t="inlineStr"/>
      <c r="F132" s="92" t="inlineStr"/>
      <c r="G132" s="92" t="inlineStr"/>
      <c r="H132" s="92" t="inlineStr"/>
    </row>
    <row r="133" ht="13" customHeight="1">
      <c r="A133" s="91" t="inlineStr">
        <is>
          <t>01:00</t>
        </is>
      </c>
      <c r="B133" s="92" t="inlineStr"/>
      <c r="C133" s="92" t="inlineStr"/>
      <c r="D133" s="92" t="inlineStr"/>
      <c r="E133" s="92" t="inlineStr"/>
      <c r="F133" s="92" t="inlineStr"/>
      <c r="G133" s="92" t="inlineStr"/>
      <c r="H133" s="92" t="inlineStr"/>
    </row>
    <row r="134" ht="13" customHeight="1">
      <c r="A134" s="91" t="inlineStr">
        <is>
          <t>02:00</t>
        </is>
      </c>
      <c r="B134" s="92" t="inlineStr"/>
      <c r="C134" s="92" t="inlineStr"/>
      <c r="D134" s="92" t="inlineStr"/>
      <c r="E134" s="92" t="inlineStr"/>
      <c r="F134" s="92" t="inlineStr"/>
      <c r="G134" s="92" t="inlineStr"/>
      <c r="H134" s="92" t="inlineStr"/>
    </row>
    <row r="135" ht="13" customHeight="1">
      <c r="A135" s="91" t="inlineStr">
        <is>
          <t>03:00</t>
        </is>
      </c>
      <c r="B135" s="92" t="inlineStr"/>
      <c r="C135" s="92" t="inlineStr"/>
      <c r="D135" s="92" t="inlineStr"/>
      <c r="E135" s="92" t="inlineStr"/>
      <c r="F135" s="92" t="inlineStr"/>
      <c r="G135" s="92" t="inlineStr"/>
      <c r="H135" s="92" t="inlineStr"/>
    </row>
    <row r="136" ht="13" customHeight="1">
      <c r="A136" s="91" t="inlineStr">
        <is>
          <t>04:00</t>
        </is>
      </c>
      <c r="B136" s="92" t="inlineStr"/>
      <c r="C136" s="92" t="inlineStr"/>
      <c r="D136" s="92" t="inlineStr"/>
      <c r="E136" s="92" t="inlineStr"/>
      <c r="F136" s="92" t="inlineStr"/>
      <c r="G136" s="92" t="inlineStr"/>
      <c r="H136" s="92" t="inlineStr"/>
    </row>
    <row r="137" ht="13" customHeight="1">
      <c r="A137" s="91" t="inlineStr">
        <is>
          <t>05:00</t>
        </is>
      </c>
      <c r="B137" s="92" t="inlineStr"/>
      <c r="C137" s="92" t="inlineStr"/>
      <c r="D137" s="92" t="inlineStr"/>
      <c r="E137" s="92" t="inlineStr"/>
      <c r="F137" s="92" t="inlineStr"/>
      <c r="G137" s="92" t="inlineStr"/>
      <c r="H137" s="92" t="inlineStr"/>
    </row>
    <row r="138" ht="13" customHeight="1">
      <c r="A138" s="91" t="inlineStr">
        <is>
          <t>06:00</t>
        </is>
      </c>
      <c r="B138" s="92" t="inlineStr"/>
      <c r="C138" s="92" t="inlineStr"/>
      <c r="D138" s="92" t="inlineStr"/>
      <c r="E138" s="92" t="inlineStr"/>
      <c r="F138" s="92" t="inlineStr"/>
      <c r="G138" s="92" t="inlineStr"/>
      <c r="H138" s="92" t="inlineStr"/>
    </row>
    <row r="139" ht="13" customHeight="1">
      <c r="A139" s="91" t="inlineStr">
        <is>
          <t>07:00</t>
        </is>
      </c>
      <c r="B139" s="92" t="inlineStr"/>
      <c r="C139" s="92" t="inlineStr"/>
      <c r="D139" s="92" t="inlineStr"/>
      <c r="E139" s="92" t="inlineStr"/>
      <c r="F139" s="92" t="inlineStr"/>
      <c r="G139" s="92" t="inlineStr"/>
      <c r="H139" s="92" t="inlineStr"/>
    </row>
    <row r="140" ht="13" customHeight="1">
      <c r="A140" s="91" t="inlineStr">
        <is>
          <t>08:00</t>
        </is>
      </c>
      <c r="B140" s="92" t="inlineStr"/>
      <c r="C140" s="92" t="inlineStr"/>
      <c r="D140" s="92" t="inlineStr"/>
      <c r="E140" s="92" t="inlineStr"/>
      <c r="F140" s="92" t="inlineStr"/>
      <c r="G140" s="92" t="inlineStr"/>
      <c r="H140" s="92" t="inlineStr"/>
    </row>
    <row r="141" ht="13" customHeight="1">
      <c r="A141" s="91" t="inlineStr">
        <is>
          <t>09:00</t>
        </is>
      </c>
      <c r="B141" s="93" t="inlineStr"/>
      <c r="C141" s="93" t="inlineStr"/>
      <c r="D141" s="93" t="inlineStr"/>
      <c r="E141" s="93" t="inlineStr"/>
      <c r="F141" s="93" t="inlineStr"/>
      <c r="G141" s="92" t="inlineStr"/>
      <c r="H141" s="92" t="inlineStr"/>
    </row>
    <row r="142" ht="13" customHeight="1">
      <c r="A142" s="91" t="inlineStr">
        <is>
          <t>10:00</t>
        </is>
      </c>
      <c r="B142" s="93" t="inlineStr"/>
      <c r="C142" s="93" t="inlineStr"/>
      <c r="D142" s="93" t="inlineStr"/>
      <c r="E142" s="93" t="inlineStr"/>
      <c r="F142" s="93" t="inlineStr"/>
      <c r="G142" s="92" t="inlineStr"/>
      <c r="H142" s="92" t="inlineStr"/>
    </row>
    <row r="143" ht="13" customHeight="1">
      <c r="A143" s="91" t="inlineStr">
        <is>
          <t>11:00</t>
        </is>
      </c>
      <c r="B143" s="93" t="inlineStr"/>
      <c r="C143" s="93" t="inlineStr"/>
      <c r="D143" s="93" t="inlineStr"/>
      <c r="E143" s="93" t="inlineStr"/>
      <c r="F143" s="93" t="inlineStr"/>
      <c r="G143" s="92" t="inlineStr"/>
      <c r="H143" s="92" t="inlineStr"/>
    </row>
    <row r="144" ht="13" customHeight="1">
      <c r="A144" s="91" t="inlineStr">
        <is>
          <t>12:00</t>
        </is>
      </c>
      <c r="B144" s="93" t="inlineStr"/>
      <c r="C144" s="93" t="inlineStr"/>
      <c r="D144" s="93" t="inlineStr"/>
      <c r="E144" s="93" t="inlineStr"/>
      <c r="F144" s="93" t="inlineStr"/>
      <c r="G144" s="92" t="inlineStr"/>
      <c r="H144" s="92" t="inlineStr"/>
    </row>
    <row r="145" ht="13" customHeight="1">
      <c r="A145" s="91" t="inlineStr">
        <is>
          <t>13:00</t>
        </is>
      </c>
      <c r="B145" s="93" t="inlineStr"/>
      <c r="C145" s="93" t="inlineStr"/>
      <c r="D145" s="93" t="inlineStr"/>
      <c r="E145" s="93" t="inlineStr"/>
      <c r="F145" s="93" t="inlineStr"/>
      <c r="G145" s="92" t="inlineStr"/>
      <c r="H145" s="92" t="inlineStr"/>
    </row>
    <row r="146" ht="13" customHeight="1">
      <c r="A146" s="91" t="inlineStr">
        <is>
          <t>14:00</t>
        </is>
      </c>
      <c r="B146" s="93" t="inlineStr"/>
      <c r="C146" s="93" t="inlineStr"/>
      <c r="D146" s="93" t="inlineStr"/>
      <c r="E146" s="93" t="inlineStr"/>
      <c r="F146" s="93" t="inlineStr"/>
      <c r="G146" s="92" t="inlineStr"/>
      <c r="H146" s="92" t="inlineStr"/>
    </row>
    <row r="147" ht="13" customHeight="1">
      <c r="A147" s="91" t="inlineStr">
        <is>
          <t>15:00</t>
        </is>
      </c>
      <c r="B147" s="93" t="inlineStr"/>
      <c r="C147" s="93" t="inlineStr"/>
      <c r="D147" s="93" t="inlineStr"/>
      <c r="E147" s="93" t="inlineStr"/>
      <c r="F147" s="93" t="inlineStr"/>
      <c r="G147" s="92" t="inlineStr"/>
      <c r="H147" s="92" t="inlineStr"/>
    </row>
    <row r="148" ht="13" customHeight="1">
      <c r="A148" s="91" t="inlineStr">
        <is>
          <t>16:00</t>
        </is>
      </c>
      <c r="B148" s="93" t="inlineStr"/>
      <c r="C148" s="93" t="inlineStr"/>
      <c r="D148" s="93" t="inlineStr"/>
      <c r="E148" s="93" t="inlineStr"/>
      <c r="F148" s="93" t="inlineStr"/>
      <c r="G148" s="92" t="inlineStr"/>
      <c r="H148" s="92" t="inlineStr"/>
    </row>
    <row r="149" ht="13" customHeight="1">
      <c r="A149" s="91" t="inlineStr">
        <is>
          <t>17:00</t>
        </is>
      </c>
      <c r="B149" s="92" t="inlineStr"/>
      <c r="C149" s="92" t="inlineStr"/>
      <c r="D149" s="92" t="inlineStr"/>
      <c r="E149" s="92" t="inlineStr"/>
      <c r="F149" s="92" t="inlineStr"/>
      <c r="G149" s="92" t="inlineStr"/>
      <c r="H149" s="92" t="inlineStr"/>
    </row>
    <row r="150" ht="13" customHeight="1">
      <c r="A150" s="91" t="inlineStr">
        <is>
          <t>18:00</t>
        </is>
      </c>
      <c r="B150" s="92" t="inlineStr"/>
      <c r="C150" s="92" t="inlineStr"/>
      <c r="D150" s="92" t="inlineStr"/>
      <c r="E150" s="92" t="inlineStr"/>
      <c r="F150" s="92" t="inlineStr"/>
      <c r="G150" s="92" t="inlineStr"/>
      <c r="H150" s="92" t="inlineStr"/>
    </row>
    <row r="151" ht="13" customHeight="1">
      <c r="A151" s="91" t="inlineStr">
        <is>
          <t>19:00</t>
        </is>
      </c>
      <c r="B151" s="92" t="inlineStr"/>
      <c r="C151" s="92" t="inlineStr"/>
      <c r="D151" s="92" t="inlineStr"/>
      <c r="E151" s="92" t="inlineStr"/>
      <c r="F151" s="92" t="inlineStr"/>
      <c r="G151" s="92" t="inlineStr"/>
      <c r="H151" s="92" t="inlineStr"/>
    </row>
    <row r="152" ht="13" customHeight="1">
      <c r="A152" s="91" t="inlineStr">
        <is>
          <t>20:00</t>
        </is>
      </c>
      <c r="B152" s="92" t="inlineStr"/>
      <c r="C152" s="92" t="inlineStr"/>
      <c r="D152" s="92" t="inlineStr"/>
      <c r="E152" s="92" t="inlineStr"/>
      <c r="F152" s="92" t="inlineStr"/>
      <c r="G152" s="92" t="inlineStr"/>
      <c r="H152" s="92" t="inlineStr"/>
    </row>
    <row r="153" ht="13" customHeight="1">
      <c r="A153" s="91" t="inlineStr">
        <is>
          <t>21:00</t>
        </is>
      </c>
      <c r="B153" s="92" t="inlineStr"/>
      <c r="C153" s="92" t="inlineStr"/>
      <c r="D153" s="92" t="inlineStr"/>
      <c r="E153" s="92" t="inlineStr"/>
      <c r="F153" s="92" t="inlineStr"/>
      <c r="G153" s="92" t="inlineStr"/>
      <c r="H153" s="92" t="inlineStr"/>
    </row>
    <row r="154" ht="13" customHeight="1">
      <c r="A154" s="91" t="inlineStr">
        <is>
          <t>22:00</t>
        </is>
      </c>
      <c r="B154" s="92" t="inlineStr"/>
      <c r="C154" s="92" t="inlineStr"/>
      <c r="D154" s="92" t="inlineStr"/>
      <c r="E154" s="92" t="inlineStr"/>
      <c r="F154" s="92" t="inlineStr"/>
      <c r="G154" s="92" t="inlineStr"/>
      <c r="H154" s="92" t="inlineStr"/>
    </row>
    <row r="155" ht="13" customHeight="1">
      <c r="A155" s="91" t="inlineStr">
        <is>
          <t>23:00</t>
        </is>
      </c>
      <c r="B155" s="92" t="inlineStr"/>
      <c r="C155" s="92" t="inlineStr"/>
      <c r="D155" s="92" t="inlineStr"/>
      <c r="E155" s="92" t="inlineStr"/>
      <c r="F155" s="92" t="inlineStr"/>
      <c r="G155" s="92" t="inlineStr"/>
      <c r="H155" s="92" t="inlineStr"/>
    </row>
    <row r="157">
      <c r="A157" s="2" t="inlineStr">
        <is>
          <t>Легенда:</t>
        </is>
      </c>
    </row>
    <row r="158">
      <c r="A158" s="94" t="inlineStr">
        <is>
          <t>Съёмка</t>
        </is>
      </c>
      <c r="B158" s="95" t="inlineStr"/>
      <c r="C158" s="94" t="inlineStr">
        <is>
          <t>Обработка</t>
        </is>
      </c>
      <c r="D158" s="96" t="inlineStr"/>
    </row>
    <row r="159">
      <c r="A159" s="94" t="inlineStr">
        <is>
          <t>Клиент</t>
        </is>
      </c>
      <c r="B159" s="97" t="inlineStr"/>
      <c r="C159" s="94" t="inlineStr">
        <is>
          <t>Продвижение</t>
        </is>
      </c>
      <c r="D159" s="98" t="inlineStr"/>
    </row>
    <row r="160">
      <c r="A160" s="94" t="inlineStr">
        <is>
          <t>Учёт</t>
        </is>
      </c>
      <c r="B160" s="99" t="inlineStr"/>
      <c r="C160" s="94" t="inlineStr">
        <is>
          <t>Резерв</t>
        </is>
      </c>
      <c r="D160" s="100" t="inlineStr"/>
    </row>
    <row r="161">
      <c r="A161" s="94" t="inlineStr">
        <is>
          <t>Не занято</t>
        </is>
      </c>
      <c r="B161" s="93" t="inlineStr"/>
      <c r="C161" s="94" t="inlineStr">
        <is>
          <t>Отдых</t>
        </is>
      </c>
      <c r="D161" s="92" t="inlineStr"/>
    </row>
    <row r="163">
      <c r="A163" s="2" t="inlineStr">
        <is>
          <t>Часов в неделю по видам работ (из годовых величин):</t>
        </is>
      </c>
    </row>
    <row r="164">
      <c r="A164" t="inlineStr">
        <is>
          <t>Съёмка</t>
        </is>
      </c>
      <c r="B164" s="31">
        <f>IF(net_weeks=0,0,shooting_time/net_weeks)</f>
        <v/>
      </c>
    </row>
    <row r="165">
      <c r="A165" t="inlineStr">
        <is>
          <t>Обработка</t>
        </is>
      </c>
      <c r="B165" s="31">
        <f>IF(net_weeks=0,0,post_time/net_weeks)</f>
        <v/>
      </c>
    </row>
    <row r="166">
      <c r="A166" t="inlineStr">
        <is>
          <t>Работа с клиентом</t>
        </is>
      </c>
      <c r="B166" s="31">
        <f>IF(net_weeks=0,0,client_total/net_weeks)</f>
        <v/>
      </c>
    </row>
    <row r="167">
      <c r="A167" t="inlineStr">
        <is>
          <t>Продвижение</t>
        </is>
      </c>
      <c r="B167" s="31">
        <f>IF(net_weeks=0,0,promo_time/net_weeks)</f>
        <v/>
      </c>
    </row>
    <row r="168">
      <c r="A168" t="inlineStr">
        <is>
          <t>Учёт и отчётность</t>
        </is>
      </c>
      <c r="B168" s="31">
        <f>IF(net_weeks=0,0,accounting_time/net_weeks)</f>
        <v/>
      </c>
    </row>
    <row r="169">
      <c r="A169" t="inlineStr">
        <is>
          <t>Резерв</t>
        </is>
      </c>
      <c r="B169" s="31">
        <f>IF(net_weeks=0,0,fm_time/net_weeks)</f>
        <v/>
      </c>
    </row>
    <row r="170">
      <c r="A170" s="2" t="inlineStr">
        <is>
          <t>ИТОГО занято в неделю</t>
        </is>
      </c>
      <c r="B170" s="86">
        <f>IF(net_weeks=0,0,net_time/net_weeks)</f>
        <v/>
      </c>
    </row>
    <row r="171">
      <c r="A171" s="25" t="inlineStr">
        <is>
          <t>из 40 часов стандартной недели</t>
        </is>
      </c>
    </row>
  </sheetData>
  <mergeCells count="32">
    <mergeCell ref="A14:G14"/>
    <mergeCell ref="A126:G126"/>
    <mergeCell ref="A122:G122"/>
    <mergeCell ref="A109:G109"/>
    <mergeCell ref="A4:G4"/>
    <mergeCell ref="A100:G100"/>
    <mergeCell ref="A96:G96"/>
    <mergeCell ref="A125:G125"/>
    <mergeCell ref="A111:G111"/>
    <mergeCell ref="A127:G127"/>
    <mergeCell ref="A129:G129"/>
    <mergeCell ref="A92:G92"/>
    <mergeCell ref="A24:G24"/>
    <mergeCell ref="F54:I54"/>
    <mergeCell ref="A98:G98"/>
    <mergeCell ref="A51:G51"/>
    <mergeCell ref="A119:G119"/>
    <mergeCell ref="A1:G1"/>
    <mergeCell ref="K54:N54"/>
    <mergeCell ref="A94:G94"/>
    <mergeCell ref="A110:G110"/>
    <mergeCell ref="A54:D54"/>
    <mergeCell ref="A90:G90"/>
    <mergeCell ref="A41:G41"/>
    <mergeCell ref="A84:G84"/>
    <mergeCell ref="A118:G118"/>
    <mergeCell ref="A120:G120"/>
    <mergeCell ref="A2:G2"/>
    <mergeCell ref="A86:G86"/>
    <mergeCell ref="A113:G113"/>
    <mergeCell ref="A33:G33"/>
    <mergeCell ref="A85:G8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24" customWidth="1" min="4" max="4"/>
    <col width="16" customWidth="1" min="5" max="5"/>
    <col width="44" customWidth="1" min="6" max="6"/>
    <col width="30" customWidth="1" min="7" max="7"/>
  </cols>
  <sheetData>
    <row r="1">
      <c r="A1" s="1" t="inlineStr">
        <is>
          <t>07 · ИНТЕРФЕЙС — блоки и формы калькулятора</t>
        </is>
      </c>
    </row>
    <row r="3">
      <c r="A3" s="44" t="inlineStr">
        <is>
          <t>Блок</t>
        </is>
      </c>
      <c r="B3" s="44" t="inlineStr">
        <is>
          <t>Раздел</t>
        </is>
      </c>
      <c r="C3" s="44" t="inlineStr">
        <is>
          <t>Заголовок</t>
        </is>
      </c>
      <c r="D3" s="44" t="inlineStr">
        <is>
          <t>Тип поля</t>
        </is>
      </c>
      <c r="E3" s="44" t="inlineStr">
        <is>
          <t>Формы</t>
        </is>
      </c>
      <c r="F3" s="44" t="inlineStr">
        <is>
          <t>Что задаёт</t>
        </is>
      </c>
      <c r="G3" s="44" t="inlineStr">
        <is>
          <t>Параметры в 02_Параметры</t>
        </is>
      </c>
    </row>
    <row r="4">
      <c r="A4" s="6" t="inlineStr">
        <is>
          <t>Block1</t>
        </is>
      </c>
      <c r="B4" s="5" t="inlineStr">
        <is>
          <t>Section1</t>
        </is>
      </c>
      <c r="C4" s="5" t="inlineStr">
        <is>
          <t>Желаемый доход</t>
        </is>
      </c>
      <c r="D4" s="5" t="inlineStr">
        <is>
          <t>input_number</t>
        </is>
      </c>
      <c r="E4" s="5" t="inlineStr">
        <is>
          <t>—</t>
        </is>
      </c>
      <c r="F4" s="5" t="inlineStr">
        <is>
          <t>Сумма на руки в месяц</t>
        </is>
      </c>
      <c r="G4" s="6" t="inlineStr">
        <is>
          <t>income_month</t>
        </is>
      </c>
    </row>
    <row r="5">
      <c r="A5" s="6" t="inlineStr">
        <is>
          <t>Block2</t>
        </is>
      </c>
      <c r="B5" s="5" t="inlineStr">
        <is>
          <t>Section1</t>
        </is>
      </c>
      <c r="C5" s="5" t="inlineStr">
        <is>
          <t>Текущая стоимость часа</t>
        </is>
      </c>
      <c r="D5" s="5" t="inlineStr">
        <is>
          <t>input_number</t>
        </is>
      </c>
      <c r="E5" s="5" t="inlineStr">
        <is>
          <t>—</t>
        </is>
      </c>
      <c r="F5" s="5" t="inlineStr">
        <is>
          <t>Для сравнения</t>
        </is>
      </c>
      <c r="G5" s="6" t="inlineStr">
        <is>
          <t>current_rate</t>
        </is>
      </c>
    </row>
    <row r="6">
      <c r="A6" s="6" t="inlineStr">
        <is>
          <t>Block3</t>
        </is>
      </c>
      <c r="B6" s="5" t="inlineStr">
        <is>
          <t>Section1</t>
        </is>
      </c>
      <c r="C6" s="5" t="inlineStr">
        <is>
          <t>Минимальная съёмка</t>
        </is>
      </c>
      <c r="D6" s="5" t="inlineStr">
        <is>
          <t>input_number</t>
        </is>
      </c>
      <c r="E6" s="5" t="inlineStr">
        <is>
          <t>—</t>
        </is>
      </c>
      <c r="F6" s="5" t="inlineStr">
        <is>
          <t>Базовый заказ: ниже не выезжаете</t>
        </is>
      </c>
      <c r="G6" s="6" t="inlineStr">
        <is>
          <t>shoot_duration</t>
        </is>
      </c>
    </row>
    <row r="7">
      <c r="A7" s="6" t="inlineStr">
        <is>
          <t>Block3a</t>
        </is>
      </c>
      <c r="B7" s="5" t="inlineStr">
        <is>
          <t>Section1</t>
        </is>
      </c>
      <c r="C7" s="5" t="inlineStr">
        <is>
          <t>Коэффициент обработки</t>
        </is>
      </c>
      <c r="D7" s="5" t="inlineStr">
        <is>
          <t>input_number</t>
        </is>
      </c>
      <c r="E7" s="5" t="inlineStr">
        <is>
          <t>—</t>
        </is>
      </c>
      <c r="F7" s="5" t="inlineStr">
        <is>
          <t>Часов обработки на 1 час съёмки</t>
        </is>
      </c>
      <c r="G7" s="6" t="inlineStr">
        <is>
          <t>post_ratio</t>
        </is>
      </c>
    </row>
    <row r="8">
      <c r="A8" s="15" t="inlineStr">
        <is>
          <t>Block4</t>
        </is>
      </c>
      <c r="B8" s="14" t="inlineStr">
        <is>
          <t>Section1</t>
        </is>
      </c>
      <c r="C8" s="14" t="inlineStr">
        <is>
          <t>Режим налогообложения</t>
        </is>
      </c>
      <c r="D8" s="14" t="inlineStr">
        <is>
          <t>dropdown</t>
        </is>
      </c>
      <c r="E8" s="14" t="inlineStr">
        <is>
          <t>Form015, Form016</t>
        </is>
      </c>
      <c r="F8" s="14" t="inlineStr">
        <is>
          <t>ПЕРЕКЛЮЧАТЕЛЬ, 7 вариантов</t>
        </is>
      </c>
      <c r="G8" s="15" t="inlineStr">
        <is>
          <t>regime</t>
        </is>
      </c>
    </row>
    <row r="9">
      <c r="A9" s="6" t="inlineStr">
        <is>
          <t>Block5</t>
        </is>
      </c>
      <c r="B9" s="5" t="inlineStr">
        <is>
          <t>Section1</t>
        </is>
      </c>
      <c r="C9" s="5" t="inlineStr">
        <is>
          <t>Как мы считаем</t>
        </is>
      </c>
      <c r="D9" s="5" t="inlineStr">
        <is>
          <t>info_block</t>
        </is>
      </c>
      <c r="E9" s="5" t="inlineStr">
        <is>
          <t>—</t>
        </is>
      </c>
      <c r="F9" s="5" t="inlineStr">
        <is>
          <t>Пояснение</t>
        </is>
      </c>
      <c r="G9" s="6" t="inlineStr">
        <is>
          <t>—</t>
        </is>
      </c>
    </row>
    <row r="10">
      <c r="A10" s="6" t="inlineStr">
        <is>
          <t>Block6</t>
        </is>
      </c>
      <c r="B10" s="5" t="inlineStr">
        <is>
          <t>Section2</t>
        </is>
      </c>
      <c r="C10" s="5" t="inlineStr">
        <is>
          <t>Съёмочное оборудование</t>
        </is>
      </c>
      <c r="D10" s="5" t="inlineStr">
        <is>
          <t>dynamic_table</t>
        </is>
      </c>
      <c r="E10" s="5" t="inlineStr">
        <is>
          <t>Form001</t>
        </is>
      </c>
      <c r="F10" s="5" t="inlineStr">
        <is>
          <t>Список позиций</t>
        </is>
      </c>
      <c r="G10" s="6" t="inlineStr">
        <is>
          <t>dep_shoot</t>
        </is>
      </c>
    </row>
    <row r="11">
      <c r="A11" s="6" t="inlineStr">
        <is>
          <t>Block7</t>
        </is>
      </c>
      <c r="B11" s="5" t="inlineStr">
        <is>
          <t>Section2</t>
        </is>
      </c>
      <c r="C11" s="5" t="inlineStr">
        <is>
          <t>Офисное оборудование</t>
        </is>
      </c>
      <c r="D11" s="5" t="inlineStr">
        <is>
          <t>dynamic_table</t>
        </is>
      </c>
      <c r="E11" s="5" t="inlineStr">
        <is>
          <t>Form002</t>
        </is>
      </c>
      <c r="F11" s="5" t="inlineStr">
        <is>
          <t>Список позиций</t>
        </is>
      </c>
      <c r="G11" s="6" t="inlineStr">
        <is>
          <t>dep_office</t>
        </is>
      </c>
    </row>
    <row r="12">
      <c r="A12" s="6" t="inlineStr">
        <is>
          <t>Block8</t>
        </is>
      </c>
      <c r="B12" s="5" t="inlineStr">
        <is>
          <t>Section2</t>
        </is>
      </c>
      <c r="C12" s="5" t="inlineStr">
        <is>
          <t>Программное обеспечение</t>
        </is>
      </c>
      <c r="D12" s="5" t="inlineStr">
        <is>
          <t>dynamic_tables</t>
        </is>
      </c>
      <c r="E12" s="5" t="inlineStr">
        <is>
          <t>Form003, Form004</t>
        </is>
      </c>
      <c r="F12" s="5" t="inlineStr">
        <is>
          <t>Подписки и разовые</t>
        </is>
      </c>
      <c r="G12" s="6" t="inlineStr">
        <is>
          <t>var_software, dep_software</t>
        </is>
      </c>
    </row>
    <row r="13">
      <c r="A13" s="15" t="inlineStr">
        <is>
          <t>Block9</t>
        </is>
      </c>
      <c r="B13" s="14" t="inlineStr">
        <is>
          <t>Section2</t>
        </is>
      </c>
      <c r="C13" s="14" t="inlineStr">
        <is>
          <t>Рабочее место</t>
        </is>
      </c>
      <c r="D13" s="14" t="inlineStr">
        <is>
          <t>dropdown + table</t>
        </is>
      </c>
      <c r="E13" s="14" t="inlineStr">
        <is>
          <t>Form005, Form013</t>
        </is>
      </c>
      <c r="F13" s="14" t="inlineStr">
        <is>
          <t>ПЕРЕКЛЮЧАТЕЛЬ дом/аренда</t>
        </is>
      </c>
      <c r="G13" s="15" t="inlineStr">
        <is>
          <t>ws_mode, var_workspace, dep_workspace</t>
        </is>
      </c>
    </row>
    <row r="14">
      <c r="A14" s="15" t="inlineStr">
        <is>
          <t>Block10</t>
        </is>
      </c>
      <c r="B14" s="14" t="inlineStr">
        <is>
          <t>Section2</t>
        </is>
      </c>
      <c r="C14" s="14" t="inlineStr">
        <is>
          <t>Проф. обучение</t>
        </is>
      </c>
      <c r="D14" s="14" t="inlineStr">
        <is>
          <t>input_extended</t>
        </is>
      </c>
      <c r="E14" s="14" t="inlineStr">
        <is>
          <t>Form006</t>
        </is>
      </c>
      <c r="F14" s="14" t="inlineStr">
        <is>
          <t>ПЕРЕКЛЮЧАТЕЛЬ упущенной выгоды</t>
        </is>
      </c>
      <c r="G14" s="15" t="inlineStr">
        <is>
          <t>edu_mode, dep_education</t>
        </is>
      </c>
    </row>
    <row r="15">
      <c r="A15" s="6" t="inlineStr">
        <is>
          <t>Block11</t>
        </is>
      </c>
      <c r="B15" s="5" t="inlineStr">
        <is>
          <t>Section3</t>
        </is>
      </c>
      <c r="C15" s="5" t="inlineStr">
        <is>
          <t>Поиск заказов</t>
        </is>
      </c>
      <c r="D15" s="5" t="inlineStr">
        <is>
          <t>2 parts</t>
        </is>
      </c>
      <c r="E15" s="5" t="inlineStr">
        <is>
          <t>Form009, Form010</t>
        </is>
      </c>
      <c r="F15" s="5" t="inlineStr">
        <is>
          <t>Время и деньги</t>
        </is>
      </c>
      <c r="G15" s="6" t="inlineStr">
        <is>
          <t>promo_per_day, var_ads</t>
        </is>
      </c>
    </row>
    <row r="16">
      <c r="A16" s="15" t="inlineStr">
        <is>
          <t>Block12</t>
        </is>
      </c>
      <c r="B16" s="14" t="inlineStr">
        <is>
          <t>Section2</t>
        </is>
      </c>
      <c r="C16" s="14" t="inlineStr">
        <is>
          <t>Создание сайта</t>
        </is>
      </c>
      <c r="D16" s="14" t="inlineStr">
        <is>
          <t>radio + input</t>
        </is>
      </c>
      <c r="E16" s="14" t="inlineStr">
        <is>
          <t>Form014</t>
        </is>
      </c>
      <c r="F16" s="14" t="inlineStr">
        <is>
          <t>ПЕРЕКЛЮЧАТЕЛЬ сам/нанимал</t>
        </is>
      </c>
      <c r="G16" s="15" t="inlineStr">
        <is>
          <t>site_mode, dep_website, site_divisor</t>
        </is>
      </c>
    </row>
    <row r="17">
      <c r="A17" s="6" t="inlineStr">
        <is>
          <t>Block13</t>
        </is>
      </c>
      <c r="B17" s="5" t="inlineStr">
        <is>
          <t>Section4</t>
        </is>
      </c>
      <c r="C17" s="5" t="inlineStr">
        <is>
          <t>Работа с клиентом</t>
        </is>
      </c>
      <c r="D17" s="5" t="inlineStr">
        <is>
          <t>input_number</t>
        </is>
      </c>
      <c r="E17" s="5" t="inlineStr">
        <is>
          <t>Form012</t>
        </is>
      </c>
      <c r="F17" s="5" t="inlineStr">
        <is>
          <t>Часов на проект</t>
        </is>
      </c>
      <c r="G17" s="6" t="inlineStr">
        <is>
          <t>client_time</t>
        </is>
      </c>
    </row>
    <row r="18">
      <c r="A18" s="15" t="inlineStr">
        <is>
          <t>Block14</t>
        </is>
      </c>
      <c r="B18" s="14" t="inlineStr">
        <is>
          <t>Section3</t>
        </is>
      </c>
      <c r="C18" s="14" t="inlineStr">
        <is>
          <t>Учёт и планирование</t>
        </is>
      </c>
      <c r="D18" s="14" t="inlineStr">
        <is>
          <t>dropdown</t>
        </is>
      </c>
      <c r="E18" s="14" t="inlineStr">
        <is>
          <t>Form011</t>
        </is>
      </c>
      <c r="F18" s="14" t="inlineStr">
        <is>
          <t>ПЕРЕКЛЮЧАТЕЛЬ сам/бухгалтер</t>
        </is>
      </c>
      <c r="G18" s="15" t="inlineStr">
        <is>
          <t>acc_mode, var_accounting, accounting_time</t>
        </is>
      </c>
    </row>
    <row r="19">
      <c r="A19" s="15" t="inlineStr">
        <is>
          <t>Block14a</t>
        </is>
      </c>
      <c r="B19" s="14" t="inlineStr">
        <is>
          <t>Section4</t>
        </is>
      </c>
      <c r="C19" s="14" t="inlineStr">
        <is>
          <t>Резерв на форс-мажоры</t>
        </is>
      </c>
      <c r="D19" s="14" t="inlineStr">
        <is>
          <t>checkbox + input</t>
        </is>
      </c>
      <c r="E19" s="14" t="inlineStr">
        <is>
          <t>—</t>
        </is>
      </c>
      <c r="F19" s="14" t="inlineStr">
        <is>
          <t>ПЕРЕКЛЮЧАТЕЛЬ + процент, по умолчанию 5%</t>
        </is>
      </c>
      <c r="G19" s="15" t="inlineStr">
        <is>
          <t>fm_on, fm_pct, fm_time</t>
        </is>
      </c>
    </row>
    <row r="20">
      <c r="A20" s="6" t="inlineStr">
        <is>
          <t>Block15</t>
        </is>
      </c>
      <c r="B20" s="5" t="inlineStr">
        <is>
          <t>Section3</t>
        </is>
      </c>
      <c r="C20" s="5" t="inlineStr">
        <is>
          <t>Банковские расходы</t>
        </is>
      </c>
      <c r="D20" s="5" t="inlineStr">
        <is>
          <t>2 parts</t>
        </is>
      </c>
      <c r="E20" s="5" t="inlineStr">
        <is>
          <t>Form007, Form008</t>
        </is>
      </c>
      <c r="F20" s="5" t="inlineStr">
        <is>
          <t>РКО и эквайринг</t>
        </is>
      </c>
      <c r="G20" s="6" t="inlineStr">
        <is>
          <t>var_bank, acq_rate</t>
        </is>
      </c>
    </row>
    <row r="21">
      <c r="A21" s="6" t="inlineStr">
        <is>
          <t>Block16</t>
        </is>
      </c>
      <c r="B21" s="5" t="inlineStr">
        <is>
          <t>Section5</t>
        </is>
      </c>
      <c r="C21" s="5" t="inlineStr">
        <is>
          <t>Ваша ставка часа</t>
        </is>
      </c>
      <c r="D21" s="5" t="inlineStr">
        <is>
          <t>report</t>
        </is>
      </c>
      <c r="E21" s="5" t="inlineStr">
        <is>
          <t>—</t>
        </is>
      </c>
      <c r="F21" s="5" t="inlineStr">
        <is>
          <t>Вывод</t>
        </is>
      </c>
      <c r="G21" s="6" t="inlineStr">
        <is>
          <t>05_Итог</t>
        </is>
      </c>
    </row>
    <row r="22">
      <c r="A22" s="6" t="inlineStr">
        <is>
          <t>Block17</t>
        </is>
      </c>
      <c r="B22" s="5" t="inlineStr">
        <is>
          <t>Section5</t>
        </is>
      </c>
      <c r="C22" s="5" t="inlineStr">
        <is>
          <t>Сколько вы теряете</t>
        </is>
      </c>
      <c r="D22" s="5" t="inlineStr">
        <is>
          <t>report</t>
        </is>
      </c>
      <c r="E22" s="5" t="inlineStr">
        <is>
          <t>—</t>
        </is>
      </c>
      <c r="F22" s="5" t="inlineStr">
        <is>
          <t>Вывод</t>
        </is>
      </c>
      <c r="G22" s="6" t="inlineStr">
        <is>
          <t>05_Итог</t>
        </is>
      </c>
    </row>
    <row r="23">
      <c r="A23" s="6" t="inlineStr">
        <is>
          <t>Block18</t>
        </is>
      </c>
      <c r="B23" s="5" t="inlineStr">
        <is>
          <t>Section5</t>
        </is>
      </c>
      <c r="C23" s="5" t="inlineStr">
        <is>
          <t>Сравнение режимов</t>
        </is>
      </c>
      <c r="D23" s="5" t="inlineStr">
        <is>
          <t>report</t>
        </is>
      </c>
      <c r="E23" s="5" t="inlineStr">
        <is>
          <t>—</t>
        </is>
      </c>
      <c r="F23" s="5" t="inlineStr">
        <is>
          <t>Вывод</t>
        </is>
      </c>
      <c r="G23" s="6" t="inlineStr">
        <is>
          <t>04_Расчёт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3" customWidth="1" min="3" max="3"/>
    <col width="30" customWidth="1" min="4" max="4"/>
    <col width="20" customWidth="1" min="5" max="5"/>
    <col width="17" customWidth="1" min="6" max="6"/>
    <col width="10" customWidth="1" min="7" max="7"/>
    <col width="15" customWidth="1" min="8" max="8"/>
    <col width="13" customWidth="1" min="9" max="9"/>
    <col width="11" customWidth="1" min="10" max="10"/>
    <col width="26" customWidth="1" min="11" max="11"/>
    <col width="30" customWidth="1" min="12" max="12"/>
  </cols>
  <sheetData>
    <row r="1">
      <c r="A1" s="1" t="inlineStr">
        <is>
          <t>08 · UI-МАТРИЦА — точная карта интерфейса. Каждая строка = один элемент на экране</t>
        </is>
      </c>
    </row>
    <row r="2">
      <c r="A2" s="25" t="inlineStr">
        <is>
          <t>Переносится в HTML построчно. Колонки: где стоит, что за поле, какая ширина, чем управляется, куда пишет значение.</t>
        </is>
      </c>
    </row>
    <row r="4" ht="32" customHeight="1">
      <c r="A4" s="26" t="inlineStr">
        <is>
          <t>№</t>
        </is>
      </c>
      <c r="B4" s="26" t="inlineStr">
        <is>
          <t>Блок</t>
        </is>
      </c>
      <c r="C4" s="26" t="inlineStr">
        <is>
          <t>Раздел</t>
        </is>
      </c>
      <c r="D4" s="26" t="inlineStr">
        <is>
          <t>Заголовок / подпись</t>
        </is>
      </c>
      <c r="E4" s="26" t="inlineStr">
        <is>
          <t>Элемент</t>
        </is>
      </c>
      <c r="F4" s="26" t="inlineStr">
        <is>
          <t>Тип поля</t>
        </is>
      </c>
      <c r="G4" s="26" t="inlineStr">
        <is>
          <t>Ширина</t>
        </is>
      </c>
      <c r="H4" s="26" t="inlineStr">
        <is>
          <t>Значение по умолч.</t>
        </is>
      </c>
      <c r="I4" s="26" t="inlineStr">
        <is>
          <t>Ед.</t>
        </is>
      </c>
      <c r="J4" s="26" t="inlineStr">
        <is>
          <t>Форма</t>
        </is>
      </c>
      <c r="K4" s="26" t="inlineStr">
        <is>
          <t>Параметр (ID)</t>
        </is>
      </c>
      <c r="L4" s="26" t="inlineStr">
        <is>
          <t>Условие показа / блокировки</t>
        </is>
      </c>
    </row>
    <row r="5">
      <c r="A5" s="101" t="inlineStr">
        <is>
          <t>01</t>
        </is>
      </c>
      <c r="B5" s="3" t="inlineStr">
        <is>
          <t>Block1</t>
        </is>
      </c>
      <c r="C5" s="3" t="inlineStr">
        <is>
          <t>1 · О вас</t>
        </is>
      </c>
      <c r="D5" s="3" t="inlineStr">
        <is>
          <t>Ваш доход</t>
        </is>
      </c>
      <c r="E5" s="102" t="inlineStr">
        <is>
          <t>самый важный параметр — на всю ширину</t>
        </is>
      </c>
      <c r="F5" s="103" t="n"/>
      <c r="G5" s="103" t="n"/>
      <c r="H5" s="103" t="n"/>
      <c r="I5" s="103" t="n"/>
      <c r="J5" s="103" t="n"/>
      <c r="K5" s="103" t="n"/>
      <c r="L5" s="103" t="n"/>
    </row>
    <row r="6">
      <c r="A6" s="5" t="inlineStr"/>
      <c r="B6" s="5" t="inlineStr"/>
      <c r="C6" s="5" t="inlineStr"/>
      <c r="D6" s="5" t="inlineStr">
        <is>
          <t>Хочу получать на руки</t>
        </is>
      </c>
      <c r="E6" s="5" t="inlineStr">
        <is>
          <t>поле ввода</t>
        </is>
      </c>
      <c r="F6" s="6" t="inlineStr">
        <is>
          <t>input_number</t>
        </is>
      </c>
      <c r="G6" s="61" t="inlineStr">
        <is>
          <t>100%</t>
        </is>
      </c>
      <c r="H6" s="5" t="inlineStr">
        <is>
          <t>108 999</t>
        </is>
      </c>
      <c r="I6" s="5" t="inlineStr">
        <is>
          <t>₽/мес</t>
        </is>
      </c>
      <c r="J6" s="5" t="inlineStr">
        <is>
          <t>—</t>
        </is>
      </c>
      <c r="K6" s="6" t="inlineStr">
        <is>
          <t>income_month</t>
        </is>
      </c>
      <c r="L6" s="5" t="inlineStr"/>
    </row>
    <row r="7">
      <c r="A7" s="101" t="inlineStr">
        <is>
          <t>02</t>
        </is>
      </c>
      <c r="B7" s="3" t="inlineStr">
        <is>
          <t>Block4 + Block2</t>
        </is>
      </c>
      <c r="C7" s="3" t="inlineStr">
        <is>
          <t>1 · О вас</t>
        </is>
      </c>
      <c r="D7" s="3" t="inlineStr">
        <is>
          <t>Режим налогообложения и текущая ставка</t>
        </is>
      </c>
      <c r="E7" s="102" t="inlineStr">
        <is>
          <t>две колонки в одну строку</t>
        </is>
      </c>
      <c r="F7" s="103" t="n"/>
      <c r="G7" s="103" t="n"/>
      <c r="H7" s="103" t="n"/>
      <c r="I7" s="103" t="n"/>
      <c r="J7" s="103" t="n"/>
      <c r="K7" s="103" t="n"/>
      <c r="L7" s="103" t="n"/>
    </row>
    <row r="8">
      <c r="A8" s="5" t="inlineStr"/>
      <c r="B8" s="5" t="inlineStr"/>
      <c r="C8" s="5" t="inlineStr"/>
      <c r="D8" s="5" t="inlineStr">
        <is>
          <t>Ваш режим налогообложения</t>
        </is>
      </c>
      <c r="E8" s="5" t="inlineStr">
        <is>
          <t>выпадающий список</t>
        </is>
      </c>
      <c r="F8" s="6" t="inlineStr">
        <is>
          <t>select</t>
        </is>
      </c>
      <c r="G8" s="61" t="inlineStr">
        <is>
          <t>50%</t>
        </is>
      </c>
      <c r="H8" s="5" t="inlineStr">
        <is>
          <t>Самозанятый (НПД), средняя 5%</t>
        </is>
      </c>
      <c r="I8" s="5" t="inlineStr"/>
      <c r="J8" s="5" t="inlineStr">
        <is>
          <t>Form015</t>
        </is>
      </c>
      <c r="K8" s="6" t="inlineStr">
        <is>
          <t>regime</t>
        </is>
      </c>
      <c r="L8" s="5" t="inlineStr">
        <is>
          <t>7 вариантов: НПД средняя/физ/юр, УСН 6, УСН 15, АУСН 8, АУСН 20</t>
        </is>
      </c>
    </row>
    <row r="9">
      <c r="A9" s="5" t="inlineStr"/>
      <c r="B9" s="5" t="inlineStr"/>
      <c r="C9" s="5" t="inlineStr"/>
      <c r="D9" s="5" t="inlineStr">
        <is>
          <t>Моя ставка сейчас</t>
        </is>
      </c>
      <c r="E9" s="5" t="inlineStr">
        <is>
          <t>поле ввода</t>
        </is>
      </c>
      <c r="F9" s="6" t="inlineStr">
        <is>
          <t>input_number</t>
        </is>
      </c>
      <c r="G9" s="61" t="inlineStr">
        <is>
          <t>50%</t>
        </is>
      </c>
      <c r="H9" s="5" t="inlineStr">
        <is>
          <t>6 000</t>
        </is>
      </c>
      <c r="I9" s="5" t="inlineStr">
        <is>
          <t>₽/час</t>
        </is>
      </c>
      <c r="J9" s="5" t="inlineStr">
        <is>
          <t>—</t>
        </is>
      </c>
      <c r="K9" s="6" t="inlineStr">
        <is>
          <t>current_rate</t>
        </is>
      </c>
      <c r="L9" s="5" t="inlineStr">
        <is>
          <t>необязательное; если 0 — блок «сколько теряете» скрыт</t>
        </is>
      </c>
    </row>
    <row r="10">
      <c r="A10" s="101" t="inlineStr">
        <is>
          <t>03</t>
        </is>
      </c>
      <c r="B10" s="3" t="inlineStr">
        <is>
          <t>Block5</t>
        </is>
      </c>
      <c r="C10" s="3" t="inlineStr">
        <is>
          <t>1 · О вас</t>
        </is>
      </c>
      <c r="D10" s="3" t="inlineStr">
        <is>
          <t>Как мы считаем</t>
        </is>
      </c>
      <c r="E10" s="102" t="inlineStr">
        <is>
          <t>информационный блок, полей нет</t>
        </is>
      </c>
      <c r="F10" s="103" t="n"/>
      <c r="G10" s="103" t="n"/>
      <c r="H10" s="103" t="n"/>
      <c r="I10" s="103" t="n"/>
      <c r="J10" s="103" t="n"/>
      <c r="K10" s="103" t="n"/>
      <c r="L10" s="103" t="n"/>
    </row>
    <row r="11">
      <c r="A11" s="11" t="inlineStr"/>
      <c r="B11" s="11" t="inlineStr"/>
      <c r="C11" s="11" t="inlineStr"/>
      <c r="D11" s="11" t="inlineStr">
        <is>
          <t>Пояснительный текст</t>
        </is>
      </c>
      <c r="E11" s="11" t="inlineStr">
        <is>
          <t>текстовый блок</t>
        </is>
      </c>
      <c r="F11" s="12" t="inlineStr">
        <is>
          <t>info_block</t>
        </is>
      </c>
      <c r="G11" s="104" t="inlineStr">
        <is>
          <t>100%</t>
        </is>
      </c>
      <c r="H11" s="11" t="inlineStr">
        <is>
          <t>—</t>
        </is>
      </c>
      <c r="I11" s="11" t="inlineStr"/>
      <c r="J11" s="11" t="inlineStr">
        <is>
          <t>—</t>
        </is>
      </c>
      <c r="K11" s="12" t="inlineStr">
        <is>
          <t>—</t>
        </is>
      </c>
      <c r="L11" s="11" t="inlineStr">
        <is>
          <t>про отпуск, больничный, эффективные часы, почему час съёмки дороже часа работы</t>
        </is>
      </c>
    </row>
    <row r="12">
      <c r="A12" s="101" t="inlineStr">
        <is>
          <t>04</t>
        </is>
      </c>
      <c r="B12" s="3" t="inlineStr">
        <is>
          <t>Block3 + Block3a</t>
        </is>
      </c>
      <c r="C12" s="3" t="inlineStr">
        <is>
          <t>2 · Работа</t>
        </is>
      </c>
      <c r="D12" s="3" t="inlineStr">
        <is>
          <t>Как устроена ваша работа</t>
        </is>
      </c>
      <c r="E12" s="102" t="inlineStr">
        <is>
          <t>две колонки</t>
        </is>
      </c>
      <c r="F12" s="103" t="n"/>
      <c r="G12" s="103" t="n"/>
      <c r="H12" s="103" t="n"/>
      <c r="I12" s="103" t="n"/>
      <c r="J12" s="103" t="n"/>
      <c r="K12" s="103" t="n"/>
      <c r="L12" s="103" t="n"/>
    </row>
    <row r="13">
      <c r="A13" s="5" t="inlineStr"/>
      <c r="B13" s="5" t="inlineStr"/>
      <c r="C13" s="5" t="inlineStr"/>
      <c r="D13" s="5" t="inlineStr">
        <is>
          <t>Часов обработки на 1 час съёмки</t>
        </is>
      </c>
      <c r="E13" s="5" t="inlineStr">
        <is>
          <t>поле ввода</t>
        </is>
      </c>
      <c r="F13" s="6" t="inlineStr">
        <is>
          <t>input_number</t>
        </is>
      </c>
      <c r="G13" s="61" t="inlineStr">
        <is>
          <t>50%</t>
        </is>
      </c>
      <c r="H13" s="5" t="inlineStr">
        <is>
          <t>3</t>
        </is>
      </c>
      <c r="I13" s="5" t="inlineStr">
        <is>
          <t>×</t>
        </is>
      </c>
      <c r="J13" s="5" t="inlineStr">
        <is>
          <t>—</t>
        </is>
      </c>
      <c r="K13" s="6" t="inlineStr">
        <is>
          <t>post_ratio</t>
        </is>
      </c>
      <c r="L13" s="5" t="inlineStr"/>
    </row>
    <row r="14">
      <c r="A14" s="5" t="inlineStr"/>
      <c r="B14" s="5" t="inlineStr"/>
      <c r="C14" s="5" t="inlineStr"/>
      <c r="D14" s="5" t="inlineStr">
        <is>
          <t>Часов на клиента (1 проект)</t>
        </is>
      </c>
      <c r="E14" s="5" t="inlineStr">
        <is>
          <t>поле ввода</t>
        </is>
      </c>
      <c r="F14" s="6" t="inlineStr">
        <is>
          <t>input_number</t>
        </is>
      </c>
      <c r="G14" s="61" t="inlineStr">
        <is>
          <t>50%</t>
        </is>
      </c>
      <c r="H14" s="5" t="inlineStr">
        <is>
          <t>1</t>
        </is>
      </c>
      <c r="I14" s="5" t="inlineStr">
        <is>
          <t>ч</t>
        </is>
      </c>
      <c r="J14" s="5" t="inlineStr">
        <is>
          <t>Form012</t>
        </is>
      </c>
      <c r="K14" s="6" t="inlineStr">
        <is>
          <t>client_time</t>
        </is>
      </c>
      <c r="L14" s="5" t="inlineStr"/>
    </row>
    <row r="15">
      <c r="A15" s="5" t="inlineStr"/>
      <c r="B15" s="5" t="inlineStr"/>
      <c r="C15" s="5" t="inlineStr"/>
      <c r="D15" s="5" t="inlineStr">
        <is>
          <t>Продвижение</t>
        </is>
      </c>
      <c r="E15" s="5" t="inlineStr">
        <is>
          <t>поле ввода</t>
        </is>
      </c>
      <c r="F15" s="6" t="inlineStr">
        <is>
          <t>input_number</t>
        </is>
      </c>
      <c r="G15" s="61" t="inlineStr">
        <is>
          <t>50%</t>
        </is>
      </c>
      <c r="H15" s="5" t="inlineStr">
        <is>
          <t>2</t>
        </is>
      </c>
      <c r="I15" s="5" t="inlineStr">
        <is>
          <t>ч/день</t>
        </is>
      </c>
      <c r="J15" s="5" t="inlineStr">
        <is>
          <t>Form009</t>
        </is>
      </c>
      <c r="K15" s="6" t="inlineStr">
        <is>
          <t>promo_per_day</t>
        </is>
      </c>
      <c r="L15" s="5" t="inlineStr"/>
    </row>
    <row r="16">
      <c r="A16" s="5" t="inlineStr"/>
      <c r="B16" s="5" t="inlineStr"/>
      <c r="C16" s="5" t="inlineStr"/>
      <c r="D16" s="5" t="inlineStr">
        <is>
          <t>Длительность съёмки</t>
        </is>
      </c>
      <c r="E16" s="5" t="inlineStr">
        <is>
          <t>поле ввода</t>
        </is>
      </c>
      <c r="F16" s="15" t="inlineStr">
        <is>
          <t>input_number</t>
        </is>
      </c>
      <c r="G16" s="61" t="inlineStr">
        <is>
          <t>50%</t>
        </is>
      </c>
      <c r="H16" s="5" t="n">
        <v>2</v>
      </c>
      <c r="I16" s="5" t="inlineStr">
        <is>
          <t>ч</t>
        </is>
      </c>
      <c r="J16" s="5" t="inlineStr">
        <is>
          <t>—</t>
        </is>
      </c>
      <c r="K16" s="6" t="inlineStr">
        <is>
          <t>shoot_duration</t>
        </is>
      </c>
      <c r="L16" s="5" t="inlineStr">
        <is>
          <t>Активно всегда. По умолчанию 2 ч — типовой заказ</t>
        </is>
      </c>
    </row>
    <row r="17">
      <c r="A17" s="17" t="inlineStr"/>
      <c r="B17" s="17" t="inlineStr"/>
      <c r="C17" s="17" t="inlineStr"/>
      <c r="D17" s="17" t="inlineStr">
        <is>
          <t>Моя обычная съёмка</t>
        </is>
      </c>
      <c r="E17" s="17" t="inlineStr">
        <is>
          <t>поле ввода</t>
        </is>
      </c>
      <c r="F17" s="18" t="inlineStr">
        <is>
          <t>input_number</t>
        </is>
      </c>
      <c r="G17" s="105" t="inlineStr">
        <is>
          <t>50%</t>
        </is>
      </c>
      <c r="H17" s="17" t="n">
        <v>2</v>
      </c>
      <c r="I17" s="17" t="inlineStr">
        <is>
          <t>ч</t>
        </is>
      </c>
      <c r="J17" s="17" t="inlineStr">
        <is>
          <t>—</t>
        </is>
      </c>
      <c r="K17" s="18" t="inlineStr">
        <is>
          <t>shoot_manual</t>
        </is>
      </c>
      <c r="L17" s="17" t="inlineStr">
        <is>
          <t>Дублирует shoot_duration в форме. Пользователь меняет свободно</t>
        </is>
      </c>
    </row>
    <row r="18">
      <c r="A18" s="5" t="inlineStr"/>
      <c r="B18" s="5" t="inlineStr"/>
      <c r="C18" s="5" t="inlineStr"/>
      <c r="D18" s="5" t="inlineStr">
        <is>
          <t>Шаг изменения</t>
        </is>
      </c>
      <c r="E18" s="5" t="inlineStr">
        <is>
          <t>поле ввода</t>
        </is>
      </c>
      <c r="F18" s="6" t="inlineStr">
        <is>
          <t>input_number</t>
        </is>
      </c>
      <c r="G18" s="61" t="inlineStr">
        <is>
          <t>50%</t>
        </is>
      </c>
      <c r="H18" s="5" t="inlineStr">
        <is>
          <t>0,5</t>
        </is>
      </c>
      <c r="I18" s="5" t="inlineStr">
        <is>
          <t>ч</t>
        </is>
      </c>
      <c r="J18" s="5" t="inlineStr">
        <is>
          <t>—</t>
        </is>
      </c>
      <c r="K18" s="6" t="inlineStr">
        <is>
          <t>shoot_step</t>
        </is>
      </c>
      <c r="L18" s="5" t="inlineStr">
        <is>
          <t>Шаг стрелок в поле: 0,5 ч. Минимум 0,5 ч</t>
        </is>
      </c>
    </row>
    <row r="19">
      <c r="A19" s="101" t="inlineStr">
        <is>
          <t>05</t>
        </is>
      </c>
      <c r="B19" s="3" t="inlineStr">
        <is>
          <t>Block14a</t>
        </is>
      </c>
      <c r="C19" s="3" t="inlineStr">
        <is>
          <t>2 · Работа</t>
        </is>
      </c>
      <c r="D19" s="3" t="inlineStr">
        <is>
          <t>Резерв на форс-мажоры</t>
        </is>
      </c>
      <c r="E19" s="102" t="inlineStr">
        <is>
          <t>галочка активирует поле</t>
        </is>
      </c>
      <c r="F19" s="103" t="n"/>
      <c r="G19" s="103" t="n"/>
      <c r="H19" s="103" t="n"/>
      <c r="I19" s="103" t="n"/>
      <c r="J19" s="103" t="n"/>
      <c r="K19" s="103" t="n"/>
      <c r="L19" s="103" t="n"/>
    </row>
    <row r="20">
      <c r="A20" s="5" t="inlineStr"/>
      <c r="B20" s="5" t="inlineStr"/>
      <c r="C20" s="5" t="inlineStr"/>
      <c r="D20" s="5" t="inlineStr">
        <is>
          <t>Заложить время на форс-мажоры</t>
        </is>
      </c>
      <c r="E20" s="5" t="inlineStr">
        <is>
          <t>галочка</t>
        </is>
      </c>
      <c r="F20" s="15" t="inlineStr">
        <is>
          <t>checkbox</t>
        </is>
      </c>
      <c r="G20" s="61" t="inlineStr">
        <is>
          <t>100%</t>
        </is>
      </c>
      <c r="H20" s="5" t="inlineStr">
        <is>
          <t>включена</t>
        </is>
      </c>
      <c r="I20" s="5" t="inlineStr"/>
      <c r="J20" s="5" t="inlineStr">
        <is>
          <t>—</t>
        </is>
      </c>
      <c r="K20" s="6" t="inlineStr">
        <is>
          <t>fm_on</t>
        </is>
      </c>
      <c r="L20" s="5" t="inlineStr"/>
    </row>
    <row r="21">
      <c r="A21" s="17" t="inlineStr"/>
      <c r="B21" s="17" t="inlineStr"/>
      <c r="C21" s="17" t="inlineStr"/>
      <c r="D21" s="17" t="inlineStr">
        <is>
          <t>Размер резерва</t>
        </is>
      </c>
      <c r="E21" s="17" t="inlineStr">
        <is>
          <t>поле ввода</t>
        </is>
      </c>
      <c r="F21" s="18" t="inlineStr">
        <is>
          <t>input_number</t>
        </is>
      </c>
      <c r="G21" s="105" t="inlineStr">
        <is>
          <t>50%</t>
        </is>
      </c>
      <c r="H21" s="17" t="inlineStr">
        <is>
          <t>5</t>
        </is>
      </c>
      <c r="I21" s="17" t="inlineStr">
        <is>
          <t>%</t>
        </is>
      </c>
      <c r="J21" s="17" t="inlineStr">
        <is>
          <t>—</t>
        </is>
      </c>
      <c r="K21" s="18" t="inlineStr">
        <is>
          <t>fm_pct</t>
        </is>
      </c>
      <c r="L21" s="17" t="inlineStr">
        <is>
          <t>БЛОКИРУЕТСЯ, если галочка снята</t>
        </is>
      </c>
    </row>
    <row r="22">
      <c r="A22" s="101" t="inlineStr">
        <is>
          <t>06</t>
        </is>
      </c>
      <c r="B22" s="3" t="inlineStr">
        <is>
          <t>Block6</t>
        </is>
      </c>
      <c r="C22" s="3" t="inlineStr">
        <is>
          <t>3 · Инвестиции</t>
        </is>
      </c>
      <c r="D22" s="3" t="inlineStr">
        <is>
          <t>Съёмочная техника</t>
        </is>
      </c>
      <c r="E22" s="102" t="inlineStr">
        <is>
          <t>динамическая таблица, 10 строк по умолчанию</t>
        </is>
      </c>
      <c r="F22" s="103" t="n"/>
      <c r="G22" s="103" t="n"/>
      <c r="H22" s="103" t="n"/>
      <c r="I22" s="103" t="n"/>
      <c r="J22" s="103" t="n"/>
      <c r="K22" s="103" t="n"/>
      <c r="L22" s="103" t="n"/>
    </row>
    <row r="23">
      <c r="A23" s="14" t="inlineStr"/>
      <c r="B23" s="14" t="inlineStr"/>
      <c r="C23" s="14" t="inlineStr"/>
      <c r="D23" s="14" t="inlineStr">
        <is>
          <t>Не учитывать этот блок</t>
        </is>
      </c>
      <c r="E23" s="14" t="inlineStr">
        <is>
          <t>галочка</t>
        </is>
      </c>
      <c r="F23" s="15" t="inlineStr">
        <is>
          <t>checkbox</t>
        </is>
      </c>
      <c r="G23" s="106" t="inlineStr">
        <is>
          <t>авто</t>
        </is>
      </c>
      <c r="H23" s="14" t="inlineStr">
        <is>
          <t>снята</t>
        </is>
      </c>
      <c r="I23" s="14" t="inlineStr"/>
      <c r="J23" s="14" t="inlineStr">
        <is>
          <t>Form001</t>
        </is>
      </c>
      <c r="K23" s="15" t="inlineStr">
        <is>
          <t>use_Form001</t>
        </is>
      </c>
      <c r="L23" s="14" t="inlineStr">
        <is>
          <t>при включении вся амортизация блока = 0</t>
        </is>
      </c>
    </row>
    <row r="24">
      <c r="A24" s="5" t="inlineStr"/>
      <c r="B24" s="5" t="inlineStr"/>
      <c r="C24" s="5" t="inlineStr"/>
      <c r="D24" s="5" t="inlineStr">
        <is>
          <t>Заголовки таблицы</t>
        </is>
      </c>
      <c r="E24" s="5" t="inlineStr">
        <is>
          <t>шапка</t>
        </is>
      </c>
      <c r="F24" s="6" t="inlineStr">
        <is>
          <t>table_head</t>
        </is>
      </c>
      <c r="G24" s="61" t="inlineStr">
        <is>
          <t>100%</t>
        </is>
      </c>
      <c r="H24" s="5" t="inlineStr">
        <is>
          <t>Позиция · Стоимость ₽ · Срок лет · ₽/год</t>
        </is>
      </c>
      <c r="I24" s="5" t="inlineStr"/>
      <c r="J24" s="5" t="inlineStr">
        <is>
          <t>Form001</t>
        </is>
      </c>
      <c r="K24" s="6" t="inlineStr">
        <is>
          <t>—</t>
        </is>
      </c>
      <c r="L24" s="5" t="inlineStr"/>
    </row>
    <row r="25">
      <c r="A25" s="20" t="inlineStr"/>
      <c r="B25" s="20" t="inlineStr"/>
      <c r="C25" s="20" t="inlineStr"/>
      <c r="D25" s="20" t="inlineStr">
        <is>
          <t>Canon EOS R6 Mark II</t>
        </is>
      </c>
      <c r="E25" s="20" t="inlineStr">
        <is>
          <t>строка таблицы</t>
        </is>
      </c>
      <c r="F25" s="21" t="inlineStr">
        <is>
          <t>table_row</t>
        </is>
      </c>
      <c r="G25" s="107" t="inlineStr">
        <is>
          <t>—</t>
        </is>
      </c>
      <c r="H25" s="20" t="inlineStr">
        <is>
          <t>239 999 ₽ / 3 лет</t>
        </is>
      </c>
      <c r="I25" s="20" t="inlineStr"/>
      <c r="J25" s="20" t="inlineStr"/>
      <c r="K25" s="21" t="inlineStr"/>
      <c r="L25" s="20" t="inlineStr">
        <is>
          <t>удаляется крестиком</t>
        </is>
      </c>
    </row>
    <row r="26">
      <c r="A26" s="20" t="inlineStr"/>
      <c r="B26" s="20" t="inlineStr"/>
      <c r="C26" s="20" t="inlineStr"/>
      <c r="D26" s="20" t="inlineStr">
        <is>
          <t>Canon RF 24–105mm F4 L</t>
        </is>
      </c>
      <c r="E26" s="20" t="inlineStr">
        <is>
          <t>строка таблицы</t>
        </is>
      </c>
      <c r="F26" s="21" t="inlineStr">
        <is>
          <t>table_row</t>
        </is>
      </c>
      <c r="G26" s="107" t="inlineStr">
        <is>
          <t>—</t>
        </is>
      </c>
      <c r="H26" s="20" t="inlineStr">
        <is>
          <t>159 999 ₽ / 5 лет</t>
        </is>
      </c>
      <c r="I26" s="20" t="inlineStr"/>
      <c r="J26" s="20" t="inlineStr"/>
      <c r="K26" s="21" t="inlineStr"/>
      <c r="L26" s="20" t="inlineStr">
        <is>
          <t>удаляется крестиком</t>
        </is>
      </c>
    </row>
    <row r="27">
      <c r="A27" s="20" t="inlineStr"/>
      <c r="B27" s="20" t="inlineStr"/>
      <c r="C27" s="20" t="inlineStr"/>
      <c r="D27" s="20" t="inlineStr">
        <is>
          <t>Godox V1Pro C</t>
        </is>
      </c>
      <c r="E27" s="20" t="inlineStr">
        <is>
          <t>строка таблицы</t>
        </is>
      </c>
      <c r="F27" s="21" t="inlineStr">
        <is>
          <t>table_row</t>
        </is>
      </c>
      <c r="G27" s="107" t="inlineStr">
        <is>
          <t>—</t>
        </is>
      </c>
      <c r="H27" s="20" t="inlineStr">
        <is>
          <t>36 990 ₽ / 5 лет</t>
        </is>
      </c>
      <c r="I27" s="20" t="inlineStr"/>
      <c r="J27" s="20" t="inlineStr"/>
      <c r="K27" s="21" t="inlineStr"/>
      <c r="L27" s="20" t="inlineStr">
        <is>
          <t>удаляется крестиком</t>
        </is>
      </c>
    </row>
    <row r="28">
      <c r="A28" s="20" t="inlineStr"/>
      <c r="B28" s="20" t="inlineStr"/>
      <c r="C28" s="20" t="inlineStr"/>
      <c r="D28" s="20" t="inlineStr">
        <is>
          <t>Godox XPro II C</t>
        </is>
      </c>
      <c r="E28" s="20" t="inlineStr">
        <is>
          <t>строка таблицы</t>
        </is>
      </c>
      <c r="F28" s="21" t="inlineStr">
        <is>
          <t>table_row</t>
        </is>
      </c>
      <c r="G28" s="107" t="inlineStr">
        <is>
          <t>—</t>
        </is>
      </c>
      <c r="H28" s="20" t="inlineStr">
        <is>
          <t>9 355 ₽ / 5 лет</t>
        </is>
      </c>
      <c r="I28" s="20" t="inlineStr"/>
      <c r="J28" s="20" t="inlineStr"/>
      <c r="K28" s="21" t="inlineStr"/>
      <c r="L28" s="20" t="inlineStr">
        <is>
          <t>удаляется крестиком</t>
        </is>
      </c>
    </row>
    <row r="29">
      <c r="A29" s="20" t="inlineStr"/>
      <c r="B29" s="20" t="inlineStr"/>
      <c r="C29" s="20" t="inlineStr"/>
      <c r="D29" s="20" t="inlineStr">
        <is>
          <t>Аккумулятор LP-E6NH</t>
        </is>
      </c>
      <c r="E29" s="20" t="inlineStr">
        <is>
          <t>строка таблицы</t>
        </is>
      </c>
      <c r="F29" s="21" t="inlineStr">
        <is>
          <t>table_row</t>
        </is>
      </c>
      <c r="G29" s="107" t="inlineStr">
        <is>
          <t>—</t>
        </is>
      </c>
      <c r="H29" s="20" t="inlineStr">
        <is>
          <t>12 978 ₽ / 3 лет</t>
        </is>
      </c>
      <c r="I29" s="20" t="inlineStr"/>
      <c r="J29" s="20" t="inlineStr"/>
      <c r="K29" s="21" t="inlineStr"/>
      <c r="L29" s="20" t="inlineStr">
        <is>
          <t>удаляется крестиком</t>
        </is>
      </c>
    </row>
    <row r="30">
      <c r="A30" s="20" t="inlineStr"/>
      <c r="B30" s="20" t="inlineStr"/>
      <c r="C30" s="20" t="inlineStr"/>
      <c r="D30" s="20" t="inlineStr">
        <is>
          <t>SanDisk Extreme PRO 256 ГБ #1</t>
        </is>
      </c>
      <c r="E30" s="20" t="inlineStr">
        <is>
          <t>строка таблицы</t>
        </is>
      </c>
      <c r="F30" s="21" t="inlineStr">
        <is>
          <t>table_row</t>
        </is>
      </c>
      <c r="G30" s="107" t="inlineStr">
        <is>
          <t>—</t>
        </is>
      </c>
      <c r="H30" s="20" t="inlineStr">
        <is>
          <t>6 990 ₽ / 2 лет</t>
        </is>
      </c>
      <c r="I30" s="20" t="inlineStr"/>
      <c r="J30" s="20" t="inlineStr"/>
      <c r="K30" s="21" t="inlineStr"/>
      <c r="L30" s="20" t="inlineStr">
        <is>
          <t>удаляется крестиком</t>
        </is>
      </c>
    </row>
    <row r="31">
      <c r="A31" s="20" t="inlineStr"/>
      <c r="B31" s="20" t="inlineStr"/>
      <c r="C31" s="20" t="inlineStr"/>
      <c r="D31" s="20" t="inlineStr">
        <is>
          <t>SanDisk Extreme PRO 256 ГБ #2</t>
        </is>
      </c>
      <c r="E31" s="20" t="inlineStr">
        <is>
          <t>строка таблицы</t>
        </is>
      </c>
      <c r="F31" s="21" t="inlineStr">
        <is>
          <t>table_row</t>
        </is>
      </c>
      <c r="G31" s="107" t="inlineStr">
        <is>
          <t>—</t>
        </is>
      </c>
      <c r="H31" s="20" t="inlineStr">
        <is>
          <t>6 990 ₽ / 2 лет</t>
        </is>
      </c>
      <c r="I31" s="20" t="inlineStr"/>
      <c r="J31" s="20" t="inlineStr"/>
      <c r="K31" s="21" t="inlineStr"/>
      <c r="L31" s="20" t="inlineStr">
        <is>
          <t>удаляется крестиком</t>
        </is>
      </c>
    </row>
    <row r="32">
      <c r="A32" s="20" t="inlineStr"/>
      <c r="B32" s="20" t="inlineStr"/>
      <c r="C32" s="20" t="inlineStr"/>
      <c r="D32" s="20" t="inlineStr">
        <is>
          <t>Рюкзак Lowepro ProTactic</t>
        </is>
      </c>
      <c r="E32" s="20" t="inlineStr">
        <is>
          <t>строка таблицы</t>
        </is>
      </c>
      <c r="F32" s="21" t="inlineStr">
        <is>
          <t>table_row</t>
        </is>
      </c>
      <c r="G32" s="107" t="inlineStr">
        <is>
          <t>—</t>
        </is>
      </c>
      <c r="H32" s="20" t="inlineStr">
        <is>
          <t>27 962 ₽ / 7 лет</t>
        </is>
      </c>
      <c r="I32" s="20" t="inlineStr"/>
      <c r="J32" s="20" t="inlineStr"/>
      <c r="K32" s="21" t="inlineStr"/>
      <c r="L32" s="20" t="inlineStr">
        <is>
          <t>удаляется крестиком</t>
        </is>
      </c>
    </row>
    <row r="33">
      <c r="A33" s="20" t="inlineStr"/>
      <c r="B33" s="20" t="inlineStr"/>
      <c r="C33" s="20" t="inlineStr"/>
      <c r="D33" s="20" t="inlineStr">
        <is>
          <t>Godox RFT-05 отражатель</t>
        </is>
      </c>
      <c r="E33" s="20" t="inlineStr">
        <is>
          <t>строка таблицы</t>
        </is>
      </c>
      <c r="F33" s="21" t="inlineStr">
        <is>
          <t>table_row</t>
        </is>
      </c>
      <c r="G33" s="107" t="inlineStr">
        <is>
          <t>—</t>
        </is>
      </c>
      <c r="H33" s="20" t="inlineStr">
        <is>
          <t>3 000 ₽ / 5 лет</t>
        </is>
      </c>
      <c r="I33" s="20" t="inlineStr"/>
      <c r="J33" s="20" t="inlineStr"/>
      <c r="K33" s="21" t="inlineStr"/>
      <c r="L33" s="20" t="inlineStr">
        <is>
          <t>удаляется крестиком</t>
        </is>
      </c>
    </row>
    <row r="34">
      <c r="A34" s="20" t="inlineStr"/>
      <c r="B34" s="20" t="inlineStr"/>
      <c r="C34" s="20" t="inlineStr"/>
      <c r="D34" s="20" t="inlineStr">
        <is>
          <t>X-Rite ColorChecker</t>
        </is>
      </c>
      <c r="E34" s="20" t="inlineStr">
        <is>
          <t>строка таблицы</t>
        </is>
      </c>
      <c r="F34" s="21" t="inlineStr">
        <is>
          <t>table_row</t>
        </is>
      </c>
      <c r="G34" s="107" t="inlineStr">
        <is>
          <t>—</t>
        </is>
      </c>
      <c r="H34" s="20" t="inlineStr">
        <is>
          <t>5 000 ₽ / 7 лет</t>
        </is>
      </c>
      <c r="I34" s="20" t="inlineStr"/>
      <c r="J34" s="20" t="inlineStr"/>
      <c r="K34" s="21" t="inlineStr"/>
      <c r="L34" s="20" t="inlineStr">
        <is>
          <t>удаляется крестиком</t>
        </is>
      </c>
    </row>
    <row r="35">
      <c r="A35" s="5" t="inlineStr"/>
      <c r="B35" s="5" t="inlineStr"/>
      <c r="C35" s="5" t="inlineStr"/>
      <c r="D35" s="5" t="inlineStr">
        <is>
          <t>+ Добавить позицию</t>
        </is>
      </c>
      <c r="E35" s="5" t="inlineStr">
        <is>
          <t>кнопка</t>
        </is>
      </c>
      <c r="F35" s="6" t="inlineStr">
        <is>
          <t>button_add</t>
        </is>
      </c>
      <c r="G35" s="61" t="inlineStr">
        <is>
          <t>авто</t>
        </is>
      </c>
      <c r="H35" s="5" t="inlineStr">
        <is>
          <t>—</t>
        </is>
      </c>
      <c r="I35" s="5" t="inlineStr"/>
      <c r="J35" s="5" t="inlineStr">
        <is>
          <t>Form001</t>
        </is>
      </c>
      <c r="K35" s="6" t="inlineStr">
        <is>
          <t>—</t>
        </is>
      </c>
      <c r="L35" s="5" t="inlineStr">
        <is>
          <t>добавляет пустую строку</t>
        </is>
      </c>
    </row>
    <row r="36">
      <c r="A36" s="108" t="inlineStr"/>
      <c r="B36" s="108" t="inlineStr"/>
      <c r="C36" s="108" t="inlineStr"/>
      <c r="D36" s="108" t="inlineStr">
        <is>
          <t>Итого амортизация</t>
        </is>
      </c>
      <c r="E36" s="108" t="inlineStr">
        <is>
          <t>строка итога</t>
        </is>
      </c>
      <c r="F36" s="109" t="inlineStr">
        <is>
          <t>calc_row</t>
        </is>
      </c>
      <c r="G36" s="110" t="inlineStr">
        <is>
          <t>100%</t>
        </is>
      </c>
      <c r="H36" s="108" t="inlineStr">
        <is>
          <t>137 893,32</t>
        </is>
      </c>
      <c r="I36" s="108" t="inlineStr">
        <is>
          <t>₽/год</t>
        </is>
      </c>
      <c r="J36" s="108" t="inlineStr">
        <is>
          <t>Form001</t>
        </is>
      </c>
      <c r="K36" s="109" t="inlineStr">
        <is>
          <t>dep_shoot</t>
        </is>
      </c>
      <c r="L36" s="108" t="inlineStr"/>
    </row>
    <row r="37">
      <c r="A37" s="101" t="inlineStr">
        <is>
          <t>07</t>
        </is>
      </c>
      <c r="B37" s="3" t="inlineStr">
        <is>
          <t>Block7</t>
        </is>
      </c>
      <c r="C37" s="3" t="inlineStr">
        <is>
          <t>3 · Инвестиции</t>
        </is>
      </c>
      <c r="D37" s="3" t="inlineStr">
        <is>
          <t>Офисная техника</t>
        </is>
      </c>
      <c r="E37" s="102" t="inlineStr">
        <is>
          <t>динамическая таблица, 9 строк</t>
        </is>
      </c>
      <c r="F37" s="103" t="n"/>
      <c r="G37" s="103" t="n"/>
      <c r="H37" s="103" t="n"/>
      <c r="I37" s="103" t="n"/>
      <c r="J37" s="103" t="n"/>
      <c r="K37" s="103" t="n"/>
      <c r="L37" s="103" t="n"/>
    </row>
    <row r="38">
      <c r="A38" s="14" t="inlineStr"/>
      <c r="B38" s="14" t="inlineStr"/>
      <c r="C38" s="14" t="inlineStr"/>
      <c r="D38" s="14" t="inlineStr">
        <is>
          <t>Не учитывать этот блок</t>
        </is>
      </c>
      <c r="E38" s="14" t="inlineStr">
        <is>
          <t>галочка</t>
        </is>
      </c>
      <c r="F38" s="15" t="inlineStr">
        <is>
          <t>checkbox</t>
        </is>
      </c>
      <c r="G38" s="106" t="inlineStr">
        <is>
          <t>авто</t>
        </is>
      </c>
      <c r="H38" s="14" t="inlineStr">
        <is>
          <t>снята</t>
        </is>
      </c>
      <c r="I38" s="14" t="inlineStr"/>
      <c r="J38" s="14" t="inlineStr">
        <is>
          <t>Form002</t>
        </is>
      </c>
      <c r="K38" s="15" t="inlineStr">
        <is>
          <t>use_Form002</t>
        </is>
      </c>
      <c r="L38" s="14" t="inlineStr"/>
    </row>
    <row r="39">
      <c r="A39" s="5" t="inlineStr"/>
      <c r="B39" s="5" t="inlineStr"/>
      <c r="C39" s="5" t="inlineStr"/>
      <c r="D39" s="5" t="inlineStr">
        <is>
          <t>Заголовки таблицы</t>
        </is>
      </c>
      <c r="E39" s="5" t="inlineStr">
        <is>
          <t>шапка</t>
        </is>
      </c>
      <c r="F39" s="6" t="inlineStr">
        <is>
          <t>table_head</t>
        </is>
      </c>
      <c r="G39" s="61" t="inlineStr">
        <is>
          <t>100%</t>
        </is>
      </c>
      <c r="H39" s="5" t="inlineStr">
        <is>
          <t>Позиция · Стоимость ₽ · Срок лет · ₽/год</t>
        </is>
      </c>
      <c r="I39" s="5" t="inlineStr"/>
      <c r="J39" s="5" t="inlineStr">
        <is>
          <t>Form002</t>
        </is>
      </c>
      <c r="K39" s="6" t="inlineStr">
        <is>
          <t>—</t>
        </is>
      </c>
      <c r="L39" s="5" t="inlineStr"/>
    </row>
    <row r="40">
      <c r="A40" s="20" t="inlineStr"/>
      <c r="B40" s="20" t="inlineStr"/>
      <c r="C40" s="20" t="inlineStr"/>
      <c r="D40" s="20" t="inlineStr">
        <is>
          <t>Системный блок</t>
        </is>
      </c>
      <c r="E40" s="20" t="inlineStr">
        <is>
          <t>строка таблицы</t>
        </is>
      </c>
      <c r="F40" s="21" t="inlineStr">
        <is>
          <t>table_row</t>
        </is>
      </c>
      <c r="G40" s="107" t="inlineStr">
        <is>
          <t>—</t>
        </is>
      </c>
      <c r="H40" s="20" t="inlineStr">
        <is>
          <t>180 000 ₽ / 5 лет</t>
        </is>
      </c>
      <c r="I40" s="20" t="inlineStr"/>
      <c r="J40" s="20" t="inlineStr"/>
      <c r="K40" s="21" t="inlineStr"/>
      <c r="L40" s="20" t="inlineStr">
        <is>
          <t>удаляется крестиком</t>
        </is>
      </c>
    </row>
    <row r="41">
      <c r="A41" s="20" t="inlineStr"/>
      <c r="B41" s="20" t="inlineStr"/>
      <c r="C41" s="20" t="inlineStr"/>
      <c r="D41" s="20" t="inlineStr">
        <is>
          <t>Монитор ASUS ProArt</t>
        </is>
      </c>
      <c r="E41" s="20" t="inlineStr">
        <is>
          <t>строка таблицы</t>
        </is>
      </c>
      <c r="F41" s="21" t="inlineStr">
        <is>
          <t>table_row</t>
        </is>
      </c>
      <c r="G41" s="107" t="inlineStr">
        <is>
          <t>—</t>
        </is>
      </c>
      <c r="H41" s="20" t="inlineStr">
        <is>
          <t>55 000 ₽ / 5 лет</t>
        </is>
      </c>
      <c r="I41" s="20" t="inlineStr"/>
      <c r="J41" s="20" t="inlineStr"/>
      <c r="K41" s="21" t="inlineStr"/>
      <c r="L41" s="20" t="inlineStr">
        <is>
          <t>удаляется крестиком</t>
        </is>
      </c>
    </row>
    <row r="42">
      <c r="A42" s="20" t="inlineStr"/>
      <c r="B42" s="20" t="inlineStr"/>
      <c r="C42" s="20" t="inlineStr"/>
      <c r="D42" s="20" t="inlineStr">
        <is>
          <t>Calibrite ColorChecker</t>
        </is>
      </c>
      <c r="E42" s="20" t="inlineStr">
        <is>
          <t>строка таблицы</t>
        </is>
      </c>
      <c r="F42" s="21" t="inlineStr">
        <is>
          <t>table_row</t>
        </is>
      </c>
      <c r="G42" s="107" t="inlineStr">
        <is>
          <t>—</t>
        </is>
      </c>
      <c r="H42" s="20" t="inlineStr">
        <is>
          <t>30 000 ₽ / 5 лет</t>
        </is>
      </c>
      <c r="I42" s="20" t="inlineStr"/>
      <c r="J42" s="20" t="inlineStr"/>
      <c r="K42" s="21" t="inlineStr"/>
      <c r="L42" s="20" t="inlineStr">
        <is>
          <t>удаляется крестиком</t>
        </is>
      </c>
    </row>
    <row r="43">
      <c r="A43" s="20" t="inlineStr"/>
      <c r="B43" s="20" t="inlineStr"/>
      <c r="C43" s="20" t="inlineStr"/>
      <c r="D43" s="20" t="inlineStr">
        <is>
          <t>Колонки Logitech Z207</t>
        </is>
      </c>
      <c r="E43" s="20" t="inlineStr">
        <is>
          <t>строка таблицы</t>
        </is>
      </c>
      <c r="F43" s="21" t="inlineStr">
        <is>
          <t>table_row</t>
        </is>
      </c>
      <c r="G43" s="107" t="inlineStr">
        <is>
          <t>—</t>
        </is>
      </c>
      <c r="H43" s="20" t="inlineStr">
        <is>
          <t>5 000 ₽ / 5 лет</t>
        </is>
      </c>
      <c r="I43" s="20" t="inlineStr"/>
      <c r="J43" s="20" t="inlineStr"/>
      <c r="K43" s="21" t="inlineStr"/>
      <c r="L43" s="20" t="inlineStr">
        <is>
          <t>удаляется крестиком</t>
        </is>
      </c>
    </row>
    <row r="44">
      <c r="A44" s="20" t="inlineStr"/>
      <c r="B44" s="20" t="inlineStr"/>
      <c r="C44" s="20" t="inlineStr"/>
      <c r="D44" s="20" t="inlineStr">
        <is>
          <t>Клавиатура Logitech K380</t>
        </is>
      </c>
      <c r="E44" s="20" t="inlineStr">
        <is>
          <t>строка таблицы</t>
        </is>
      </c>
      <c r="F44" s="21" t="inlineStr">
        <is>
          <t>table_row</t>
        </is>
      </c>
      <c r="G44" s="107" t="inlineStr">
        <is>
          <t>—</t>
        </is>
      </c>
      <c r="H44" s="20" t="inlineStr">
        <is>
          <t>3 500 ₽ / 7 лет</t>
        </is>
      </c>
      <c r="I44" s="20" t="inlineStr"/>
      <c r="J44" s="20" t="inlineStr"/>
      <c r="K44" s="21" t="inlineStr"/>
      <c r="L44" s="20" t="inlineStr">
        <is>
          <t>удаляется крестиком</t>
        </is>
      </c>
    </row>
    <row r="45">
      <c r="A45" s="20" t="inlineStr"/>
      <c r="B45" s="20" t="inlineStr"/>
      <c r="C45" s="20" t="inlineStr"/>
      <c r="D45" s="20" t="inlineStr">
        <is>
          <t>Мышь Logitech M650</t>
        </is>
      </c>
      <c r="E45" s="20" t="inlineStr">
        <is>
          <t>строка таблицы</t>
        </is>
      </c>
      <c r="F45" s="21" t="inlineStr">
        <is>
          <t>table_row</t>
        </is>
      </c>
      <c r="G45" s="107" t="inlineStr">
        <is>
          <t>—</t>
        </is>
      </c>
      <c r="H45" s="20" t="inlineStr">
        <is>
          <t>4 000 ₽ / 3 лет</t>
        </is>
      </c>
      <c r="I45" s="20" t="inlineStr"/>
      <c r="J45" s="20" t="inlineStr"/>
      <c r="K45" s="21" t="inlineStr"/>
      <c r="L45" s="20" t="inlineStr">
        <is>
          <t>удаляется крестиком</t>
        </is>
      </c>
    </row>
    <row r="46">
      <c r="A46" s="20" t="inlineStr"/>
      <c r="B46" s="20" t="inlineStr"/>
      <c r="C46" s="20" t="inlineStr"/>
      <c r="D46" s="20" t="inlineStr">
        <is>
          <t>Веб-камера Logitech Brio</t>
        </is>
      </c>
      <c r="E46" s="20" t="inlineStr">
        <is>
          <t>строка таблицы</t>
        </is>
      </c>
      <c r="F46" s="21" t="inlineStr">
        <is>
          <t>table_row</t>
        </is>
      </c>
      <c r="G46" s="107" t="inlineStr">
        <is>
          <t>—</t>
        </is>
      </c>
      <c r="H46" s="20" t="inlineStr">
        <is>
          <t>15 999 ₽ / 5 лет</t>
        </is>
      </c>
      <c r="I46" s="20" t="inlineStr"/>
      <c r="J46" s="20" t="inlineStr"/>
      <c r="K46" s="21" t="inlineStr"/>
      <c r="L46" s="20" t="inlineStr">
        <is>
          <t>удаляется крестиком</t>
        </is>
      </c>
    </row>
    <row r="47">
      <c r="A47" s="20" t="inlineStr"/>
      <c r="B47" s="20" t="inlineStr"/>
      <c r="C47" s="20" t="inlineStr"/>
      <c r="D47" s="20" t="inlineStr">
        <is>
          <t>Микрофон FIFINE K669B</t>
        </is>
      </c>
      <c r="E47" s="20" t="inlineStr">
        <is>
          <t>строка таблицы</t>
        </is>
      </c>
      <c r="F47" s="21" t="inlineStr">
        <is>
          <t>table_row</t>
        </is>
      </c>
      <c r="G47" s="107" t="inlineStr">
        <is>
          <t>—</t>
        </is>
      </c>
      <c r="H47" s="20" t="inlineStr">
        <is>
          <t>3 500 ₽ / 5 лет</t>
        </is>
      </c>
      <c r="I47" s="20" t="inlineStr"/>
      <c r="J47" s="20" t="inlineStr"/>
      <c r="K47" s="21" t="inlineStr"/>
      <c r="L47" s="20" t="inlineStr">
        <is>
          <t>удаляется крестиком</t>
        </is>
      </c>
    </row>
    <row r="48">
      <c r="A48" s="20" t="inlineStr"/>
      <c r="B48" s="20" t="inlineStr"/>
      <c r="C48" s="20" t="inlineStr"/>
      <c r="D48" s="20" t="inlineStr">
        <is>
          <t>Принтер Canon PIXMA G640</t>
        </is>
      </c>
      <c r="E48" s="20" t="inlineStr">
        <is>
          <t>строка таблицы</t>
        </is>
      </c>
      <c r="F48" s="21" t="inlineStr">
        <is>
          <t>table_row</t>
        </is>
      </c>
      <c r="G48" s="107" t="inlineStr">
        <is>
          <t>—</t>
        </is>
      </c>
      <c r="H48" s="20" t="inlineStr">
        <is>
          <t>29 999 ₽ / 5 лет</t>
        </is>
      </c>
      <c r="I48" s="20" t="inlineStr"/>
      <c r="J48" s="20" t="inlineStr"/>
      <c r="K48" s="21" t="inlineStr"/>
      <c r="L48" s="20" t="inlineStr">
        <is>
          <t>удаляется крестиком</t>
        </is>
      </c>
    </row>
    <row r="49">
      <c r="A49" s="5" t="inlineStr"/>
      <c r="B49" s="5" t="inlineStr"/>
      <c r="C49" s="5" t="inlineStr"/>
      <c r="D49" s="5" t="inlineStr">
        <is>
          <t>+ Добавить позицию</t>
        </is>
      </c>
      <c r="E49" s="5" t="inlineStr">
        <is>
          <t>кнопка</t>
        </is>
      </c>
      <c r="F49" s="6" t="inlineStr">
        <is>
          <t>button_add</t>
        </is>
      </c>
      <c r="G49" s="61" t="inlineStr">
        <is>
          <t>авто</t>
        </is>
      </c>
      <c r="H49" s="5" t="inlineStr">
        <is>
          <t>—</t>
        </is>
      </c>
      <c r="I49" s="5" t="inlineStr"/>
      <c r="J49" s="5" t="inlineStr">
        <is>
          <t>Form002</t>
        </is>
      </c>
      <c r="K49" s="6" t="inlineStr">
        <is>
          <t>—</t>
        </is>
      </c>
      <c r="L49" s="5" t="inlineStr"/>
    </row>
    <row r="50">
      <c r="A50" s="108" t="inlineStr"/>
      <c r="B50" s="108" t="inlineStr"/>
      <c r="C50" s="108" t="inlineStr"/>
      <c r="D50" s="108" t="inlineStr">
        <is>
          <t>Итого амортизация</t>
        </is>
      </c>
      <c r="E50" s="108" t="inlineStr">
        <is>
          <t>строка итога</t>
        </is>
      </c>
      <c r="F50" s="109" t="inlineStr">
        <is>
          <t>calc_row</t>
        </is>
      </c>
      <c r="G50" s="110" t="inlineStr">
        <is>
          <t>100%</t>
        </is>
      </c>
      <c r="H50" s="108" t="inlineStr">
        <is>
          <t>65 732,93</t>
        </is>
      </c>
      <c r="I50" s="108" t="inlineStr">
        <is>
          <t>₽/год</t>
        </is>
      </c>
      <c r="J50" s="108" t="inlineStr">
        <is>
          <t>Form002</t>
        </is>
      </c>
      <c r="K50" s="109" t="inlineStr">
        <is>
          <t>dep_office</t>
        </is>
      </c>
      <c r="L50" s="108" t="inlineStr"/>
    </row>
    <row r="51">
      <c r="A51" s="101" t="inlineStr">
        <is>
          <t>08</t>
        </is>
      </c>
      <c r="B51" s="3" t="inlineStr">
        <is>
          <t>Block8</t>
        </is>
      </c>
      <c r="C51" s="3" t="inlineStr">
        <is>
          <t>3 · Инвестиции</t>
        </is>
      </c>
      <c r="D51" s="3" t="inlineStr">
        <is>
          <t>Программное обеспечение</t>
        </is>
      </c>
      <c r="E51" s="102" t="inlineStr">
        <is>
          <t>ДВЕ таблицы в одном блоке</t>
        </is>
      </c>
      <c r="F51" s="103" t="n"/>
      <c r="G51" s="103" t="n"/>
      <c r="H51" s="103" t="n"/>
      <c r="I51" s="103" t="n"/>
      <c r="J51" s="103" t="n"/>
      <c r="K51" s="103" t="n"/>
      <c r="L51" s="103" t="n"/>
    </row>
    <row r="52">
      <c r="A52" s="14" t="inlineStr"/>
      <c r="B52" s="14" t="inlineStr"/>
      <c r="C52" s="14" t="inlineStr"/>
      <c r="D52" s="14" t="inlineStr">
        <is>
          <t>Не учитывать этот блок</t>
        </is>
      </c>
      <c r="E52" s="14" t="inlineStr">
        <is>
          <t>галочка</t>
        </is>
      </c>
      <c r="F52" s="15" t="inlineStr">
        <is>
          <t>checkbox</t>
        </is>
      </c>
      <c r="G52" s="106" t="inlineStr">
        <is>
          <t>авто</t>
        </is>
      </c>
      <c r="H52" s="14" t="inlineStr">
        <is>
          <t>снята</t>
        </is>
      </c>
      <c r="I52" s="14" t="inlineStr"/>
      <c r="J52" s="14" t="inlineStr">
        <is>
          <t>Form003, Form004</t>
        </is>
      </c>
      <c r="K52" s="15" t="inlineStr">
        <is>
          <t>use_Form008</t>
        </is>
      </c>
      <c r="L52" s="14" t="inlineStr"/>
    </row>
    <row r="53">
      <c r="A53" s="5" t="inlineStr"/>
      <c r="B53" s="5" t="inlineStr"/>
      <c r="C53" s="5" t="inlineStr"/>
      <c r="D53" s="5" t="inlineStr">
        <is>
          <t>— Подписки (платятся регулярно)</t>
        </is>
      </c>
      <c r="E53" s="5" t="inlineStr">
        <is>
          <t>подзаголовок</t>
        </is>
      </c>
      <c r="F53" s="6" t="inlineStr">
        <is>
          <t>subhead</t>
        </is>
      </c>
      <c r="G53" s="61" t="inlineStr">
        <is>
          <t>100%</t>
        </is>
      </c>
      <c r="H53" s="5" t="inlineStr"/>
      <c r="I53" s="5" t="inlineStr"/>
      <c r="J53" s="5" t="inlineStr">
        <is>
          <t>Form003</t>
        </is>
      </c>
      <c r="K53" s="6" t="inlineStr">
        <is>
          <t>—</t>
        </is>
      </c>
      <c r="L53" s="5" t="inlineStr"/>
    </row>
    <row r="54">
      <c r="A54" s="5" t="inlineStr"/>
      <c r="B54" s="5" t="inlineStr"/>
      <c r="C54" s="5" t="inlineStr"/>
      <c r="D54" s="5" t="inlineStr">
        <is>
          <t>Заголовки</t>
        </is>
      </c>
      <c r="E54" s="5" t="inlineStr">
        <is>
          <t>шапка</t>
        </is>
      </c>
      <c r="F54" s="6" t="inlineStr">
        <is>
          <t>table_head</t>
        </is>
      </c>
      <c r="G54" s="61" t="inlineStr">
        <is>
          <t>100%</t>
        </is>
      </c>
      <c r="H54" s="5" t="inlineStr">
        <is>
          <t>Позиция · Стоимость ₽ · Период · ₽/год</t>
        </is>
      </c>
      <c r="I54" s="5" t="inlineStr"/>
      <c r="J54" s="5" t="inlineStr">
        <is>
          <t>Form003</t>
        </is>
      </c>
      <c r="K54" s="6" t="inlineStr">
        <is>
          <t>—</t>
        </is>
      </c>
      <c r="L54" s="5" t="inlineStr"/>
    </row>
    <row r="55">
      <c r="A55" s="20" t="inlineStr"/>
      <c r="B55" s="20" t="inlineStr"/>
      <c r="C55" s="20" t="inlineStr"/>
      <c r="D55" s="20" t="inlineStr">
        <is>
          <t>Adobe CC Photography</t>
        </is>
      </c>
      <c r="E55" s="20" t="inlineStr">
        <is>
          <t>строка таблицы</t>
        </is>
      </c>
      <c r="F55" s="21" t="inlineStr">
        <is>
          <t>table_row</t>
        </is>
      </c>
      <c r="G55" s="107" t="inlineStr">
        <is>
          <t>—</t>
        </is>
      </c>
      <c r="H55" s="20" t="inlineStr">
        <is>
          <t xml:space="preserve">2 000 ₽ / Месяц </t>
        </is>
      </c>
      <c r="I55" s="20" t="inlineStr"/>
      <c r="J55" s="20" t="inlineStr"/>
      <c r="K55" s="21" t="inlineStr"/>
      <c r="L55" s="20" t="inlineStr">
        <is>
          <t>удаляется крестиком</t>
        </is>
      </c>
    </row>
    <row r="56">
      <c r="A56" s="20" t="inlineStr"/>
      <c r="B56" s="20" t="inlineStr"/>
      <c r="C56" s="20" t="inlineStr"/>
      <c r="D56" s="20" t="inlineStr">
        <is>
          <t>Яндекс Диск 1 ТБ</t>
        </is>
      </c>
      <c r="E56" s="20" t="inlineStr">
        <is>
          <t>строка таблицы</t>
        </is>
      </c>
      <c r="F56" s="21" t="inlineStr">
        <is>
          <t>table_row</t>
        </is>
      </c>
      <c r="G56" s="107" t="inlineStr">
        <is>
          <t>—</t>
        </is>
      </c>
      <c r="H56" s="20" t="inlineStr">
        <is>
          <t xml:space="preserve">250 ₽ / Месяц </t>
        </is>
      </c>
      <c r="I56" s="20" t="inlineStr"/>
      <c r="J56" s="20" t="inlineStr"/>
      <c r="K56" s="21" t="inlineStr"/>
      <c r="L56" s="20" t="inlineStr">
        <is>
          <t>удаляется крестиком</t>
        </is>
      </c>
    </row>
    <row r="57">
      <c r="A57" s="5" t="inlineStr"/>
      <c r="B57" s="5" t="inlineStr"/>
      <c r="C57" s="5" t="inlineStr"/>
      <c r="D57" s="5" t="inlineStr">
        <is>
          <t>+ Добавить подписку</t>
        </is>
      </c>
      <c r="E57" s="5" t="inlineStr">
        <is>
          <t>кнопка</t>
        </is>
      </c>
      <c r="F57" s="6" t="inlineStr">
        <is>
          <t>button_add</t>
        </is>
      </c>
      <c r="G57" s="61" t="inlineStr">
        <is>
          <t>авто</t>
        </is>
      </c>
      <c r="H57" s="5" t="inlineStr">
        <is>
          <t>—</t>
        </is>
      </c>
      <c r="I57" s="5" t="inlineStr"/>
      <c r="J57" s="5" t="inlineStr">
        <is>
          <t>Form003</t>
        </is>
      </c>
      <c r="K57" s="6" t="inlineStr">
        <is>
          <t>—</t>
        </is>
      </c>
      <c r="L57" s="5" t="inlineStr"/>
    </row>
    <row r="58">
      <c r="A58" s="108" t="inlineStr"/>
      <c r="B58" s="108" t="inlineStr"/>
      <c r="C58" s="108" t="inlineStr"/>
      <c r="D58" s="108" t="inlineStr">
        <is>
          <t>Итого подписки</t>
        </is>
      </c>
      <c r="E58" s="108" t="inlineStr">
        <is>
          <t>строка итога</t>
        </is>
      </c>
      <c r="F58" s="109" t="inlineStr">
        <is>
          <t>calc_row</t>
        </is>
      </c>
      <c r="G58" s="110" t="inlineStr">
        <is>
          <t>100%</t>
        </is>
      </c>
      <c r="H58" s="108" t="inlineStr">
        <is>
          <t>27 000</t>
        </is>
      </c>
      <c r="I58" s="108" t="inlineStr">
        <is>
          <t>₽/год</t>
        </is>
      </c>
      <c r="J58" s="108" t="inlineStr">
        <is>
          <t>Form003</t>
        </is>
      </c>
      <c r="K58" s="109" t="inlineStr">
        <is>
          <t>var_software</t>
        </is>
      </c>
      <c r="L58" s="108" t="inlineStr"/>
    </row>
    <row r="59">
      <c r="A59" s="5" t="inlineStr"/>
      <c r="B59" s="5" t="inlineStr"/>
      <c r="C59" s="5" t="inlineStr"/>
      <c r="D59" s="5" t="inlineStr">
        <is>
          <t>— Разовые покупки (амортизируются)</t>
        </is>
      </c>
      <c r="E59" s="5" t="inlineStr">
        <is>
          <t>подзаголовок</t>
        </is>
      </c>
      <c r="F59" s="6" t="inlineStr">
        <is>
          <t>subhead</t>
        </is>
      </c>
      <c r="G59" s="61" t="inlineStr">
        <is>
          <t>100%</t>
        </is>
      </c>
      <c r="H59" s="5" t="inlineStr"/>
      <c r="I59" s="5" t="inlineStr"/>
      <c r="J59" s="5" t="inlineStr">
        <is>
          <t>Form004</t>
        </is>
      </c>
      <c r="K59" s="6" t="inlineStr">
        <is>
          <t>—</t>
        </is>
      </c>
      <c r="L59" s="5" t="inlineStr"/>
    </row>
    <row r="60">
      <c r="A60" s="5" t="inlineStr"/>
      <c r="B60" s="5" t="inlineStr"/>
      <c r="C60" s="5" t="inlineStr"/>
      <c r="D60" s="5" t="inlineStr">
        <is>
          <t>Заголовки</t>
        </is>
      </c>
      <c r="E60" s="5" t="inlineStr">
        <is>
          <t>шапка</t>
        </is>
      </c>
      <c r="F60" s="6" t="inlineStr">
        <is>
          <t>table_head</t>
        </is>
      </c>
      <c r="G60" s="61" t="inlineStr">
        <is>
          <t>100%</t>
        </is>
      </c>
      <c r="H60" s="5" t="inlineStr">
        <is>
          <t>Позиция · Стоимость ₽ · Срок лет · ₽/год</t>
        </is>
      </c>
      <c r="I60" s="5" t="inlineStr"/>
      <c r="J60" s="5" t="inlineStr">
        <is>
          <t>Form004</t>
        </is>
      </c>
      <c r="K60" s="6" t="inlineStr">
        <is>
          <t>—</t>
        </is>
      </c>
      <c r="L60" s="5" t="inlineStr"/>
    </row>
    <row r="61">
      <c r="A61" s="20" t="inlineStr"/>
      <c r="B61" s="20" t="inlineStr"/>
      <c r="C61" s="20" t="inlineStr"/>
      <c r="D61" s="20" t="inlineStr">
        <is>
          <t>Retouch4me Heal</t>
        </is>
      </c>
      <c r="E61" s="20" t="inlineStr">
        <is>
          <t>строка таблицы</t>
        </is>
      </c>
      <c r="F61" s="21" t="inlineStr">
        <is>
          <t>table_row</t>
        </is>
      </c>
      <c r="G61" s="107" t="inlineStr">
        <is>
          <t>—</t>
        </is>
      </c>
      <c r="H61" s="20" t="inlineStr">
        <is>
          <t>6 900 ₽ / 3 лет</t>
        </is>
      </c>
      <c r="I61" s="20" t="inlineStr"/>
      <c r="J61" s="20" t="inlineStr"/>
      <c r="K61" s="21" t="inlineStr"/>
      <c r="L61" s="20" t="inlineStr">
        <is>
          <t>удаляется крестиком</t>
        </is>
      </c>
    </row>
    <row r="62">
      <c r="A62" s="20" t="inlineStr"/>
      <c r="B62" s="20" t="inlineStr"/>
      <c r="C62" s="20" t="inlineStr"/>
      <c r="D62" s="20" t="inlineStr">
        <is>
          <t>Retouch4me Dodge &amp; Burn</t>
        </is>
      </c>
      <c r="E62" s="20" t="inlineStr">
        <is>
          <t>строка таблицы</t>
        </is>
      </c>
      <c r="F62" s="21" t="inlineStr">
        <is>
          <t>table_row</t>
        </is>
      </c>
      <c r="G62" s="107" t="inlineStr">
        <is>
          <t>—</t>
        </is>
      </c>
      <c r="H62" s="20" t="inlineStr">
        <is>
          <t>6 900 ₽ / 3 лет</t>
        </is>
      </c>
      <c r="I62" s="20" t="inlineStr"/>
      <c r="J62" s="20" t="inlineStr"/>
      <c r="K62" s="21" t="inlineStr"/>
      <c r="L62" s="20" t="inlineStr">
        <is>
          <t>удаляется крестиком</t>
        </is>
      </c>
    </row>
    <row r="63">
      <c r="A63" s="20" t="inlineStr"/>
      <c r="B63" s="20" t="inlineStr"/>
      <c r="C63" s="20" t="inlineStr"/>
      <c r="D63" s="20" t="inlineStr">
        <is>
          <t>Retouch4me Fabric</t>
        </is>
      </c>
      <c r="E63" s="20" t="inlineStr">
        <is>
          <t>строка таблицы</t>
        </is>
      </c>
      <c r="F63" s="21" t="inlineStr">
        <is>
          <t>table_row</t>
        </is>
      </c>
      <c r="G63" s="107" t="inlineStr">
        <is>
          <t>—</t>
        </is>
      </c>
      <c r="H63" s="20" t="inlineStr">
        <is>
          <t>6 900 ₽ / 3 лет</t>
        </is>
      </c>
      <c r="I63" s="20" t="inlineStr"/>
      <c r="J63" s="20" t="inlineStr"/>
      <c r="K63" s="21" t="inlineStr"/>
      <c r="L63" s="20" t="inlineStr">
        <is>
          <t>удаляется крестиком</t>
        </is>
      </c>
    </row>
    <row r="64">
      <c r="A64" s="20" t="inlineStr"/>
      <c r="B64" s="20" t="inlineStr"/>
      <c r="C64" s="20" t="inlineStr"/>
      <c r="D64" s="20" t="inlineStr">
        <is>
          <t>Retouch4me Clean Backdrop</t>
        </is>
      </c>
      <c r="E64" s="20" t="inlineStr">
        <is>
          <t>строка таблицы</t>
        </is>
      </c>
      <c r="F64" s="21" t="inlineStr">
        <is>
          <t>table_row</t>
        </is>
      </c>
      <c r="G64" s="107" t="inlineStr">
        <is>
          <t>—</t>
        </is>
      </c>
      <c r="H64" s="20" t="inlineStr">
        <is>
          <t>6 900 ₽ / 3 лет</t>
        </is>
      </c>
      <c r="I64" s="20" t="inlineStr"/>
      <c r="J64" s="20" t="inlineStr"/>
      <c r="K64" s="21" t="inlineStr"/>
      <c r="L64" s="20" t="inlineStr">
        <is>
          <t>удаляется крестиком</t>
        </is>
      </c>
    </row>
    <row r="65">
      <c r="A65" s="20" t="inlineStr"/>
      <c r="B65" s="20" t="inlineStr"/>
      <c r="C65" s="20" t="inlineStr"/>
      <c r="D65" s="20" t="inlineStr">
        <is>
          <t>Retouch4me Dust</t>
        </is>
      </c>
      <c r="E65" s="20" t="inlineStr">
        <is>
          <t>строка таблицы</t>
        </is>
      </c>
      <c r="F65" s="21" t="inlineStr">
        <is>
          <t>table_row</t>
        </is>
      </c>
      <c r="G65" s="107" t="inlineStr">
        <is>
          <t>—</t>
        </is>
      </c>
      <c r="H65" s="20" t="inlineStr">
        <is>
          <t>6 900 ₽ / 3 лет</t>
        </is>
      </c>
      <c r="I65" s="20" t="inlineStr"/>
      <c r="J65" s="20" t="inlineStr"/>
      <c r="K65" s="21" t="inlineStr"/>
      <c r="L65" s="20" t="inlineStr">
        <is>
          <t>удаляется крестиком</t>
        </is>
      </c>
    </row>
    <row r="66">
      <c r="A66" s="5" t="inlineStr"/>
      <c r="B66" s="5" t="inlineStr"/>
      <c r="C66" s="5" t="inlineStr"/>
      <c r="D66" s="5" t="inlineStr">
        <is>
          <t>+ Добавить программу</t>
        </is>
      </c>
      <c r="E66" s="5" t="inlineStr">
        <is>
          <t>кнопка</t>
        </is>
      </c>
      <c r="F66" s="6" t="inlineStr">
        <is>
          <t>button_add</t>
        </is>
      </c>
      <c r="G66" s="61" t="inlineStr">
        <is>
          <t>авто</t>
        </is>
      </c>
      <c r="H66" s="5" t="inlineStr">
        <is>
          <t>—</t>
        </is>
      </c>
      <c r="I66" s="5" t="inlineStr"/>
      <c r="J66" s="5" t="inlineStr">
        <is>
          <t>Form004</t>
        </is>
      </c>
      <c r="K66" s="6" t="inlineStr">
        <is>
          <t>—</t>
        </is>
      </c>
      <c r="L66" s="5" t="inlineStr"/>
    </row>
    <row r="67">
      <c r="A67" s="108" t="inlineStr"/>
      <c r="B67" s="108" t="inlineStr"/>
      <c r="C67" s="108" t="inlineStr"/>
      <c r="D67" s="108" t="inlineStr">
        <is>
          <t>Итого разовые</t>
        </is>
      </c>
      <c r="E67" s="108" t="inlineStr">
        <is>
          <t>строка итога</t>
        </is>
      </c>
      <c r="F67" s="109" t="inlineStr">
        <is>
          <t>calc_row</t>
        </is>
      </c>
      <c r="G67" s="110" t="inlineStr">
        <is>
          <t>100%</t>
        </is>
      </c>
      <c r="H67" s="108" t="inlineStr">
        <is>
          <t>11 500</t>
        </is>
      </c>
      <c r="I67" s="108" t="inlineStr">
        <is>
          <t>₽/год</t>
        </is>
      </c>
      <c r="J67" s="108" t="inlineStr">
        <is>
          <t>Form004</t>
        </is>
      </c>
      <c r="K67" s="109" t="inlineStr">
        <is>
          <t>dep_software</t>
        </is>
      </c>
      <c r="L67" s="108" t="inlineStr"/>
    </row>
    <row r="68">
      <c r="A68" s="101" t="inlineStr">
        <is>
          <t>09</t>
        </is>
      </c>
      <c r="B68" s="3" t="inlineStr">
        <is>
          <t>Block9</t>
        </is>
      </c>
      <c r="C68" s="3" t="inlineStr">
        <is>
          <t>3 · Инвестиции</t>
        </is>
      </c>
      <c r="D68" s="3" t="inlineStr">
        <is>
          <t>Рабочее место</t>
        </is>
      </c>
      <c r="E68" s="102" t="inlineStr">
        <is>
          <t>переключатель меняет набор полей</t>
        </is>
      </c>
      <c r="F68" s="103" t="n"/>
      <c r="G68" s="103" t="n"/>
      <c r="H68" s="103" t="n"/>
      <c r="I68" s="103" t="n"/>
      <c r="J68" s="103" t="n"/>
      <c r="K68" s="103" t="n"/>
      <c r="L68" s="103" t="n"/>
    </row>
    <row r="69">
      <c r="A69" s="14" t="inlineStr"/>
      <c r="B69" s="14" t="inlineStr"/>
      <c r="C69" s="14" t="inlineStr"/>
      <c r="D69" s="14" t="inlineStr">
        <is>
          <t>Не учитывать этот блок</t>
        </is>
      </c>
      <c r="E69" s="14" t="inlineStr">
        <is>
          <t>галочка</t>
        </is>
      </c>
      <c r="F69" s="15" t="inlineStr">
        <is>
          <t>checkbox</t>
        </is>
      </c>
      <c r="G69" s="106" t="inlineStr">
        <is>
          <t>авто</t>
        </is>
      </c>
      <c r="H69" s="14" t="inlineStr">
        <is>
          <t>снята</t>
        </is>
      </c>
      <c r="I69" s="14" t="inlineStr"/>
      <c r="J69" s="14" t="inlineStr">
        <is>
          <t>Form005, Form013</t>
        </is>
      </c>
      <c r="K69" s="15" t="inlineStr">
        <is>
          <t>use_Form009</t>
        </is>
      </c>
      <c r="L69" s="14" t="inlineStr"/>
    </row>
    <row r="70">
      <c r="A70" s="5" t="inlineStr"/>
      <c r="B70" s="5" t="inlineStr"/>
      <c r="C70" s="5" t="inlineStr"/>
      <c r="D70" s="5" t="inlineStr">
        <is>
          <t>Где вы работаете</t>
        </is>
      </c>
      <c r="E70" s="5" t="inlineStr">
        <is>
          <t>переключатель</t>
        </is>
      </c>
      <c r="F70" s="15" t="inlineStr">
        <is>
          <t>radio</t>
        </is>
      </c>
      <c r="G70" s="61" t="inlineStr">
        <is>
          <t>100%</t>
        </is>
      </c>
      <c r="H70" s="5" t="inlineStr">
        <is>
          <t>Работаю из дома</t>
        </is>
      </c>
      <c r="I70" s="5" t="inlineStr"/>
      <c r="J70" s="5" t="inlineStr">
        <is>
          <t>Form005</t>
        </is>
      </c>
      <c r="K70" s="6" t="inlineStr">
        <is>
          <t>ws_mode</t>
        </is>
      </c>
      <c r="L70" s="5" t="inlineStr">
        <is>
          <t>2 варианта: Работаю из дома / Арендую помещение</t>
        </is>
      </c>
    </row>
    <row r="71">
      <c r="A71" s="5" t="inlineStr"/>
      <c r="B71" s="5" t="inlineStr"/>
      <c r="C71" s="5" t="inlineStr"/>
      <c r="D71" s="5" t="inlineStr">
        <is>
          <t>Аренда или ипотека</t>
        </is>
      </c>
      <c r="E71" s="5" t="inlineStr">
        <is>
          <t>поле ввода</t>
        </is>
      </c>
      <c r="F71" s="6" t="inlineStr">
        <is>
          <t>input_number</t>
        </is>
      </c>
      <c r="G71" s="61" t="inlineStr">
        <is>
          <t>50%</t>
        </is>
      </c>
      <c r="H71" s="5" t="inlineStr">
        <is>
          <t>40 000</t>
        </is>
      </c>
      <c r="I71" s="5" t="inlineStr">
        <is>
          <t>₽/мес</t>
        </is>
      </c>
      <c r="J71" s="5" t="inlineStr">
        <is>
          <t>Form005</t>
        </is>
      </c>
      <c r="K71" s="6" t="inlineStr">
        <is>
          <t>home_rent</t>
        </is>
      </c>
      <c r="L71" s="5" t="inlineStr">
        <is>
          <t>видно только при «Работаю из дома». Берётся ПО ДОЛЕ метров</t>
        </is>
      </c>
    </row>
    <row r="72">
      <c r="A72" s="5" t="inlineStr"/>
      <c r="B72" s="5" t="inlineStr"/>
      <c r="C72" s="5" t="inlineStr"/>
      <c r="D72" s="5" t="inlineStr">
        <is>
          <t>Коммунальные и связь</t>
        </is>
      </c>
      <c r="E72" s="5" t="inlineStr">
        <is>
          <t>поле ввода</t>
        </is>
      </c>
      <c r="F72" s="6" t="inlineStr">
        <is>
          <t>input_number</t>
        </is>
      </c>
      <c r="G72" s="61" t="inlineStr">
        <is>
          <t>50%</t>
        </is>
      </c>
      <c r="H72" s="5" t="inlineStr">
        <is>
          <t>7 000</t>
        </is>
      </c>
      <c r="I72" s="5" t="inlineStr">
        <is>
          <t>₽/мес</t>
        </is>
      </c>
      <c r="J72" s="5" t="inlineStr">
        <is>
          <t>Form005</t>
        </is>
      </c>
      <c r="K72" s="6" t="inlineStr">
        <is>
          <t>home_util</t>
        </is>
      </c>
      <c r="L72" s="5" t="inlineStr">
        <is>
          <t>видно при «дома». Берётся ЦЕЛИКОМ</t>
        </is>
      </c>
    </row>
    <row r="73">
      <c r="A73" s="5" t="inlineStr"/>
      <c r="B73" s="5" t="inlineStr"/>
      <c r="C73" s="5" t="inlineStr"/>
      <c r="D73" s="5" t="inlineStr">
        <is>
          <t>Общая площадь жилья</t>
        </is>
      </c>
      <c r="E73" s="5" t="inlineStr">
        <is>
          <t>поле ввода</t>
        </is>
      </c>
      <c r="F73" s="6" t="inlineStr">
        <is>
          <t>input_number</t>
        </is>
      </c>
      <c r="G73" s="61" t="inlineStr">
        <is>
          <t>50%</t>
        </is>
      </c>
      <c r="H73" s="5" t="inlineStr">
        <is>
          <t>50</t>
        </is>
      </c>
      <c r="I73" s="5" t="inlineStr">
        <is>
          <t>м²</t>
        </is>
      </c>
      <c r="J73" s="5" t="inlineStr">
        <is>
          <t>Form005</t>
        </is>
      </c>
      <c r="K73" s="6" t="inlineStr">
        <is>
          <t>home_area</t>
        </is>
      </c>
      <c r="L73" s="5" t="inlineStr">
        <is>
          <t>видно при «дома»</t>
        </is>
      </c>
    </row>
    <row r="74">
      <c r="A74" s="5" t="inlineStr"/>
      <c r="B74" s="5" t="inlineStr"/>
      <c r="C74" s="5" t="inlineStr"/>
      <c r="D74" s="5" t="inlineStr">
        <is>
          <t>Площадь под кабинет</t>
        </is>
      </c>
      <c r="E74" s="5" t="inlineStr">
        <is>
          <t>поле ввода</t>
        </is>
      </c>
      <c r="F74" s="6" t="inlineStr">
        <is>
          <t>input_number</t>
        </is>
      </c>
      <c r="G74" s="61" t="inlineStr">
        <is>
          <t>50%</t>
        </is>
      </c>
      <c r="H74" s="5" t="inlineStr">
        <is>
          <t>6</t>
        </is>
      </c>
      <c r="I74" s="5" t="inlineStr">
        <is>
          <t>м²</t>
        </is>
      </c>
      <c r="J74" s="5" t="inlineStr">
        <is>
          <t>Form005</t>
        </is>
      </c>
      <c r="K74" s="6" t="inlineStr">
        <is>
          <t>cab_area</t>
        </is>
      </c>
      <c r="L74" s="5" t="inlineStr">
        <is>
          <t>видно при «дома»</t>
        </is>
      </c>
    </row>
    <row r="75">
      <c r="A75" s="108" t="inlineStr"/>
      <c r="B75" s="108" t="inlineStr"/>
      <c r="C75" s="108" t="inlineStr"/>
      <c r="D75" s="108" t="inlineStr">
        <is>
          <t>Доля кабинета</t>
        </is>
      </c>
      <c r="E75" s="108" t="inlineStr">
        <is>
          <t>расчётное поле</t>
        </is>
      </c>
      <c r="F75" s="109" t="inlineStr">
        <is>
          <t>calc_field</t>
        </is>
      </c>
      <c r="G75" s="110" t="inlineStr">
        <is>
          <t>50%</t>
        </is>
      </c>
      <c r="H75" s="108" t="inlineStr">
        <is>
          <t>12,00</t>
        </is>
      </c>
      <c r="I75" s="108" t="inlineStr">
        <is>
          <t>%</t>
        </is>
      </c>
      <c r="J75" s="108" t="inlineStr">
        <is>
          <t>Form005</t>
        </is>
      </c>
      <c r="K75" s="109" t="inlineStr">
        <is>
          <t>cab_share</t>
        </is>
      </c>
      <c r="L75" s="108" t="inlineStr">
        <is>
          <t>только чтение</t>
        </is>
      </c>
    </row>
    <row r="76">
      <c r="A76" s="5" t="inlineStr"/>
      <c r="B76" s="5" t="inlineStr"/>
      <c r="C76" s="5" t="inlineStr"/>
      <c r="D76" s="5" t="inlineStr">
        <is>
          <t>Стоимость помещения</t>
        </is>
      </c>
      <c r="E76" s="5" t="inlineStr">
        <is>
          <t>поле ввода</t>
        </is>
      </c>
      <c r="F76" s="6" t="inlineStr">
        <is>
          <t>input_number</t>
        </is>
      </c>
      <c r="G76" s="61" t="inlineStr">
        <is>
          <t>50%</t>
        </is>
      </c>
      <c r="H76" s="5" t="inlineStr">
        <is>
          <t>15 000</t>
        </is>
      </c>
      <c r="I76" s="5" t="inlineStr">
        <is>
          <t>₽/мес</t>
        </is>
      </c>
      <c r="J76" s="5" t="inlineStr">
        <is>
          <t>Form005</t>
        </is>
      </c>
      <c r="K76" s="6" t="inlineStr">
        <is>
          <t>office_rent</t>
        </is>
      </c>
      <c r="L76" s="5" t="inlineStr">
        <is>
          <t>видно только при «Арендую помещение». ЦЕЛИКОМ</t>
        </is>
      </c>
    </row>
    <row r="77">
      <c r="A77" s="5" t="inlineStr"/>
      <c r="B77" s="5" t="inlineStr"/>
      <c r="C77" s="5" t="inlineStr"/>
      <c r="D77" s="5" t="inlineStr">
        <is>
          <t>Коммунальные и связь</t>
        </is>
      </c>
      <c r="E77" s="5" t="inlineStr">
        <is>
          <t>поле ввода</t>
        </is>
      </c>
      <c r="F77" s="6" t="inlineStr">
        <is>
          <t>input_number</t>
        </is>
      </c>
      <c r="G77" s="61" t="inlineStr">
        <is>
          <t>50%</t>
        </is>
      </c>
      <c r="H77" s="5" t="inlineStr">
        <is>
          <t>7 000</t>
        </is>
      </c>
      <c r="I77" s="5" t="inlineStr">
        <is>
          <t>₽/мес</t>
        </is>
      </c>
      <c r="J77" s="5" t="inlineStr">
        <is>
          <t>Form005</t>
        </is>
      </c>
      <c r="K77" s="6" t="inlineStr">
        <is>
          <t>office_util</t>
        </is>
      </c>
      <c r="L77" s="5" t="inlineStr">
        <is>
          <t>видно при «аренда». ЦЕЛИКОМ</t>
        </is>
      </c>
    </row>
    <row r="78">
      <c r="A78" s="5" t="inlineStr"/>
      <c r="B78" s="5" t="inlineStr"/>
      <c r="C78" s="5" t="inlineStr"/>
      <c r="D78" s="5" t="inlineStr">
        <is>
          <t>— Обустройство места (мебель, ремонт)</t>
        </is>
      </c>
      <c r="E78" s="5" t="inlineStr">
        <is>
          <t>подзаголовок</t>
        </is>
      </c>
      <c r="F78" s="6" t="inlineStr">
        <is>
          <t>subhead</t>
        </is>
      </c>
      <c r="G78" s="61" t="inlineStr">
        <is>
          <t>100%</t>
        </is>
      </c>
      <c r="H78" s="5" t="inlineStr"/>
      <c r="I78" s="5" t="inlineStr"/>
      <c r="J78" s="5" t="inlineStr">
        <is>
          <t>Form013</t>
        </is>
      </c>
      <c r="K78" s="6" t="inlineStr">
        <is>
          <t>—</t>
        </is>
      </c>
      <c r="L78" s="5" t="inlineStr"/>
    </row>
    <row r="79">
      <c r="A79" s="5" t="inlineStr"/>
      <c r="B79" s="5" t="inlineStr"/>
      <c r="C79" s="5" t="inlineStr"/>
      <c r="D79" s="5" t="inlineStr">
        <is>
          <t>Заголовки</t>
        </is>
      </c>
      <c r="E79" s="5" t="inlineStr">
        <is>
          <t>шапка</t>
        </is>
      </c>
      <c r="F79" s="6" t="inlineStr">
        <is>
          <t>table_head</t>
        </is>
      </c>
      <c r="G79" s="61" t="inlineStr">
        <is>
          <t>100%</t>
        </is>
      </c>
      <c r="H79" s="5" t="inlineStr">
        <is>
          <t>Позиция · Стоимость ₽ · Срок лет · ₽/год</t>
        </is>
      </c>
      <c r="I79" s="5" t="inlineStr"/>
      <c r="J79" s="5" t="inlineStr">
        <is>
          <t>Form013</t>
        </is>
      </c>
      <c r="K79" s="6" t="inlineStr">
        <is>
          <t>—</t>
        </is>
      </c>
      <c r="L79" s="5" t="inlineStr"/>
    </row>
    <row r="80">
      <c r="A80" s="20" t="inlineStr"/>
      <c r="B80" s="20" t="inlineStr"/>
      <c r="C80" s="20" t="inlineStr"/>
      <c r="D80" s="20" t="inlineStr">
        <is>
          <t>Мебель</t>
        </is>
      </c>
      <c r="E80" s="20" t="inlineStr">
        <is>
          <t>строка таблицы</t>
        </is>
      </c>
      <c r="F80" s="21" t="inlineStr">
        <is>
          <t>table_row</t>
        </is>
      </c>
      <c r="G80" s="107" t="inlineStr">
        <is>
          <t>—</t>
        </is>
      </c>
      <c r="H80" s="20" t="inlineStr">
        <is>
          <t>35 000 ₽ / 7 лет</t>
        </is>
      </c>
      <c r="I80" s="20" t="inlineStr"/>
      <c r="J80" s="20" t="inlineStr"/>
      <c r="K80" s="21" t="inlineStr"/>
      <c r="L80" s="20" t="inlineStr">
        <is>
          <t>удаляется крестиком</t>
        </is>
      </c>
    </row>
    <row r="81">
      <c r="A81" s="20" t="inlineStr"/>
      <c r="B81" s="20" t="inlineStr"/>
      <c r="C81" s="20" t="inlineStr"/>
      <c r="D81" s="20" t="inlineStr">
        <is>
          <t>Косметический ремонт</t>
        </is>
      </c>
      <c r="E81" s="20" t="inlineStr">
        <is>
          <t>строка таблицы</t>
        </is>
      </c>
      <c r="F81" s="21" t="inlineStr">
        <is>
          <t>table_row</t>
        </is>
      </c>
      <c r="G81" s="107" t="inlineStr">
        <is>
          <t>—</t>
        </is>
      </c>
      <c r="H81" s="20" t="inlineStr">
        <is>
          <t>30 000 ₽ / 7 лет</t>
        </is>
      </c>
      <c r="I81" s="20" t="inlineStr"/>
      <c r="J81" s="20" t="inlineStr"/>
      <c r="K81" s="21" t="inlineStr"/>
      <c r="L81" s="20" t="inlineStr">
        <is>
          <t>удаляется крестиком</t>
        </is>
      </c>
    </row>
    <row r="82">
      <c r="A82" s="5" t="inlineStr"/>
      <c r="B82" s="5" t="inlineStr"/>
      <c r="C82" s="5" t="inlineStr"/>
      <c r="D82" s="5" t="inlineStr">
        <is>
          <t>+ Добавить позицию</t>
        </is>
      </c>
      <c r="E82" s="5" t="inlineStr">
        <is>
          <t>кнопка</t>
        </is>
      </c>
      <c r="F82" s="6" t="inlineStr">
        <is>
          <t>button_add</t>
        </is>
      </c>
      <c r="G82" s="61" t="inlineStr">
        <is>
          <t>авто</t>
        </is>
      </c>
      <c r="H82" s="5" t="inlineStr">
        <is>
          <t>—</t>
        </is>
      </c>
      <c r="I82" s="5" t="inlineStr"/>
      <c r="J82" s="5" t="inlineStr">
        <is>
          <t>Form013</t>
        </is>
      </c>
      <c r="K82" s="6" t="inlineStr">
        <is>
          <t>—</t>
        </is>
      </c>
      <c r="L82" s="5" t="inlineStr"/>
    </row>
    <row r="83">
      <c r="A83" s="108" t="inlineStr"/>
      <c r="B83" s="108" t="inlineStr"/>
      <c r="C83" s="108" t="inlineStr"/>
      <c r="D83" s="108" t="inlineStr">
        <is>
          <t>Итого содержание</t>
        </is>
      </c>
      <c r="E83" s="108" t="inlineStr">
        <is>
          <t>строка итога</t>
        </is>
      </c>
      <c r="F83" s="109" t="inlineStr">
        <is>
          <t>calc_row</t>
        </is>
      </c>
      <c r="G83" s="110" t="inlineStr">
        <is>
          <t>100%</t>
        </is>
      </c>
      <c r="H83" s="108" t="inlineStr">
        <is>
          <t>141 600</t>
        </is>
      </c>
      <c r="I83" s="108" t="inlineStr">
        <is>
          <t>₽/год</t>
        </is>
      </c>
      <c r="J83" s="108" t="inlineStr">
        <is>
          <t>Form005</t>
        </is>
      </c>
      <c r="K83" s="109" t="inlineStr">
        <is>
          <t>var_workspace</t>
        </is>
      </c>
      <c r="L83" s="108" t="inlineStr"/>
    </row>
    <row r="84">
      <c r="A84" s="108" t="inlineStr"/>
      <c r="B84" s="108" t="inlineStr"/>
      <c r="C84" s="108" t="inlineStr"/>
      <c r="D84" s="108" t="inlineStr">
        <is>
          <t>Итого обустройство</t>
        </is>
      </c>
      <c r="E84" s="108" t="inlineStr">
        <is>
          <t>строка итога</t>
        </is>
      </c>
      <c r="F84" s="109" t="inlineStr">
        <is>
          <t>calc_row</t>
        </is>
      </c>
      <c r="G84" s="110" t="inlineStr">
        <is>
          <t>100%</t>
        </is>
      </c>
      <c r="H84" s="108" t="inlineStr">
        <is>
          <t>9 285,71</t>
        </is>
      </c>
      <c r="I84" s="108" t="inlineStr">
        <is>
          <t>₽/год</t>
        </is>
      </c>
      <c r="J84" s="108" t="inlineStr">
        <is>
          <t>Form013</t>
        </is>
      </c>
      <c r="K84" s="109" t="inlineStr">
        <is>
          <t>dep_workspace</t>
        </is>
      </c>
      <c r="L84" s="108" t="inlineStr"/>
    </row>
    <row r="85">
      <c r="A85" s="101" t="inlineStr">
        <is>
          <t>10</t>
        </is>
      </c>
      <c r="B85" s="3" t="inlineStr">
        <is>
          <t>Block10</t>
        </is>
      </c>
      <c r="C85" s="3" t="inlineStr">
        <is>
          <t>3 · Инвестиции</t>
        </is>
      </c>
      <c r="D85" s="3" t="inlineStr">
        <is>
          <t>Профессиональное обучение</t>
        </is>
      </c>
      <c r="E85" s="103" t="n"/>
      <c r="F85" s="103" t="n"/>
      <c r="G85" s="103" t="n"/>
      <c r="H85" s="103" t="n"/>
      <c r="I85" s="103" t="n"/>
      <c r="J85" s="103" t="n"/>
      <c r="K85" s="103" t="n"/>
      <c r="L85" s="103" t="n"/>
    </row>
    <row r="86">
      <c r="A86" s="14" t="inlineStr"/>
      <c r="B86" s="14" t="inlineStr"/>
      <c r="C86" s="14" t="inlineStr"/>
      <c r="D86" s="14" t="inlineStr">
        <is>
          <t>Не учитывать этот блок</t>
        </is>
      </c>
      <c r="E86" s="14" t="inlineStr">
        <is>
          <t>галочка</t>
        </is>
      </c>
      <c r="F86" s="15" t="inlineStr">
        <is>
          <t>checkbox</t>
        </is>
      </c>
      <c r="G86" s="106" t="inlineStr">
        <is>
          <t>авто</t>
        </is>
      </c>
      <c r="H86" s="14" t="inlineStr">
        <is>
          <t>снята</t>
        </is>
      </c>
      <c r="I86" s="14" t="inlineStr"/>
      <c r="J86" s="14" t="inlineStr">
        <is>
          <t>Form006</t>
        </is>
      </c>
      <c r="K86" s="15" t="inlineStr">
        <is>
          <t>use_Form006</t>
        </is>
      </c>
      <c r="L86" s="14" t="inlineStr"/>
    </row>
    <row r="87">
      <c r="A87" s="5" t="inlineStr"/>
      <c r="B87" s="5" t="inlineStr"/>
      <c r="C87" s="5" t="inlineStr"/>
      <c r="D87" s="5" t="inlineStr">
        <is>
          <t>Заголовки</t>
        </is>
      </c>
      <c r="E87" s="5" t="inlineStr">
        <is>
          <t>шапка</t>
        </is>
      </c>
      <c r="F87" s="6" t="inlineStr">
        <is>
          <t>table_head</t>
        </is>
      </c>
      <c r="G87" s="61" t="inlineStr">
        <is>
          <t>100%</t>
        </is>
      </c>
      <c r="H87" s="5" t="inlineStr">
        <is>
          <t>Курс · Стоимость ₽ · Месяцев учёбы · Срок лет</t>
        </is>
      </c>
      <c r="I87" s="5" t="inlineStr"/>
      <c r="J87" s="5" t="inlineStr">
        <is>
          <t>Form006</t>
        </is>
      </c>
      <c r="K87" s="6" t="inlineStr">
        <is>
          <t>—</t>
        </is>
      </c>
      <c r="L87" s="5" t="inlineStr"/>
    </row>
    <row r="88">
      <c r="A88" s="20" t="inlineStr"/>
      <c r="B88" s="20" t="inlineStr"/>
      <c r="C88" s="20" t="inlineStr"/>
      <c r="D88" s="20" t="inlineStr">
        <is>
          <t>Курс по фотографии</t>
        </is>
      </c>
      <c r="E88" s="20" t="inlineStr">
        <is>
          <t>строка таблицы</t>
        </is>
      </c>
      <c r="F88" s="21" t="inlineStr">
        <is>
          <t>table_row</t>
        </is>
      </c>
      <c r="G88" s="107" t="inlineStr">
        <is>
          <t>—</t>
        </is>
      </c>
      <c r="H88" s="20" t="inlineStr">
        <is>
          <t>80 000 ₽ / 7 лет</t>
        </is>
      </c>
      <c r="I88" s="20" t="inlineStr"/>
      <c r="J88" s="20" t="inlineStr"/>
      <c r="K88" s="21" t="inlineStr"/>
      <c r="L88" s="20" t="inlineStr">
        <is>
          <t>удаляется крестиком</t>
        </is>
      </c>
    </row>
    <row r="89">
      <c r="A89" s="5" t="inlineStr"/>
      <c r="B89" s="5" t="inlineStr"/>
      <c r="C89" s="5" t="inlineStr"/>
      <c r="D89" s="5" t="inlineStr">
        <is>
          <t>Месяцев учёбы без дохода</t>
        </is>
      </c>
      <c r="E89" s="5" t="inlineStr">
        <is>
          <t>поле ввода</t>
        </is>
      </c>
      <c r="F89" s="6" t="inlineStr">
        <is>
          <t>input_number</t>
        </is>
      </c>
      <c r="G89" s="61" t="inlineStr">
        <is>
          <t>50%</t>
        </is>
      </c>
      <c r="H89" s="5" t="inlineStr">
        <is>
          <t>4</t>
        </is>
      </c>
      <c r="I89" s="5" t="inlineStr">
        <is>
          <t>мес</t>
        </is>
      </c>
      <c r="J89" s="5" t="inlineStr">
        <is>
          <t>Form006</t>
        </is>
      </c>
      <c r="K89" s="6" t="inlineStr">
        <is>
          <t>edu_months</t>
        </is>
      </c>
      <c r="L89" s="5" t="inlineStr"/>
    </row>
    <row r="90">
      <c r="A90" s="5" t="inlineStr"/>
      <c r="B90" s="5" t="inlineStr"/>
      <c r="C90" s="5" t="inlineStr"/>
      <c r="D90" s="5" t="inlineStr">
        <is>
          <t>Учитывать упущенный доход</t>
        </is>
      </c>
      <c r="E90" s="5" t="inlineStr">
        <is>
          <t>галочка</t>
        </is>
      </c>
      <c r="F90" s="15" t="inlineStr">
        <is>
          <t>checkbox</t>
        </is>
      </c>
      <c r="G90" s="61" t="inlineStr">
        <is>
          <t>50%</t>
        </is>
      </c>
      <c r="H90" s="5" t="inlineStr">
        <is>
          <t>включена</t>
        </is>
      </c>
      <c r="I90" s="5" t="inlineStr"/>
      <c r="J90" s="5" t="inlineStr">
        <is>
          <t>Form006</t>
        </is>
      </c>
      <c r="K90" s="6" t="inlineStr">
        <is>
          <t>edu_mode</t>
        </is>
      </c>
      <c r="L90" s="5" t="inlineStr">
        <is>
          <t>если включена: + месяцев × желаемый доход</t>
        </is>
      </c>
    </row>
    <row r="91">
      <c r="A91" s="5" t="inlineStr"/>
      <c r="B91" s="5" t="inlineStr"/>
      <c r="C91" s="5" t="inlineStr"/>
      <c r="D91" s="5" t="inlineStr">
        <is>
          <t>+ Добавить курс</t>
        </is>
      </c>
      <c r="E91" s="5" t="inlineStr">
        <is>
          <t>кнопка</t>
        </is>
      </c>
      <c r="F91" s="6" t="inlineStr">
        <is>
          <t>button_add</t>
        </is>
      </c>
      <c r="G91" s="61" t="inlineStr">
        <is>
          <t>авто</t>
        </is>
      </c>
      <c r="H91" s="5" t="inlineStr">
        <is>
          <t>—</t>
        </is>
      </c>
      <c r="I91" s="5" t="inlineStr"/>
      <c r="J91" s="5" t="inlineStr">
        <is>
          <t>Form006</t>
        </is>
      </c>
      <c r="K91" s="6" t="inlineStr">
        <is>
          <t>—</t>
        </is>
      </c>
      <c r="L91" s="5" t="inlineStr"/>
    </row>
    <row r="92">
      <c r="A92" s="108" t="inlineStr"/>
      <c r="B92" s="108" t="inlineStr"/>
      <c r="C92" s="108" t="inlineStr"/>
      <c r="D92" s="108" t="inlineStr">
        <is>
          <t>Итого амортизация</t>
        </is>
      </c>
      <c r="E92" s="108" t="inlineStr">
        <is>
          <t>строка итога</t>
        </is>
      </c>
      <c r="F92" s="109" t="inlineStr">
        <is>
          <t>calc_row</t>
        </is>
      </c>
      <c r="G92" s="110" t="inlineStr">
        <is>
          <t>100%</t>
        </is>
      </c>
      <c r="H92" s="108" t="inlineStr">
        <is>
          <t>73 713,71</t>
        </is>
      </c>
      <c r="I92" s="108" t="inlineStr">
        <is>
          <t>₽/год</t>
        </is>
      </c>
      <c r="J92" s="108" t="inlineStr">
        <is>
          <t>Form006</t>
        </is>
      </c>
      <c r="K92" s="109" t="inlineStr">
        <is>
          <t>dep_education</t>
        </is>
      </c>
      <c r="L92" s="108" t="inlineStr"/>
    </row>
    <row r="93">
      <c r="A93" s="101" t="inlineStr">
        <is>
          <t>11</t>
        </is>
      </c>
      <c r="B93" s="3" t="inlineStr">
        <is>
          <t>Block12</t>
        </is>
      </c>
      <c r="C93" s="3" t="inlineStr">
        <is>
          <t>3 · Инвестиции</t>
        </is>
      </c>
      <c r="D93" s="3" t="inlineStr">
        <is>
          <t>Создание сайта</t>
        </is>
      </c>
      <c r="E93" s="102" t="inlineStr">
        <is>
          <t>переключатель меняет поля</t>
        </is>
      </c>
      <c r="F93" s="103" t="n"/>
      <c r="G93" s="103" t="n"/>
      <c r="H93" s="103" t="n"/>
      <c r="I93" s="103" t="n"/>
      <c r="J93" s="103" t="n"/>
      <c r="K93" s="103" t="n"/>
      <c r="L93" s="103" t="n"/>
    </row>
    <row r="94">
      <c r="A94" s="14" t="inlineStr"/>
      <c r="B94" s="14" t="inlineStr"/>
      <c r="C94" s="14" t="inlineStr"/>
      <c r="D94" s="14" t="inlineStr">
        <is>
          <t>Не учитывать этот блок</t>
        </is>
      </c>
      <c r="E94" s="14" t="inlineStr">
        <is>
          <t>галочка</t>
        </is>
      </c>
      <c r="F94" s="15" t="inlineStr">
        <is>
          <t>checkbox</t>
        </is>
      </c>
      <c r="G94" s="106" t="inlineStr">
        <is>
          <t>авто</t>
        </is>
      </c>
      <c r="H94" s="14" t="inlineStr">
        <is>
          <t>снята</t>
        </is>
      </c>
      <c r="I94" s="14" t="inlineStr"/>
      <c r="J94" s="14" t="inlineStr">
        <is>
          <t>Form014</t>
        </is>
      </c>
      <c r="K94" s="15" t="inlineStr">
        <is>
          <t>use_Form014</t>
        </is>
      </c>
      <c r="L94" s="14" t="inlineStr"/>
    </row>
    <row r="95">
      <c r="A95" s="5" t="inlineStr"/>
      <c r="B95" s="5" t="inlineStr"/>
      <c r="C95" s="5" t="inlineStr"/>
      <c r="D95" s="5" t="inlineStr">
        <is>
          <t>Как появился сайт</t>
        </is>
      </c>
      <c r="E95" s="5" t="inlineStr">
        <is>
          <t>переключатель</t>
        </is>
      </c>
      <c r="F95" s="15" t="inlineStr">
        <is>
          <t>radio</t>
        </is>
      </c>
      <c r="G95" s="61" t="inlineStr">
        <is>
          <t>100%</t>
        </is>
      </c>
      <c r="H95" s="5" t="inlineStr">
        <is>
          <t>Нанимал (а) специалиста</t>
        </is>
      </c>
      <c r="I95" s="5" t="inlineStr"/>
      <c r="J95" s="5" t="inlineStr">
        <is>
          <t>Form014</t>
        </is>
      </c>
      <c r="K95" s="6" t="inlineStr">
        <is>
          <t>site_mode</t>
        </is>
      </c>
      <c r="L95" s="5" t="inlineStr">
        <is>
          <t>2 варианта: Нанимал специалиста / Делал самостоятельно</t>
        </is>
      </c>
    </row>
    <row r="96">
      <c r="A96" s="5" t="inlineStr"/>
      <c r="B96" s="5" t="inlineStr"/>
      <c r="C96" s="5" t="inlineStr"/>
      <c r="D96" s="5" t="inlineStr">
        <is>
          <t>Стоимость подрядчика</t>
        </is>
      </c>
      <c r="E96" s="5" t="inlineStr">
        <is>
          <t>поле ввода</t>
        </is>
      </c>
      <c r="F96" s="6" t="inlineStr">
        <is>
          <t>input_number</t>
        </is>
      </c>
      <c r="G96" s="61" t="inlineStr">
        <is>
          <t>50%</t>
        </is>
      </c>
      <c r="H96" s="5" t="inlineStr">
        <is>
          <t>70 000</t>
        </is>
      </c>
      <c r="I96" s="5" t="inlineStr">
        <is>
          <t>₽</t>
        </is>
      </c>
      <c r="J96" s="5" t="inlineStr">
        <is>
          <t>Form014</t>
        </is>
      </c>
      <c r="K96" s="6" t="inlineStr">
        <is>
          <t>site_cost</t>
        </is>
      </c>
      <c r="L96" s="5" t="inlineStr">
        <is>
          <t>видно при «Нанимал»</t>
        </is>
      </c>
    </row>
    <row r="97">
      <c r="A97" s="5" t="inlineStr"/>
      <c r="B97" s="5" t="inlineStr"/>
      <c r="C97" s="5" t="inlineStr"/>
      <c r="D97" s="5" t="inlineStr">
        <is>
          <t>Часов своими руками</t>
        </is>
      </c>
      <c r="E97" s="5" t="inlineStr">
        <is>
          <t>поле ввода</t>
        </is>
      </c>
      <c r="F97" s="6" t="inlineStr">
        <is>
          <t>input_number</t>
        </is>
      </c>
      <c r="G97" s="61" t="inlineStr">
        <is>
          <t>50%</t>
        </is>
      </c>
      <c r="H97" s="5" t="inlineStr">
        <is>
          <t>0</t>
        </is>
      </c>
      <c r="I97" s="5" t="inlineStr">
        <is>
          <t>ч</t>
        </is>
      </c>
      <c r="J97" s="5" t="inlineStr">
        <is>
          <t>Form014</t>
        </is>
      </c>
      <c r="K97" s="6" t="inlineStr">
        <is>
          <t>site_hours</t>
        </is>
      </c>
      <c r="L97" s="5" t="inlineStr">
        <is>
          <t>видно при «Делал сам». Оценивается по ПОЛНОЙ ставке рабочего часа</t>
        </is>
      </c>
    </row>
    <row r="98">
      <c r="A98" s="5" t="inlineStr"/>
      <c r="B98" s="5" t="inlineStr"/>
      <c r="C98" s="5" t="inlineStr"/>
      <c r="D98" s="5" t="inlineStr">
        <is>
          <t>Срок амортизации</t>
        </is>
      </c>
      <c r="E98" s="5" t="inlineStr">
        <is>
          <t>поле ввода</t>
        </is>
      </c>
      <c r="F98" s="6" t="inlineStr">
        <is>
          <t>input_number</t>
        </is>
      </c>
      <c r="G98" s="61" t="inlineStr">
        <is>
          <t>50%</t>
        </is>
      </c>
      <c r="H98" s="5" t="inlineStr">
        <is>
          <t>7</t>
        </is>
      </c>
      <c r="I98" s="5" t="inlineStr">
        <is>
          <t>лет</t>
        </is>
      </c>
      <c r="J98" s="5" t="inlineStr">
        <is>
          <t>Form014</t>
        </is>
      </c>
      <c r="K98" s="6" t="inlineStr">
        <is>
          <t>site_life</t>
        </is>
      </c>
      <c r="L98" s="5" t="inlineStr"/>
    </row>
    <row r="99">
      <c r="A99" s="108" t="inlineStr"/>
      <c r="B99" s="108" t="inlineStr"/>
      <c r="C99" s="108" t="inlineStr"/>
      <c r="D99" s="108" t="inlineStr">
        <is>
          <t>Итого амортизация</t>
        </is>
      </c>
      <c r="E99" s="108" t="inlineStr">
        <is>
          <t>строка итога</t>
        </is>
      </c>
      <c r="F99" s="109" t="inlineStr">
        <is>
          <t>calc_row</t>
        </is>
      </c>
      <c r="G99" s="110" t="inlineStr">
        <is>
          <t>100%</t>
        </is>
      </c>
      <c r="H99" s="108" t="inlineStr">
        <is>
          <t>10 000</t>
        </is>
      </c>
      <c r="I99" s="108" t="inlineStr">
        <is>
          <t>₽/год</t>
        </is>
      </c>
      <c r="J99" s="108" t="inlineStr">
        <is>
          <t>Form014</t>
        </is>
      </c>
      <c r="K99" s="109" t="inlineStr">
        <is>
          <t>dep_website</t>
        </is>
      </c>
      <c r="L99" s="108" t="inlineStr"/>
    </row>
    <row r="100">
      <c r="A100" s="101" t="inlineStr">
        <is>
          <t>12</t>
        </is>
      </c>
      <c r="B100" s="3" t="inlineStr">
        <is>
          <t>Block11</t>
        </is>
      </c>
      <c r="C100" s="3" t="inlineStr">
        <is>
          <t>4 · Расходы</t>
        </is>
      </c>
      <c r="D100" s="3" t="inlineStr">
        <is>
          <t>Реклама и продвижение</t>
        </is>
      </c>
      <c r="E100" s="102" t="inlineStr">
        <is>
          <t>динамическая таблица</t>
        </is>
      </c>
      <c r="F100" s="103" t="n"/>
      <c r="G100" s="103" t="n"/>
      <c r="H100" s="103" t="n"/>
      <c r="I100" s="103" t="n"/>
      <c r="J100" s="103" t="n"/>
      <c r="K100" s="103" t="n"/>
      <c r="L100" s="103" t="n"/>
    </row>
    <row r="101">
      <c r="A101" s="14" t="inlineStr"/>
      <c r="B101" s="14" t="inlineStr"/>
      <c r="C101" s="14" t="inlineStr"/>
      <c r="D101" s="14" t="inlineStr">
        <is>
          <t>Не учитывать этот блок</t>
        </is>
      </c>
      <c r="E101" s="14" t="inlineStr">
        <is>
          <t>галочка</t>
        </is>
      </c>
      <c r="F101" s="15" t="inlineStr">
        <is>
          <t>checkbox</t>
        </is>
      </c>
      <c r="G101" s="106" t="inlineStr">
        <is>
          <t>авто</t>
        </is>
      </c>
      <c r="H101" s="14" t="inlineStr">
        <is>
          <t>снята</t>
        </is>
      </c>
      <c r="I101" s="14" t="inlineStr"/>
      <c r="J101" s="14" t="inlineStr">
        <is>
          <t>Form010</t>
        </is>
      </c>
      <c r="K101" s="15" t="inlineStr">
        <is>
          <t>use_Form010</t>
        </is>
      </c>
      <c r="L101" s="14" t="inlineStr"/>
    </row>
    <row r="102">
      <c r="A102" s="5" t="inlineStr"/>
      <c r="B102" s="5" t="inlineStr"/>
      <c r="C102" s="5" t="inlineStr"/>
      <c r="D102" s="5" t="inlineStr">
        <is>
          <t>Заголовки</t>
        </is>
      </c>
      <c r="E102" s="5" t="inlineStr">
        <is>
          <t>шапка</t>
        </is>
      </c>
      <c r="F102" s="6" t="inlineStr">
        <is>
          <t>table_head</t>
        </is>
      </c>
      <c r="G102" s="61" t="inlineStr">
        <is>
          <t>100%</t>
        </is>
      </c>
      <c r="H102" s="5" t="inlineStr">
        <is>
          <t>Позиция · Стоимость ₽ · Период · ₽/год</t>
        </is>
      </c>
      <c r="I102" s="5" t="inlineStr"/>
      <c r="J102" s="5" t="inlineStr">
        <is>
          <t>Form010</t>
        </is>
      </c>
      <c r="K102" s="6" t="inlineStr">
        <is>
          <t>—</t>
        </is>
      </c>
      <c r="L102" s="5" t="inlineStr"/>
    </row>
    <row r="103">
      <c r="A103" s="20" t="inlineStr"/>
      <c r="B103" s="20" t="inlineStr"/>
      <c r="C103" s="20" t="inlineStr"/>
      <c r="D103" s="20" t="inlineStr">
        <is>
          <t>Домен сайта</t>
        </is>
      </c>
      <c r="E103" s="20" t="inlineStr">
        <is>
          <t>строка таблицы</t>
        </is>
      </c>
      <c r="F103" s="21" t="inlineStr">
        <is>
          <t>table_row</t>
        </is>
      </c>
      <c r="G103" s="107" t="inlineStr">
        <is>
          <t>—</t>
        </is>
      </c>
      <c r="H103" s="20" t="inlineStr">
        <is>
          <t xml:space="preserve">1 500 ₽ / Год </t>
        </is>
      </c>
      <c r="I103" s="20" t="inlineStr"/>
      <c r="J103" s="20" t="inlineStr"/>
      <c r="K103" s="21" t="inlineStr"/>
      <c r="L103" s="20" t="inlineStr">
        <is>
          <t>удаляется крестиком</t>
        </is>
      </c>
    </row>
    <row r="104">
      <c r="A104" s="20" t="inlineStr"/>
      <c r="B104" s="20" t="inlineStr"/>
      <c r="C104" s="20" t="inlineStr"/>
      <c r="D104" s="20" t="inlineStr">
        <is>
          <t>Хостинг сайта</t>
        </is>
      </c>
      <c r="E104" s="20" t="inlineStr">
        <is>
          <t>строка таблицы</t>
        </is>
      </c>
      <c r="F104" s="21" t="inlineStr">
        <is>
          <t>table_row</t>
        </is>
      </c>
      <c r="G104" s="107" t="inlineStr">
        <is>
          <t>—</t>
        </is>
      </c>
      <c r="H104" s="20" t="inlineStr">
        <is>
          <t xml:space="preserve">6 000 ₽ / Год </t>
        </is>
      </c>
      <c r="I104" s="20" t="inlineStr"/>
      <c r="J104" s="20" t="inlineStr"/>
      <c r="K104" s="21" t="inlineStr"/>
      <c r="L104" s="20" t="inlineStr">
        <is>
          <t>удаляется крестиком</t>
        </is>
      </c>
    </row>
    <row r="105">
      <c r="A105" s="20" t="inlineStr"/>
      <c r="B105" s="20" t="inlineStr"/>
      <c r="C105" s="20" t="inlineStr"/>
      <c r="D105" s="20" t="inlineStr">
        <is>
          <t>Яндекс Директ</t>
        </is>
      </c>
      <c r="E105" s="20" t="inlineStr">
        <is>
          <t>строка таблицы</t>
        </is>
      </c>
      <c r="F105" s="21" t="inlineStr">
        <is>
          <t>table_row</t>
        </is>
      </c>
      <c r="G105" s="107" t="inlineStr">
        <is>
          <t>—</t>
        </is>
      </c>
      <c r="H105" s="20" t="inlineStr">
        <is>
          <t xml:space="preserve">15 000 ₽ / Месяц </t>
        </is>
      </c>
      <c r="I105" s="20" t="inlineStr"/>
      <c r="J105" s="20" t="inlineStr"/>
      <c r="K105" s="21" t="inlineStr"/>
      <c r="L105" s="20" t="inlineStr">
        <is>
          <t>удаляется крестиком</t>
        </is>
      </c>
    </row>
    <row r="106">
      <c r="A106" s="20" t="inlineStr"/>
      <c r="B106" s="20" t="inlineStr"/>
      <c r="C106" s="20" t="inlineStr"/>
      <c r="D106" s="20" t="inlineStr">
        <is>
          <t>Авито</t>
        </is>
      </c>
      <c r="E106" s="20" t="inlineStr">
        <is>
          <t>строка таблицы</t>
        </is>
      </c>
      <c r="F106" s="21" t="inlineStr">
        <is>
          <t>table_row</t>
        </is>
      </c>
      <c r="G106" s="107" t="inlineStr">
        <is>
          <t>—</t>
        </is>
      </c>
      <c r="H106" s="20" t="inlineStr">
        <is>
          <t xml:space="preserve">0 ₽ / Месяц </t>
        </is>
      </c>
      <c r="I106" s="20" t="inlineStr"/>
      <c r="J106" s="20" t="inlineStr"/>
      <c r="K106" s="21" t="inlineStr"/>
      <c r="L106" s="20" t="inlineStr">
        <is>
          <t>удаляется крестиком</t>
        </is>
      </c>
    </row>
    <row r="107">
      <c r="A107" s="20" t="inlineStr"/>
      <c r="B107" s="20" t="inlineStr"/>
      <c r="C107" s="20" t="inlineStr"/>
      <c r="D107" s="20" t="inlineStr">
        <is>
          <t>Таргетированная реклама</t>
        </is>
      </c>
      <c r="E107" s="20" t="inlineStr">
        <is>
          <t>строка таблицы</t>
        </is>
      </c>
      <c r="F107" s="21" t="inlineStr">
        <is>
          <t>table_row</t>
        </is>
      </c>
      <c r="G107" s="107" t="inlineStr">
        <is>
          <t>—</t>
        </is>
      </c>
      <c r="H107" s="20" t="inlineStr">
        <is>
          <t xml:space="preserve">0 ₽ / Месяц </t>
        </is>
      </c>
      <c r="I107" s="20" t="inlineStr"/>
      <c r="J107" s="20" t="inlineStr"/>
      <c r="K107" s="21" t="inlineStr"/>
      <c r="L107" s="20" t="inlineStr">
        <is>
          <t>удаляется крестиком</t>
        </is>
      </c>
    </row>
    <row r="108">
      <c r="A108" s="20" t="inlineStr"/>
      <c r="B108" s="20" t="inlineStr"/>
      <c r="C108" s="20" t="inlineStr"/>
      <c r="D108" s="20" t="inlineStr">
        <is>
          <t>Платные размещения у блогеров</t>
        </is>
      </c>
      <c r="E108" s="20" t="inlineStr">
        <is>
          <t>строка таблицы</t>
        </is>
      </c>
      <c r="F108" s="21" t="inlineStr">
        <is>
          <t>table_row</t>
        </is>
      </c>
      <c r="G108" s="107" t="inlineStr">
        <is>
          <t>—</t>
        </is>
      </c>
      <c r="H108" s="20" t="inlineStr">
        <is>
          <t xml:space="preserve">0 ₽ / Месяц </t>
        </is>
      </c>
      <c r="I108" s="20" t="inlineStr"/>
      <c r="J108" s="20" t="inlineStr"/>
      <c r="K108" s="21" t="inlineStr"/>
      <c r="L108" s="20" t="inlineStr">
        <is>
          <t>удаляется крестиком</t>
        </is>
      </c>
    </row>
    <row r="109">
      <c r="A109" s="20" t="inlineStr"/>
      <c r="B109" s="20" t="inlineStr"/>
      <c r="C109" s="20" t="inlineStr"/>
      <c r="D109" s="20" t="inlineStr">
        <is>
          <t>Отклики на Profi.ru</t>
        </is>
      </c>
      <c r="E109" s="20" t="inlineStr">
        <is>
          <t>строка таблицы</t>
        </is>
      </c>
      <c r="F109" s="21" t="inlineStr">
        <is>
          <t>table_row</t>
        </is>
      </c>
      <c r="G109" s="107" t="inlineStr">
        <is>
          <t>—</t>
        </is>
      </c>
      <c r="H109" s="20" t="inlineStr">
        <is>
          <t xml:space="preserve">0 ₽ / Месяц </t>
        </is>
      </c>
      <c r="I109" s="20" t="inlineStr"/>
      <c r="J109" s="20" t="inlineStr"/>
      <c r="K109" s="21" t="inlineStr"/>
      <c r="L109" s="20" t="inlineStr">
        <is>
          <t>удаляется крестиком</t>
        </is>
      </c>
    </row>
    <row r="110">
      <c r="A110" s="5" t="inlineStr"/>
      <c r="B110" s="5" t="inlineStr"/>
      <c r="C110" s="5" t="inlineStr"/>
      <c r="D110" s="5" t="inlineStr">
        <is>
          <t>+ Добавить канал</t>
        </is>
      </c>
      <c r="E110" s="5" t="inlineStr">
        <is>
          <t>кнопка</t>
        </is>
      </c>
      <c r="F110" s="6" t="inlineStr">
        <is>
          <t>button_add</t>
        </is>
      </c>
      <c r="G110" s="61" t="inlineStr">
        <is>
          <t>авто</t>
        </is>
      </c>
      <c r="H110" s="5" t="inlineStr">
        <is>
          <t>—</t>
        </is>
      </c>
      <c r="I110" s="5" t="inlineStr"/>
      <c r="J110" s="5" t="inlineStr">
        <is>
          <t>Form010</t>
        </is>
      </c>
      <c r="K110" s="6" t="inlineStr">
        <is>
          <t>—</t>
        </is>
      </c>
      <c r="L110" s="5" t="inlineStr"/>
    </row>
    <row r="111">
      <c r="A111" s="108" t="inlineStr"/>
      <c r="B111" s="108" t="inlineStr"/>
      <c r="C111" s="108" t="inlineStr"/>
      <c r="D111" s="108" t="inlineStr">
        <is>
          <t>Итого</t>
        </is>
      </c>
      <c r="E111" s="108" t="inlineStr">
        <is>
          <t>строка итога</t>
        </is>
      </c>
      <c r="F111" s="109" t="inlineStr">
        <is>
          <t>calc_row</t>
        </is>
      </c>
      <c r="G111" s="110" t="inlineStr">
        <is>
          <t>100%</t>
        </is>
      </c>
      <c r="H111" s="108" t="inlineStr">
        <is>
          <t>187 500</t>
        </is>
      </c>
      <c r="I111" s="108" t="inlineStr">
        <is>
          <t>₽/год</t>
        </is>
      </c>
      <c r="J111" s="108" t="inlineStr">
        <is>
          <t>Form010</t>
        </is>
      </c>
      <c r="K111" s="109" t="inlineStr">
        <is>
          <t>var_ads</t>
        </is>
      </c>
      <c r="L111" s="108" t="inlineStr"/>
    </row>
    <row r="112">
      <c r="A112" s="101" t="inlineStr">
        <is>
          <t>13</t>
        </is>
      </c>
      <c r="B112" s="3" t="inlineStr">
        <is>
          <t>Block15</t>
        </is>
      </c>
      <c r="C112" s="3" t="inlineStr">
        <is>
          <t>4 · Расходы</t>
        </is>
      </c>
      <c r="D112" s="3" t="inlineStr">
        <is>
          <t>Банковское обслуживание</t>
        </is>
      </c>
      <c r="E112" s="102" t="inlineStr">
        <is>
          <t>две части: платежи и процент</t>
        </is>
      </c>
      <c r="F112" s="103" t="n"/>
      <c r="G112" s="103" t="n"/>
      <c r="H112" s="103" t="n"/>
      <c r="I112" s="103" t="n"/>
      <c r="J112" s="103" t="n"/>
      <c r="K112" s="103" t="n"/>
      <c r="L112" s="103" t="n"/>
    </row>
    <row r="113">
      <c r="A113" s="14" t="inlineStr"/>
      <c r="B113" s="14" t="inlineStr"/>
      <c r="C113" s="14" t="inlineStr"/>
      <c r="D113" s="14" t="inlineStr">
        <is>
          <t>Не учитывать этот блок</t>
        </is>
      </c>
      <c r="E113" s="14" t="inlineStr">
        <is>
          <t>галочка</t>
        </is>
      </c>
      <c r="F113" s="15" t="inlineStr">
        <is>
          <t>checkbox</t>
        </is>
      </c>
      <c r="G113" s="106" t="inlineStr">
        <is>
          <t>авто</t>
        </is>
      </c>
      <c r="H113" s="14" t="inlineStr">
        <is>
          <t>снята</t>
        </is>
      </c>
      <c r="I113" s="14" t="inlineStr"/>
      <c r="J113" s="14" t="inlineStr">
        <is>
          <t>Form007, Form008</t>
        </is>
      </c>
      <c r="K113" s="15" t="inlineStr">
        <is>
          <t>use_Form015</t>
        </is>
      </c>
      <c r="L113" s="14" t="inlineStr"/>
    </row>
    <row r="114">
      <c r="A114" s="5" t="inlineStr"/>
      <c r="B114" s="5" t="inlineStr"/>
      <c r="C114" s="5" t="inlineStr"/>
      <c r="D114" s="5" t="inlineStr">
        <is>
          <t>— Регулярные платежи</t>
        </is>
      </c>
      <c r="E114" s="5" t="inlineStr">
        <is>
          <t>подзаголовок</t>
        </is>
      </c>
      <c r="F114" s="6" t="inlineStr">
        <is>
          <t>subhead</t>
        </is>
      </c>
      <c r="G114" s="61" t="inlineStr">
        <is>
          <t>100%</t>
        </is>
      </c>
      <c r="H114" s="5" t="inlineStr"/>
      <c r="I114" s="5" t="inlineStr"/>
      <c r="J114" s="5" t="inlineStr">
        <is>
          <t>Form007</t>
        </is>
      </c>
      <c r="K114" s="6" t="inlineStr">
        <is>
          <t>—</t>
        </is>
      </c>
      <c r="L114" s="5" t="inlineStr"/>
    </row>
    <row r="115">
      <c r="A115" s="5" t="inlineStr"/>
      <c r="B115" s="5" t="inlineStr"/>
      <c r="C115" s="5" t="inlineStr"/>
      <c r="D115" s="5" t="inlineStr">
        <is>
          <t>Заголовки</t>
        </is>
      </c>
      <c r="E115" s="5" t="inlineStr">
        <is>
          <t>шапка</t>
        </is>
      </c>
      <c r="F115" s="6" t="inlineStr">
        <is>
          <t>table_head</t>
        </is>
      </c>
      <c r="G115" s="61" t="inlineStr">
        <is>
          <t>100%</t>
        </is>
      </c>
      <c r="H115" s="5" t="inlineStr">
        <is>
          <t>Позиция · Стоимость ₽ · Период · ₽/год</t>
        </is>
      </c>
      <c r="I115" s="5" t="inlineStr"/>
      <c r="J115" s="5" t="inlineStr">
        <is>
          <t>Form007</t>
        </is>
      </c>
      <c r="K115" s="6" t="inlineStr">
        <is>
          <t>—</t>
        </is>
      </c>
      <c r="L115" s="5" t="inlineStr"/>
    </row>
    <row r="116">
      <c r="A116" s="20" t="inlineStr"/>
      <c r="B116" s="20" t="inlineStr"/>
      <c r="C116" s="20" t="inlineStr"/>
      <c r="D116" s="20" t="inlineStr">
        <is>
          <t>Обслуживание счёта (РКО)</t>
        </is>
      </c>
      <c r="E116" s="20" t="inlineStr">
        <is>
          <t>строка таблицы</t>
        </is>
      </c>
      <c r="F116" s="21" t="inlineStr">
        <is>
          <t>table_row</t>
        </is>
      </c>
      <c r="G116" s="107" t="inlineStr">
        <is>
          <t>—</t>
        </is>
      </c>
      <c r="H116" s="20" t="inlineStr">
        <is>
          <t xml:space="preserve">0 ₽ / Месяц </t>
        </is>
      </c>
      <c r="I116" s="20" t="inlineStr"/>
      <c r="J116" s="20" t="inlineStr"/>
      <c r="K116" s="21" t="inlineStr"/>
      <c r="L116" s="20" t="inlineStr">
        <is>
          <t>удаляется крестиком</t>
        </is>
      </c>
    </row>
    <row r="117">
      <c r="A117" s="20" t="inlineStr"/>
      <c r="B117" s="20" t="inlineStr"/>
      <c r="C117" s="20" t="inlineStr"/>
      <c r="D117" s="20" t="inlineStr">
        <is>
          <t>СМС-уведомления</t>
        </is>
      </c>
      <c r="E117" s="20" t="inlineStr">
        <is>
          <t>строка таблицы</t>
        </is>
      </c>
      <c r="F117" s="21" t="inlineStr">
        <is>
          <t>table_row</t>
        </is>
      </c>
      <c r="G117" s="107" t="inlineStr">
        <is>
          <t>—</t>
        </is>
      </c>
      <c r="H117" s="20" t="inlineStr">
        <is>
          <t xml:space="preserve">150 ₽ / Месяц </t>
        </is>
      </c>
      <c r="I117" s="20" t="inlineStr"/>
      <c r="J117" s="20" t="inlineStr"/>
      <c r="K117" s="21" t="inlineStr"/>
      <c r="L117" s="20" t="inlineStr">
        <is>
          <t>удаляется крестиком</t>
        </is>
      </c>
    </row>
    <row r="118">
      <c r="A118" s="5" t="inlineStr"/>
      <c r="B118" s="5" t="inlineStr"/>
      <c r="C118" s="5" t="inlineStr"/>
      <c r="D118" s="5" t="inlineStr">
        <is>
          <t>+ Добавить платёж</t>
        </is>
      </c>
      <c r="E118" s="5" t="inlineStr">
        <is>
          <t>кнопка</t>
        </is>
      </c>
      <c r="F118" s="6" t="inlineStr">
        <is>
          <t>button_add</t>
        </is>
      </c>
      <c r="G118" s="61" t="inlineStr">
        <is>
          <t>авто</t>
        </is>
      </c>
      <c r="H118" s="5" t="inlineStr">
        <is>
          <t>—</t>
        </is>
      </c>
      <c r="I118" s="5" t="inlineStr"/>
      <c r="J118" s="5" t="inlineStr">
        <is>
          <t>Form007</t>
        </is>
      </c>
      <c r="K118" s="6" t="inlineStr">
        <is>
          <t>—</t>
        </is>
      </c>
      <c r="L118" s="5" t="inlineStr"/>
    </row>
    <row r="119">
      <c r="A119" s="108" t="inlineStr"/>
      <c r="B119" s="108" t="inlineStr"/>
      <c r="C119" s="108" t="inlineStr"/>
      <c r="D119" s="108" t="inlineStr">
        <is>
          <t>Итого платежи</t>
        </is>
      </c>
      <c r="E119" s="108" t="inlineStr">
        <is>
          <t>строка итога</t>
        </is>
      </c>
      <c r="F119" s="109" t="inlineStr">
        <is>
          <t>calc_row</t>
        </is>
      </c>
      <c r="G119" s="110" t="inlineStr">
        <is>
          <t>100%</t>
        </is>
      </c>
      <c r="H119" s="108" t="inlineStr">
        <is>
          <t>1 800</t>
        </is>
      </c>
      <c r="I119" s="108" t="inlineStr">
        <is>
          <t>₽/год</t>
        </is>
      </c>
      <c r="J119" s="108" t="inlineStr">
        <is>
          <t>Form007</t>
        </is>
      </c>
      <c r="K119" s="109" t="inlineStr">
        <is>
          <t>var_bank</t>
        </is>
      </c>
      <c r="L119" s="108" t="inlineStr"/>
    </row>
    <row r="120">
      <c r="A120" s="5" t="inlineStr"/>
      <c r="B120" s="5" t="inlineStr"/>
      <c r="C120" s="5" t="inlineStr"/>
      <c r="D120" s="5" t="inlineStr">
        <is>
          <t>— Комиссия с оборота</t>
        </is>
      </c>
      <c r="E120" s="5" t="inlineStr">
        <is>
          <t>подзаголовок</t>
        </is>
      </c>
      <c r="F120" s="6" t="inlineStr">
        <is>
          <t>subhead</t>
        </is>
      </c>
      <c r="G120" s="61" t="inlineStr">
        <is>
          <t>100%</t>
        </is>
      </c>
      <c r="H120" s="5" t="inlineStr"/>
      <c r="I120" s="5" t="inlineStr"/>
      <c r="J120" s="5" t="inlineStr">
        <is>
          <t>Form008</t>
        </is>
      </c>
      <c r="K120" s="6" t="inlineStr">
        <is>
          <t>—</t>
        </is>
      </c>
      <c r="L120" s="5" t="inlineStr"/>
    </row>
    <row r="121">
      <c r="A121" s="5" t="inlineStr"/>
      <c r="B121" s="5" t="inlineStr"/>
      <c r="C121" s="5" t="inlineStr"/>
      <c r="D121" s="5" t="inlineStr">
        <is>
          <t>Ставка эквайринга</t>
        </is>
      </c>
      <c r="E121" s="5" t="inlineStr">
        <is>
          <t>поле ввода</t>
        </is>
      </c>
      <c r="F121" s="6" t="inlineStr">
        <is>
          <t>input_number</t>
        </is>
      </c>
      <c r="G121" s="61" t="inlineStr">
        <is>
          <t>50%</t>
        </is>
      </c>
      <c r="H121" s="5" t="inlineStr">
        <is>
          <t>2,7</t>
        </is>
      </c>
      <c r="I121" s="5" t="inlineStr">
        <is>
          <t>%</t>
        </is>
      </c>
      <c r="J121" s="5" t="inlineStr">
        <is>
          <t>Form008</t>
        </is>
      </c>
      <c r="K121" s="6" t="inlineStr">
        <is>
          <t>acq_rate</t>
        </is>
      </c>
      <c r="L121" s="5" t="inlineStr"/>
    </row>
    <row r="122">
      <c r="A122" s="5" t="inlineStr"/>
      <c r="B122" s="5" t="inlineStr"/>
      <c r="C122" s="5" t="inlineStr"/>
      <c r="D122" s="5" t="inlineStr">
        <is>
          <t>Доля безналичных оплат</t>
        </is>
      </c>
      <c r="E122" s="5" t="inlineStr">
        <is>
          <t>поле ввода</t>
        </is>
      </c>
      <c r="F122" s="6" t="inlineStr">
        <is>
          <t>input_number</t>
        </is>
      </c>
      <c r="G122" s="61" t="inlineStr">
        <is>
          <t>50%</t>
        </is>
      </c>
      <c r="H122" s="5" t="inlineStr">
        <is>
          <t>100</t>
        </is>
      </c>
      <c r="I122" s="5" t="inlineStr">
        <is>
          <t>%</t>
        </is>
      </c>
      <c r="J122" s="5" t="inlineStr">
        <is>
          <t>Form008</t>
        </is>
      </c>
      <c r="K122" s="6" t="inlineStr">
        <is>
          <t>acq_share</t>
        </is>
      </c>
      <c r="L122" s="5" t="inlineStr">
        <is>
          <t>если часть клиентов платит переводом — уменьшите</t>
        </is>
      </c>
    </row>
    <row r="123">
      <c r="A123" s="101" t="inlineStr">
        <is>
          <t>14</t>
        </is>
      </c>
      <c r="B123" s="3" t="inlineStr">
        <is>
          <t>Block14</t>
        </is>
      </c>
      <c r="C123" s="3" t="inlineStr">
        <is>
          <t>4 · Расходы</t>
        </is>
      </c>
      <c r="D123" s="3" t="inlineStr">
        <is>
          <t>Бухгалтерия и учёт</t>
        </is>
      </c>
      <c r="E123" s="102" t="inlineStr">
        <is>
          <t>переключатель: время ИЛИ деньги</t>
        </is>
      </c>
      <c r="F123" s="103" t="n"/>
      <c r="G123" s="103" t="n"/>
      <c r="H123" s="103" t="n"/>
      <c r="I123" s="103" t="n"/>
      <c r="J123" s="103" t="n"/>
      <c r="K123" s="103" t="n"/>
      <c r="L123" s="103" t="n"/>
    </row>
    <row r="124">
      <c r="A124" s="14" t="inlineStr"/>
      <c r="B124" s="14" t="inlineStr"/>
      <c r="C124" s="14" t="inlineStr"/>
      <c r="D124" s="14" t="inlineStr">
        <is>
          <t>Не учитывать этот блок</t>
        </is>
      </c>
      <c r="E124" s="14" t="inlineStr">
        <is>
          <t>галочка</t>
        </is>
      </c>
      <c r="F124" s="15" t="inlineStr">
        <is>
          <t>checkbox</t>
        </is>
      </c>
      <c r="G124" s="106" t="inlineStr">
        <is>
          <t>авто</t>
        </is>
      </c>
      <c r="H124" s="14" t="inlineStr">
        <is>
          <t>снята</t>
        </is>
      </c>
      <c r="I124" s="14" t="inlineStr"/>
      <c r="J124" s="14" t="inlineStr">
        <is>
          <t>Form011</t>
        </is>
      </c>
      <c r="K124" s="15" t="inlineStr">
        <is>
          <t>use_Form011</t>
        </is>
      </c>
      <c r="L124" s="14" t="inlineStr"/>
    </row>
    <row r="125">
      <c r="A125" s="5" t="inlineStr"/>
      <c r="B125" s="5" t="inlineStr"/>
      <c r="C125" s="5" t="inlineStr"/>
      <c r="D125" s="5" t="inlineStr">
        <is>
          <t>Кто ведёт учёт</t>
        </is>
      </c>
      <c r="E125" s="5" t="inlineStr">
        <is>
          <t>переключатель</t>
        </is>
      </c>
      <c r="F125" s="15" t="inlineStr">
        <is>
          <t>radio</t>
        </is>
      </c>
      <c r="G125" s="61" t="inlineStr">
        <is>
          <t>100%</t>
        </is>
      </c>
      <c r="H125" s="5" t="inlineStr">
        <is>
          <t>Веду самостоятельно</t>
        </is>
      </c>
      <c r="I125" s="5" t="inlineStr"/>
      <c r="J125" s="5" t="inlineStr">
        <is>
          <t>Form011</t>
        </is>
      </c>
      <c r="K125" s="6" t="inlineStr">
        <is>
          <t>acc_mode</t>
        </is>
      </c>
      <c r="L125" s="5" t="inlineStr">
        <is>
          <t>2 варианта: Веду самостоятельно / Нанимаю бухгалтера</t>
        </is>
      </c>
    </row>
    <row r="126">
      <c r="A126" s="5" t="inlineStr"/>
      <c r="B126" s="5" t="inlineStr"/>
      <c r="C126" s="5" t="inlineStr"/>
      <c r="D126" s="5" t="inlineStr">
        <is>
          <t>Часов в квартал</t>
        </is>
      </c>
      <c r="E126" s="5" t="inlineStr">
        <is>
          <t>поле ввода</t>
        </is>
      </c>
      <c r="F126" s="6" t="inlineStr">
        <is>
          <t>input_number</t>
        </is>
      </c>
      <c r="G126" s="61" t="inlineStr">
        <is>
          <t>50%</t>
        </is>
      </c>
      <c r="H126" s="5" t="inlineStr">
        <is>
          <t>3</t>
        </is>
      </c>
      <c r="I126" s="5" t="inlineStr">
        <is>
          <t>ч/кв</t>
        </is>
      </c>
      <c r="J126" s="5" t="inlineStr">
        <is>
          <t>Form011</t>
        </is>
      </c>
      <c r="K126" s="6" t="inlineStr">
        <is>
          <t>acc_per_quarter</t>
        </is>
      </c>
      <c r="L126" s="5" t="inlineStr">
        <is>
          <t>видно при «Веду самостоятельно». Уходит в операционное ВРЕМЯ</t>
        </is>
      </c>
    </row>
    <row r="127">
      <c r="A127" s="5" t="inlineStr"/>
      <c r="B127" s="5" t="inlineStr"/>
      <c r="C127" s="5" t="inlineStr"/>
      <c r="D127" s="5" t="inlineStr">
        <is>
          <t>Стоимость бухгалтера</t>
        </is>
      </c>
      <c r="E127" s="5" t="inlineStr">
        <is>
          <t>поле ввода</t>
        </is>
      </c>
      <c r="F127" s="6" t="inlineStr">
        <is>
          <t>input_number</t>
        </is>
      </c>
      <c r="G127" s="61" t="inlineStr">
        <is>
          <t>50%</t>
        </is>
      </c>
      <c r="H127" s="5" t="inlineStr">
        <is>
          <t>10 000</t>
        </is>
      </c>
      <c r="I127" s="5" t="inlineStr">
        <is>
          <t>₽/мес</t>
        </is>
      </c>
      <c r="J127" s="5" t="inlineStr">
        <is>
          <t>Form011</t>
        </is>
      </c>
      <c r="K127" s="6" t="inlineStr">
        <is>
          <t>acc_cost_month</t>
        </is>
      </c>
      <c r="L127" s="5" t="inlineStr">
        <is>
          <t>видно при «Нанимаю». Уходит в ДЕНЬГИ, время = 0</t>
        </is>
      </c>
    </row>
    <row r="128">
      <c r="A128" s="101" t="inlineStr">
        <is>
          <t>15</t>
        </is>
      </c>
      <c r="B128" s="3" t="inlineStr">
        <is>
          <t>—</t>
        </is>
      </c>
      <c r="C128" s="3" t="inlineStr">
        <is>
          <t>5 · Действие</t>
        </is>
      </c>
      <c r="D128" s="3" t="inlineStr">
        <is>
          <t>Кнопка расчёта</t>
        </is>
      </c>
      <c r="E128" s="103" t="n"/>
      <c r="F128" s="103" t="n"/>
      <c r="G128" s="103" t="n"/>
      <c r="H128" s="103" t="n"/>
      <c r="I128" s="103" t="n"/>
      <c r="J128" s="103" t="n"/>
      <c r="K128" s="103" t="n"/>
      <c r="L128" s="103" t="n"/>
    </row>
    <row r="129">
      <c r="A129" s="8" t="inlineStr"/>
      <c r="B129" s="8" t="inlineStr"/>
      <c r="C129" s="8" t="inlineStr"/>
      <c r="D129" s="8" t="inlineStr">
        <is>
          <t>Рассчитать стоимость часа</t>
        </is>
      </c>
      <c r="E129" s="8" t="inlineStr">
        <is>
          <t>кнопка</t>
        </is>
      </c>
      <c r="F129" s="9" t="inlineStr">
        <is>
          <t>button_submit</t>
        </is>
      </c>
      <c r="G129" s="111" t="inlineStr">
        <is>
          <t>100%</t>
        </is>
      </c>
      <c r="H129" s="8" t="inlineStr">
        <is>
          <t>—</t>
        </is>
      </c>
      <c r="I129" s="8" t="inlineStr"/>
      <c r="J129" s="8" t="inlineStr">
        <is>
          <t>—</t>
        </is>
      </c>
      <c r="K129" s="9" t="inlineStr">
        <is>
          <t>—</t>
        </is>
      </c>
      <c r="L129" s="8" t="inlineStr">
        <is>
          <t>запускает анимацию 7 секунд с 7 стадиями</t>
        </is>
      </c>
    </row>
    <row r="130">
      <c r="A130" s="101" t="inlineStr">
        <is>
          <t>16</t>
        </is>
      </c>
      <c r="B130" s="3" t="inlineStr">
        <is>
          <t>Block16</t>
        </is>
      </c>
      <c r="C130" s="3" t="inlineStr">
        <is>
          <t>6 · Результат</t>
        </is>
      </c>
      <c r="D130" s="3" t="inlineStr">
        <is>
          <t>Ваша ставка</t>
        </is>
      </c>
      <c r="E130" s="103" t="n"/>
      <c r="F130" s="103" t="n"/>
      <c r="G130" s="103" t="n"/>
      <c r="H130" s="103" t="n"/>
      <c r="I130" s="103" t="n"/>
      <c r="J130" s="103" t="n"/>
      <c r="K130" s="103" t="n"/>
      <c r="L130" s="103" t="n"/>
    </row>
    <row r="131">
      <c r="A131" s="108" t="inlineStr"/>
      <c r="B131" s="108" t="inlineStr"/>
      <c r="C131" s="108" t="inlineStr"/>
      <c r="D131" s="108" t="inlineStr">
        <is>
          <t>Крупная цифра ставки</t>
        </is>
      </c>
      <c r="E131" s="108" t="inlineStr">
        <is>
          <t>вывод</t>
        </is>
      </c>
      <c r="F131" s="109" t="inlineStr">
        <is>
          <t>report_hero</t>
        </is>
      </c>
      <c r="G131" s="110" t="inlineStr">
        <is>
          <t>100%</t>
        </is>
      </c>
      <c r="H131" s="108" t="inlineStr">
        <is>
          <t>—</t>
        </is>
      </c>
      <c r="I131" s="108" t="inlineStr">
        <is>
          <t>₽/час</t>
        </is>
      </c>
      <c r="J131" s="108" t="inlineStr">
        <is>
          <t>—</t>
        </is>
      </c>
      <c r="K131" s="109" t="inlineStr">
        <is>
          <t>real_rate</t>
        </is>
      </c>
      <c r="L131" s="108" t="inlineStr"/>
    </row>
    <row r="132">
      <c r="A132" s="108" t="inlineStr"/>
      <c r="B132" s="108" t="inlineStr"/>
      <c r="C132" s="108" t="inlineStr"/>
      <c r="D132" s="108" t="inlineStr">
        <is>
          <t>Цена проекта · выручка в месяц · проектов в год</t>
        </is>
      </c>
      <c r="E132" s="108" t="inlineStr">
        <is>
          <t>вывод</t>
        </is>
      </c>
      <c r="F132" s="109" t="inlineStr">
        <is>
          <t>report_row</t>
        </is>
      </c>
      <c r="G132" s="110" t="inlineStr">
        <is>
          <t>100%</t>
        </is>
      </c>
      <c r="H132" s="108" t="inlineStr">
        <is>
          <t>—</t>
        </is>
      </c>
      <c r="I132" s="108" t="inlineStr"/>
      <c r="J132" s="108" t="inlineStr">
        <is>
          <t>—</t>
        </is>
      </c>
      <c r="K132" s="109" t="inlineStr">
        <is>
          <t>—</t>
        </is>
      </c>
      <c r="L132" s="108" t="inlineStr"/>
    </row>
    <row r="133">
      <c r="A133" s="101" t="inlineStr">
        <is>
          <t>17</t>
        </is>
      </c>
      <c r="B133" s="3" t="inlineStr">
        <is>
          <t>Block18</t>
        </is>
      </c>
      <c r="C133" s="3" t="inlineStr">
        <is>
          <t>6 · Результат</t>
        </is>
      </c>
      <c r="D133" s="3" t="inlineStr">
        <is>
          <t>Три кольцевые диаграммы</t>
        </is>
      </c>
      <c r="E133" s="103" t="n"/>
      <c r="F133" s="103" t="n"/>
      <c r="G133" s="103" t="n"/>
      <c r="H133" s="103" t="n"/>
      <c r="I133" s="103" t="n"/>
      <c r="J133" s="103" t="n"/>
      <c r="K133" s="103" t="n"/>
      <c r="L133" s="103" t="n"/>
    </row>
    <row r="134">
      <c r="A134" s="108" t="inlineStr"/>
      <c r="B134" s="108" t="inlineStr"/>
      <c r="C134" s="108" t="inlineStr"/>
      <c r="D134" s="108" t="inlineStr">
        <is>
          <t>Расчётная · Текущая · В ноль</t>
        </is>
      </c>
      <c r="E134" s="108" t="inlineStr">
        <is>
          <t>вывод</t>
        </is>
      </c>
      <c r="F134" s="109" t="inlineStr">
        <is>
          <t>chart_donut</t>
        </is>
      </c>
      <c r="G134" s="110" t="inlineStr">
        <is>
          <t>3 × 33%</t>
        </is>
      </c>
      <c r="H134" s="108" t="inlineStr">
        <is>
          <t>—</t>
        </is>
      </c>
      <c r="I134" s="108" t="inlineStr"/>
      <c r="J134" s="108" t="inlineStr">
        <is>
          <t>—</t>
        </is>
      </c>
      <c r="K134" s="109" t="inlineStr">
        <is>
          <t>—</t>
        </is>
      </c>
      <c r="L134" s="108" t="inlineStr">
        <is>
          <t>5 сегментов: доход, техника, расходы, налоги, банк</t>
        </is>
      </c>
    </row>
    <row r="135">
      <c r="A135" s="101" t="inlineStr">
        <is>
          <t>18</t>
        </is>
      </c>
      <c r="B135" s="3" t="inlineStr">
        <is>
          <t>Block17</t>
        </is>
      </c>
      <c r="C135" s="3" t="inlineStr">
        <is>
          <t>6 · Результат</t>
        </is>
      </c>
      <c r="D135" s="3" t="inlineStr">
        <is>
          <t>За какие роли вы заработали</t>
        </is>
      </c>
      <c r="E135" s="103" t="n"/>
      <c r="F135" s="103" t="n"/>
      <c r="G135" s="103" t="n"/>
      <c r="H135" s="103" t="n"/>
      <c r="I135" s="103" t="n"/>
      <c r="J135" s="103" t="n"/>
      <c r="K135" s="103" t="n"/>
      <c r="L135" s="103" t="n"/>
    </row>
    <row r="136">
      <c r="A136" s="108" t="inlineStr"/>
      <c r="B136" s="108" t="inlineStr"/>
      <c r="C136" s="108" t="inlineStr"/>
      <c r="D136" s="108" t="inlineStr">
        <is>
          <t>Таблица ролей</t>
        </is>
      </c>
      <c r="E136" s="108" t="inlineStr">
        <is>
          <t>вывод</t>
        </is>
      </c>
      <c r="F136" s="109" t="inlineStr">
        <is>
          <t>report_table</t>
        </is>
      </c>
      <c r="G136" s="110" t="inlineStr">
        <is>
          <t>100%</t>
        </is>
      </c>
      <c r="H136" s="108" t="inlineStr">
        <is>
          <t>—</t>
        </is>
      </c>
      <c r="I136" s="108" t="inlineStr"/>
      <c r="J136" s="108" t="inlineStr">
        <is>
          <t>—</t>
        </is>
      </c>
      <c r="K136" s="109" t="inlineStr">
        <is>
          <t>—</t>
        </is>
      </c>
      <c r="L136" s="108" t="inlineStr">
        <is>
          <t>фотограф, ретушёр, менеджер, маркетолог, бухгалтер, компенсация</t>
        </is>
      </c>
    </row>
    <row r="137">
      <c r="A137" s="101" t="inlineStr">
        <is>
          <t>19</t>
        </is>
      </c>
      <c r="B137" s="3" t="inlineStr">
        <is>
          <t>Block17</t>
        </is>
      </c>
      <c r="C137" s="3" t="inlineStr">
        <is>
          <t>6 · Результат</t>
        </is>
      </c>
      <c r="D137" s="3" t="inlineStr">
        <is>
          <t>Сколько вы теряете</t>
        </is>
      </c>
      <c r="E137" s="103" t="n"/>
      <c r="F137" s="103" t="n"/>
      <c r="G137" s="103" t="n"/>
      <c r="H137" s="103" t="n"/>
      <c r="I137" s="103" t="n"/>
      <c r="J137" s="103" t="n"/>
      <c r="K137" s="103" t="n"/>
      <c r="L137" s="103" t="n"/>
    </row>
    <row r="138">
      <c r="A138" s="108" t="inlineStr"/>
      <c r="B138" s="108" t="inlineStr"/>
      <c r="C138" s="108" t="inlineStr"/>
      <c r="D138" s="108" t="inlineStr">
        <is>
          <t>Недобор за год и с часа</t>
        </is>
      </c>
      <c r="E138" s="108" t="inlineStr">
        <is>
          <t>вывод</t>
        </is>
      </c>
      <c r="F138" s="109" t="inlineStr">
        <is>
          <t>report_warn</t>
        </is>
      </c>
      <c r="G138" s="110" t="inlineStr">
        <is>
          <t>100%</t>
        </is>
      </c>
      <c r="H138" s="108" t="inlineStr">
        <is>
          <t>—</t>
        </is>
      </c>
      <c r="I138" s="108" t="inlineStr">
        <is>
          <t>₽</t>
        </is>
      </c>
      <c r="J138" s="108" t="inlineStr">
        <is>
          <t>—</t>
        </is>
      </c>
      <c r="K138" s="109" t="inlineStr">
        <is>
          <t>—</t>
        </is>
      </c>
      <c r="L138" s="108" t="inlineStr">
        <is>
          <t>показывать только если заполнена current_rate</t>
        </is>
      </c>
    </row>
    <row r="139">
      <c r="A139" s="101" t="inlineStr">
        <is>
          <t>20</t>
        </is>
      </c>
      <c r="B139" s="3" t="inlineStr">
        <is>
          <t>—</t>
        </is>
      </c>
      <c r="C139" s="3" t="inlineStr">
        <is>
          <t>6 · Результат</t>
        </is>
      </c>
      <c r="D139" s="3" t="inlineStr">
        <is>
          <t>Ваша неделя</t>
        </is>
      </c>
      <c r="E139" s="103" t="n"/>
      <c r="F139" s="103" t="n"/>
      <c r="G139" s="103" t="n"/>
      <c r="H139" s="103" t="n"/>
      <c r="I139" s="103" t="n"/>
      <c r="J139" s="103" t="n"/>
      <c r="K139" s="103" t="n"/>
      <c r="L139" s="103" t="n"/>
    </row>
    <row r="140">
      <c r="A140" s="108" t="inlineStr"/>
      <c r="B140" s="108" t="inlineStr"/>
      <c r="C140" s="108" t="inlineStr"/>
      <c r="D140" s="108" t="inlineStr">
        <is>
          <t>Сетка 7 × 24</t>
        </is>
      </c>
      <c r="E140" s="108" t="inlineStr">
        <is>
          <t>вывод</t>
        </is>
      </c>
      <c r="F140" s="109" t="inlineStr">
        <is>
          <t>chart_week</t>
        </is>
      </c>
      <c r="G140" s="110" t="inlineStr">
        <is>
          <t>100%</t>
        </is>
      </c>
      <c r="H140" s="108" t="inlineStr">
        <is>
          <t>—</t>
        </is>
      </c>
      <c r="I140" s="108" t="inlineStr"/>
      <c r="J140" s="108" t="inlineStr">
        <is>
          <t>—</t>
        </is>
      </c>
      <c r="K140" s="109" t="inlineStr">
        <is>
          <t>—</t>
        </is>
      </c>
      <c r="L140" s="108" t="inlineStr">
        <is>
          <t>цветные блоки по видам работ, серое — отдых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30" customWidth="1" min="3" max="3"/>
    <col width="17" customWidth="1" min="4" max="4"/>
    <col width="13" customWidth="1" min="5" max="5"/>
    <col width="40" customWidth="1" min="6" max="6"/>
    <col width="30" customWidth="1" min="7" max="7"/>
  </cols>
  <sheetData>
    <row r="1">
      <c r="A1" s="1" t="inlineStr">
        <is>
          <t>08b · UI-МАТРИЦА ОТЧЁТА — что видно бесплатно, что после оплаты</t>
        </is>
      </c>
    </row>
    <row r="2">
      <c r="A2" s="25" t="inlineStr">
        <is>
          <t>Зелёный — открыто всем. Жёлтый — под размытием до оплаты.</t>
        </is>
      </c>
    </row>
    <row r="4" ht="28" customHeight="1">
      <c r="A4" s="44" t="inlineStr">
        <is>
          <t>№</t>
        </is>
      </c>
      <c r="B4" s="44" t="inlineStr">
        <is>
          <t>Доступ</t>
        </is>
      </c>
      <c r="C4" s="44" t="inlineStr">
        <is>
          <t>Заголовок / элемент</t>
        </is>
      </c>
      <c r="D4" s="44" t="inlineStr">
        <is>
          <t>Тип</t>
        </is>
      </c>
      <c r="E4" s="44" t="inlineStr">
        <is>
          <t>Ширина</t>
        </is>
      </c>
      <c r="F4" s="44" t="inlineStr">
        <is>
          <t>Что показывает</t>
        </is>
      </c>
      <c r="G4" s="44" t="inlineStr">
        <is>
          <t>Параметры</t>
        </is>
      </c>
    </row>
    <row r="5">
      <c r="A5" s="3" t="inlineStr">
        <is>
          <t>ПРЕДВАРИТЕЛЬНЫЙ ОТЧЁТ — видят все</t>
        </is>
      </c>
    </row>
    <row r="6">
      <c r="A6" s="110" t="inlineStr">
        <is>
          <t>П1</t>
        </is>
      </c>
      <c r="B6" s="108" t="inlineStr">
        <is>
          <t>открыто</t>
        </is>
      </c>
      <c r="C6" s="5" t="inlineStr">
        <is>
          <t>Ваша расчётная ставка</t>
        </is>
      </c>
      <c r="D6" s="5" t="inlineStr">
        <is>
          <t>report_hero</t>
        </is>
      </c>
      <c r="E6" s="5" t="inlineStr">
        <is>
          <t>100%</t>
        </is>
      </c>
      <c r="F6" s="5" t="inlineStr">
        <is>
          <t>Крупная цифра ₽/час на зелёном градиенте</t>
        </is>
      </c>
      <c r="G6" s="6" t="inlineStr">
        <is>
          <t>real_rate</t>
        </is>
      </c>
    </row>
    <row r="7">
      <c r="A7" s="110" t="inlineStr">
        <is>
          <t>П2</t>
        </is>
      </c>
      <c r="B7" s="108" t="inlineStr">
        <is>
          <t>открыто</t>
        </is>
      </c>
      <c r="C7" s="5" t="inlineStr">
        <is>
          <t>За одну съёмку · выручка в месяц · съёмок в месяц</t>
        </is>
      </c>
      <c r="D7" s="5" t="inlineStr">
        <is>
          <t>report_row</t>
        </is>
      </c>
      <c r="E7" s="5" t="inlineStr">
        <is>
          <t>3 колонки</t>
        </is>
      </c>
      <c r="F7" s="5" t="inlineStr">
        <is>
          <t>Три показателя в строку под главной цифрой</t>
        </is>
      </c>
      <c r="G7" s="6" t="inlineStr">
        <is>
          <t>R/projects_year, R/12, projects_year/12</t>
        </is>
      </c>
    </row>
    <row r="8">
      <c r="A8" s="110" t="inlineStr">
        <is>
          <t>П3</t>
        </is>
      </c>
      <c r="B8" s="108" t="inlineStr">
        <is>
          <t>открыто</t>
        </is>
      </c>
      <c r="C8" s="5" t="inlineStr">
        <is>
          <t>Куда уходит каждый час съёмки</t>
        </is>
      </c>
      <c r="D8" s="5" t="inlineStr">
        <is>
          <t>chart_donut</t>
        </is>
      </c>
      <c r="E8" s="5" t="inlineStr">
        <is>
          <t>100%</t>
        </is>
      </c>
      <c r="F8" s="5" t="inlineStr">
        <is>
          <t>Одна кольцевая диаграмма, 11 сегментов, легенда справа двумя группами</t>
        </is>
      </c>
      <c r="G8" s="6" t="inlineStr">
        <is>
          <t>parts(d)</t>
        </is>
      </c>
    </row>
    <row r="9">
      <c r="A9" s="110" t="inlineStr">
        <is>
          <t>П4</t>
        </is>
      </c>
      <c r="B9" s="108" t="inlineStr">
        <is>
          <t>открыто</t>
        </is>
      </c>
      <c r="C9" s="5" t="inlineStr">
        <is>
          <t>А теперь сравните со своей зарплатой</t>
        </is>
      </c>
      <c r="D9" s="5" t="inlineStr">
        <is>
          <t>compare_box</t>
        </is>
      </c>
      <c r="E9" s="5" t="inlineStr">
        <is>
          <t>2 колонки</t>
        </is>
      </c>
      <c r="F9" s="5" t="inlineStr">
        <is>
          <t>Хотите получать / Получаете сейчас, полоса-индикатор, разница в месяц и за год</t>
        </is>
      </c>
      <c r="G9" s="6" t="inlineStr">
        <is>
          <t>target_income/12, leftC/12</t>
        </is>
      </c>
    </row>
    <row r="10">
      <c r="A10" s="110" t="inlineStr">
        <is>
          <t>П5</t>
        </is>
      </c>
      <c r="B10" s="108" t="inlineStr">
        <is>
          <t>открыто</t>
        </is>
      </c>
      <c r="C10" s="5" t="inlineStr">
        <is>
          <t>Блок оплаты</t>
        </is>
      </c>
      <c r="D10" s="5" t="inlineStr">
        <is>
          <t>paywall</t>
        </is>
      </c>
      <c r="E10" s="5" t="inlineStr">
        <is>
          <t>100%</t>
        </is>
      </c>
      <c r="F10" s="5" t="inlineStr">
        <is>
          <t>Иконка, заголовок, цена, две кнопки, способы оплаты, список содержимого</t>
        </is>
      </c>
      <c r="G10" s="6" t="inlineStr">
        <is>
          <t>PRICE_REF, PRICE_FULL</t>
        </is>
      </c>
    </row>
    <row r="12">
      <c r="A12" s="3" t="inlineStr">
        <is>
          <t>ПОЛНЫЙ ОТЧЁТ — после оплаты</t>
        </is>
      </c>
    </row>
    <row r="13">
      <c r="A13" s="124" t="inlineStr">
        <is>
          <t>О1</t>
        </is>
      </c>
      <c r="B13" s="113" t="inlineStr">
        <is>
          <t>закрыто</t>
        </is>
      </c>
      <c r="C13" s="5" t="inlineStr">
        <is>
          <t>Три кольцевые диаграммы</t>
        </is>
      </c>
      <c r="D13" s="5" t="inlineStr">
        <is>
          <t>chart_donut × 3</t>
        </is>
      </c>
      <c r="E13" s="5" t="inlineStr">
        <is>
          <t>3 колонки</t>
        </is>
      </c>
      <c r="F13" s="5" t="inlineStr">
        <is>
          <t>Расчётная · Текущая · Работа в ноль. Одинаковые сегменты и цвета</t>
        </is>
      </c>
      <c r="G13" s="6" t="inlineStr">
        <is>
          <t>parts, Pc, Pb</t>
        </is>
      </c>
    </row>
    <row r="14">
      <c r="A14" s="124" t="inlineStr">
        <is>
          <t>О2</t>
        </is>
      </c>
      <c r="B14" s="113" t="inlineStr">
        <is>
          <t>закрыто</t>
        </is>
      </c>
      <c r="C14" s="5" t="inlineStr">
        <is>
          <t>За какие роли вы это заработали</t>
        </is>
      </c>
      <c r="D14" s="5" t="inlineStr">
        <is>
          <t>report_table</t>
        </is>
      </c>
      <c r="E14" s="5" t="inlineStr">
        <is>
          <t>100%</t>
        </is>
      </c>
      <c r="F14" s="5" t="inlineStr">
        <is>
          <t>6 строк: фотограф, ретушёр, менеджер, маркетолог, бухгалтер, компенсация. Колонки: часов в год, часов на проект, ₽ в год, ₽ с часа съёмки</t>
        </is>
      </c>
      <c r="G14" s="6" t="inlineStr">
        <is>
          <t>hr × время роли</t>
        </is>
      </c>
    </row>
    <row r="15">
      <c r="A15" s="124" t="inlineStr">
        <is>
          <t>О3</t>
        </is>
      </c>
      <c r="B15" s="113" t="inlineStr">
        <is>
          <t>закрыто</t>
        </is>
      </c>
      <c r="C15" s="5" t="inlineStr">
        <is>
          <t>Чипы над таблицей</t>
        </is>
      </c>
      <c r="D15" s="5" t="inlineStr">
        <is>
          <t>chips</t>
        </is>
      </c>
      <c r="E15" s="5" t="inlineStr">
        <is>
          <t>авто</t>
        </is>
      </c>
      <c r="F15" s="5" t="inlineStr">
        <is>
          <t>Съёмка · Проект · Съёмочных часов в год · Занято в неделю</t>
        </is>
      </c>
      <c r="G15" s="6" t="inlineStr">
        <is>
          <t>S, project_time, shooting_time</t>
        </is>
      </c>
    </row>
    <row r="16">
      <c r="A16" s="124" t="inlineStr">
        <is>
          <t>О4</t>
        </is>
      </c>
      <c r="B16" s="113" t="inlineStr">
        <is>
          <t>закрыто</t>
        </is>
      </c>
      <c r="C16" s="5" t="inlineStr">
        <is>
          <t>Что это значит</t>
        </is>
      </c>
      <c r="D16" s="5" t="inlineStr">
        <is>
          <t>expl_list</t>
        </is>
      </c>
      <c r="E16" s="5" t="inlineStr">
        <is>
          <t>100%</t>
        </is>
      </c>
      <c r="F16" s="5" t="inlineStr">
        <is>
          <t>6 плашек с цветным маркером слева: вам заплатят, вы заработаете, отложите, заплатите, отдадите государству, отдадите банку</t>
        </is>
      </c>
      <c r="G16" s="6" t="inlineStr">
        <is>
          <t>CO[0,6,8,9,10]</t>
        </is>
      </c>
    </row>
    <row r="17">
      <c r="A17" s="124" t="inlineStr">
        <is>
          <t>О5</t>
        </is>
      </c>
      <c r="B17" s="113" t="inlineStr">
        <is>
          <t>закрыто</t>
        </is>
      </c>
      <c r="C17" s="5" t="inlineStr">
        <is>
          <t>Сколько вы теряете</t>
        </is>
      </c>
      <c r="D17" s="5" t="inlineStr">
        <is>
          <t>warn_box</t>
        </is>
      </c>
      <c r="E17" s="5" t="inlineStr">
        <is>
          <t>100%</t>
        </is>
      </c>
      <c r="F17" s="5" t="inlineStr">
        <is>
          <t>Красный блок: текущая ставка, остаётся на руки, крупная цифра недобора, недобор с часа, минимум без убытка</t>
        </is>
      </c>
      <c r="G17" s="6" t="inlineStr">
        <is>
          <t>miss, Rb</t>
        </is>
      </c>
    </row>
    <row r="18">
      <c r="A18" s="124" t="inlineStr">
        <is>
          <t>О6</t>
        </is>
      </c>
      <c r="B18" s="113" t="inlineStr">
        <is>
          <t>закрыто</t>
        </is>
      </c>
      <c r="C18" s="5" t="inlineStr">
        <is>
          <t>Ваша неделя</t>
        </is>
      </c>
      <c r="D18" s="5" t="inlineStr">
        <is>
          <t>chart_week</t>
        </is>
      </c>
      <c r="E18" s="5" t="inlineStr">
        <is>
          <t>100%</t>
        </is>
      </c>
      <c r="F18" s="5" t="inlineStr">
        <is>
          <t>Сетка 5 дней × 9 часов с 10:00 до 19:00. Обед серым. Легенда цветами диаграммы</t>
        </is>
      </c>
      <c r="G18" s="6" t="inlineStr">
        <is>
          <t>perDay, CO[0..5]</t>
        </is>
      </c>
    </row>
    <row r="20">
      <c r="A20" s="3" t="inlineStr">
        <is>
          <t>ПОСЛЕ ОПЛАТЫ</t>
        </is>
      </c>
    </row>
    <row r="21">
      <c r="A21" s="110" t="inlineStr">
        <is>
          <t>Б1</t>
        </is>
      </c>
      <c r="B21" s="108" t="inlineStr">
        <is>
          <t>открыто</t>
        </is>
      </c>
      <c r="C21" s="5" t="inlineStr">
        <is>
          <t>Спасибо за поддержку</t>
        </is>
      </c>
      <c r="D21" s="5" t="inlineStr">
        <is>
          <t>thanks_box</t>
        </is>
      </c>
      <c r="E21" s="5" t="inlineStr">
        <is>
          <t>100%</t>
        </is>
      </c>
      <c r="F21" s="5" t="inlineStr">
        <is>
          <t>Зелёный блок с галочкой, текст благодарности, кнопка «Скачать PDF»</t>
        </is>
      </c>
      <c r="G21" s="6" t="inlineStr">
        <is>
          <t>появляется при ?paid=1</t>
        </is>
      </c>
    </row>
    <row r="22">
      <c r="A22" s="110" t="inlineStr">
        <is>
          <t>Б2</t>
        </is>
      </c>
      <c r="B22" s="108" t="inlineStr">
        <is>
          <t>открыто</t>
        </is>
      </c>
      <c r="C22" s="5" t="inlineStr">
        <is>
          <t>Скачать PDF</t>
        </is>
      </c>
      <c r="D22" s="5" t="inlineStr">
        <is>
          <t>button_print</t>
        </is>
      </c>
      <c r="E22" s="5" t="inlineStr">
        <is>
          <t>420px</t>
        </is>
      </c>
      <c r="F22" s="5" t="inlineStr">
        <is>
          <t>Вызывает печать браузера. @media print скрывает форму и оставляет только отчёт</t>
        </is>
      </c>
      <c r="G22" s="6" t="inlineStr">
        <is>
          <t>window.print()</t>
        </is>
      </c>
    </row>
  </sheetData>
  <mergeCells count="5">
    <mergeCell ref="A1:G1"/>
    <mergeCell ref="A12:G12"/>
    <mergeCell ref="A20:G20"/>
    <mergeCell ref="A2:G2"/>
    <mergeCell ref="A5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15" customWidth="1" min="3" max="3"/>
    <col width="54" customWidth="1" min="4" max="4"/>
    <col width="40" customWidth="1" min="5" max="5"/>
  </cols>
  <sheetData>
    <row r="1">
      <c r="A1" s="144" t="inlineStr">
        <is>
          <t>08c · СТРУКТУРА ОТЧЁТА — что и где показывается</t>
        </is>
      </c>
    </row>
    <row r="2" ht="30" customHeight="1">
      <c r="A2" s="227" t="inlineStr">
        <is>
          <t>Порядок блоков сверху вниз, как в report.html. Колонка «Показатели» — какие цифры выводятся и по какой формуле. Колонка id — техническое имя контейнера в вёрстке, по нему цифра ищется в коде.</t>
        </is>
      </c>
    </row>
    <row r="4">
      <c r="A4" s="146" t="inlineStr">
        <is>
          <t>ШАПКА И ГЛАВНЫЙ ЭКРАН</t>
        </is>
      </c>
      <c r="B4" s="147" t="n"/>
      <c r="C4" s="147" t="n"/>
      <c r="D4" s="147" t="n"/>
      <c r="E4" s="147" t="n"/>
    </row>
    <row r="5">
      <c r="A5" s="232" t="inlineStr">
        <is>
          <t>№</t>
        </is>
      </c>
      <c r="B5" s="232" t="inlineStr">
        <is>
          <t>Блок</t>
        </is>
      </c>
      <c r="C5" s="232" t="inlineStr">
        <is>
          <t>Тип</t>
        </is>
      </c>
      <c r="D5" s="232" t="inlineStr">
        <is>
          <t>Показатели и формулы</t>
        </is>
      </c>
      <c r="E5" s="232" t="inlineStr">
        <is>
          <t>id в вёрстке</t>
        </is>
      </c>
    </row>
    <row r="6" ht="36" customHeight="1">
      <c r="A6" s="149" t="inlineStr">
        <is>
          <t>—</t>
        </is>
      </c>
      <c r="B6" s="149" t="inlineStr">
        <is>
          <t>Шапка</t>
        </is>
      </c>
      <c r="C6" s="233" t="inlineStr">
        <is>
          <t>header</t>
        </is>
      </c>
      <c r="D6" s="233" t="inlineStr">
        <is>
          <t>Заголовок, подзаголовок, дата расчёта. Логотип справа</t>
        </is>
      </c>
      <c r="E6" s="234" t="inlineStr">
        <is>
          <t>rMeta</t>
        </is>
      </c>
    </row>
    <row r="7" ht="96" customHeight="1">
      <c r="A7" s="149" t="inlineStr">
        <is>
          <t>—</t>
        </is>
      </c>
      <c r="B7" s="149" t="inlineStr">
        <is>
          <t>Зелёная плашка · ставка</t>
        </is>
      </c>
      <c r="C7" s="233" t="inlineStr">
        <is>
          <t>hero</t>
        </is>
      </c>
      <c r="D7" s="233" t="inlineStr">
        <is>
          <t>Крупно: ставка часа = revenue_full / shooting_time, округлена вверх до 500. В скобках точное значение.
Под ней строка: фактическая стоимость часа = target_income / (net_time + idle_time) = 747 ₽.
Три показателя в строку:
· Ваш доход на руки = target_income / 12
· Всего расходов = (investment + variable_costs + налоги + эквайринг) / 12
· Общая выручка = revenue_full / 12
ПРОВЕРКА: доход + расходы = выручка</t>
        </is>
      </c>
      <c r="E7" s="234" t="inlineStr">
        <is>
          <t>hRate, hRateEx,
hInc, hExp, hMon</t>
        </is>
      </c>
    </row>
    <row r="8" ht="22" customHeight="1">
      <c r="A8" s="149" t="inlineStr">
        <is>
          <t>—</t>
        </is>
      </c>
      <c r="B8" s="149" t="inlineStr">
        <is>
          <t>Кнопка PDF</t>
        </is>
      </c>
      <c r="C8" s="233" t="inlineStr">
        <is>
          <t>button</t>
        </is>
      </c>
      <c r="D8" s="233" t="inlineStr">
        <is>
          <t>Печать. Имя файла: ГГГГ-ММ-ДД Счетикс для фотографа</t>
        </is>
      </c>
      <c r="E8" s="234" t="inlineStr">
        <is>
          <t>dlpdf</t>
        </is>
      </c>
    </row>
    <row r="9" ht="36" customHeight="1">
      <c r="A9" s="149" t="inlineStr">
        <is>
          <t>—</t>
        </is>
      </c>
      <c r="B9" s="149" t="inlineStr">
        <is>
          <t>Условия труда по ТК</t>
        </is>
      </c>
      <c r="C9" s="233" t="inlineStr">
        <is>
          <t>cond</t>
        </is>
      </c>
      <c r="D9" s="233" t="inlineStr">
        <is>
          <t>5/2 · 28 дней отпуска · 8 часов — константы календаря</t>
        </is>
      </c>
      <c r="E9" s="234" t="inlineStr">
        <is>
          <t>condGrid</t>
        </is>
      </c>
    </row>
    <row r="10">
      <c r="A10" s="149" t="inlineStr">
        <is>
          <t>—</t>
        </is>
      </c>
      <c r="B10" s="149" t="inlineStr">
        <is>
          <t>Почему этому расчёту можно верить</t>
        </is>
      </c>
      <c r="C10" s="233" t="inlineStr">
        <is>
          <t>trust</t>
        </is>
      </c>
      <c r="D10" s="233" t="inlineStr">
        <is>
          <t>4 аргумента доверия: считали от вашего дохода · учли всё время · нормы ТК РФ · 7 налоговых режимов</t>
        </is>
      </c>
      <c r="E10" s="234" t="inlineStr">
        <is>
          <t>—</t>
        </is>
      </c>
    </row>
    <row r="11">
      <c r="A11" s="146" t="inlineStr">
        <is>
          <t>БЛОКИ ПОЛНОГО ОТЧЁТА</t>
        </is>
      </c>
      <c r="B11" s="147" t="n"/>
      <c r="C11" s="147" t="n"/>
      <c r="D11" s="147" t="n"/>
      <c r="E11" s="147" t="n"/>
    </row>
    <row r="12" ht="190" customHeight="1">
      <c r="A12" s="232" t="inlineStr">
        <is>
          <t>№</t>
        </is>
      </c>
      <c r="B12" s="232" t="inlineStr">
        <is>
          <t>Блок</t>
        </is>
      </c>
      <c r="C12" s="232" t="inlineStr">
        <is>
          <t>Тип</t>
        </is>
      </c>
      <c r="D12" s="232" t="inlineStr">
        <is>
          <t>Показатели и формулы</t>
        </is>
      </c>
      <c r="E12" s="232" t="inlineStr">
        <is>
          <t>id в вёрстке</t>
        </is>
      </c>
    </row>
    <row r="13" ht="62" customHeight="1">
      <c r="A13" s="149" t="inlineStr">
        <is>
          <t>01</t>
        </is>
      </c>
      <c r="B13" s="149" t="inlineStr">
        <is>
          <t>Как распределяется бюджет</t>
        </is>
      </c>
      <c r="C13" s="233" t="inlineStr">
        <is>
          <t>donut + легенда</t>
        </is>
      </c>
      <c r="D13" s="233" t="inlineStr">
        <is>
          <t>Кольцо: 15 сегментов, в центре ставка часа.
Под кольцом текст: остаётся вам / идёт на расходы.
ЛЕГЕНДА, три группы:
1. Ваш доход — 5 строк ролей: съёмка, обработка, клиент, продвижение, учёт
2. Не оплачивается — простой и форс-мажоры
3. Расходы и налоги — 9 строк: техника и ПО, обучение и сайт, рабочее место, реклама, подписки, аренда, банк, налоги, эквайринг
Каждая строка: ₽ с часа · % · ₽/мес. Нулевые строки скрываются.
ПРОВЕРКА: сумма всех строк = ставка часа</t>
        </is>
      </c>
      <c r="E13" s="234" t="inlineStr">
        <is>
          <t>dn1, dnSum, lg1</t>
        </is>
      </c>
    </row>
    <row r="14" ht="76" customHeight="1">
      <c r="A14" s="149" t="inlineStr">
        <is>
          <t>02</t>
        </is>
      </c>
      <c r="B14" s="149" t="inlineStr">
        <is>
          <t>Как распределяется ваше время</t>
        </is>
      </c>
      <c r="C14" s="233" t="inlineStr">
        <is>
          <t>сетка 5×8</t>
        </is>
      </c>
      <c r="D14" s="233" t="inlineStr">
        <is>
          <t>Рабочая неделя по слотам. Расшифровка по трём группам:
фотограф / владелец бизнеса / не оплачивается</t>
        </is>
      </c>
      <c r="E14" s="234" t="inlineStr">
        <is>
          <t>wk, wknote, drows</t>
        </is>
      </c>
    </row>
    <row r="15" ht="48" customHeight="1">
      <c r="A15" s="276" t="inlineStr">
        <is>
          <t>03</t>
        </is>
      </c>
      <c r="B15" s="276" t="inlineStr">
        <is>
          <t>Как считают обычно</t>
        </is>
      </c>
      <c r="C15" s="277" t="inlineStr">
        <is>
          <t>compare</t>
        </is>
      </c>
      <c r="D15" s="277" t="inlineStr">
        <is>
          <t>Формула: текущая ставка × часы съёмки в неделю × 4.
Кажется / останется на самом деле + разница</t>
        </is>
      </c>
      <c r="E15" s="278" t="inlineStr">
        <is>
          <t>calcLine, inNaive,
inReal, inNaiveTx</t>
        </is>
      </c>
      <c r="F15" s="279" t="n"/>
      <c r="G15" s="280" t="inlineStr">
        <is>
          <t>УДАЛЁН из HTML 06.08.2026: не даёт пользователю полезной информации</t>
        </is>
      </c>
    </row>
    <row r="16" ht="48" customHeight="1">
      <c r="A16" s="149" t="inlineStr">
        <is>
          <t>04</t>
        </is>
      </c>
      <c r="B16" s="149" t="inlineStr">
        <is>
          <t>Три сценария вашей работы</t>
        </is>
      </c>
      <c r="C16" s="233" t="inlineStr">
        <is>
          <t>3 кольца</t>
        </is>
      </c>
      <c r="D16" s="233" t="inlineStr">
        <is>
          <t>ИДЕАЛЬНЫЙ (расчётная ставка) · РЕАЛЬНЫЙ (текущая) · В НОЛЬ (безубыточность).
Для каждого: доход на руки, ставка часа, выручка в месяц.
Ниже блок «При съёмке в ноль» + примечание о логистике</t>
        </is>
      </c>
      <c r="E16" s="234" t="inlineStr">
        <is>
          <t>dns, bRate, bProj</t>
        </is>
      </c>
    </row>
    <row r="17" ht="34" customHeight="1">
      <c r="A17" s="149" t="inlineStr">
        <is>
          <t>05</t>
        </is>
      </c>
      <c r="B17" s="149" t="inlineStr">
        <is>
          <t>А если брать больше заказов</t>
        </is>
      </c>
      <c r="C17" s="233" t="inlineStr">
        <is>
          <t>scenario</t>
        </is>
      </c>
      <c r="D17" s="233" t="inlineStr">
        <is>
          <t>Съёмок в месяц, часов в день, рабочих дней, выходных при текущей ставке.
Жёлтая плашка-предупреждение</t>
        </is>
      </c>
      <c r="E17" s="234" t="inlineStr">
        <is>
          <t>scn</t>
        </is>
      </c>
    </row>
    <row r="18" ht="48" customHeight="1">
      <c r="A18" s="149" t="inlineStr">
        <is>
          <t>06</t>
        </is>
      </c>
      <c r="B18" s="149" t="inlineStr">
        <is>
          <t>Как формировать скидку</t>
        </is>
      </c>
      <c r="C18" s="233" t="inlineStr">
        <is>
          <t>4 карточки</t>
        </is>
      </c>
      <c r="D18" s="233" t="inlineStr">
        <is>
          <t>Базовая цена часа + скидки от 3, 4, 5 часов. Скидка = снижение доли накладных</t>
        </is>
      </c>
      <c r="E18" s="234" t="inlineStr">
        <is>
          <t>dmap</t>
        </is>
      </c>
    </row>
    <row r="19" ht="48" customHeight="1">
      <c r="A19" s="276" t="inlineStr">
        <is>
          <t>—</t>
        </is>
      </c>
      <c r="B19" s="276" t="inlineStr">
        <is>
          <t>Два запаса (рекомендация)</t>
        </is>
      </c>
      <c r="C19" s="277" t="inlineStr">
        <is>
          <t>2 ползунка</t>
        </is>
      </c>
      <c r="D19" s="277" t="inlineStr">
        <is>
          <t>Фонд развития (% выручки) и запас на скидку. Живой пересчёт, проверка лимита НПД.
В основной расчёт НЕ входит</t>
        </is>
      </c>
      <c r="E19" s="278" t="inlineStr">
        <is>
          <t>fundPct, discPct,
recTot, recWarn</t>
        </is>
      </c>
      <c r="F19" s="279" t="n"/>
      <c r="G19" s="280" t="inlineStr">
        <is>
          <t>ПЕРЕНЕСЁН в анкету, блок 15 «Запас прочности». Ползунки + галочки</t>
        </is>
      </c>
    </row>
    <row r="20" ht="48" customHeight="1">
      <c r="A20" s="149" t="inlineStr">
        <is>
          <t>07</t>
        </is>
      </c>
      <c r="B20" s="149" t="inlineStr">
        <is>
          <t>Ваш идеальный налоговый режим</t>
        </is>
      </c>
      <c r="C20" s="233" t="inlineStr">
        <is>
          <t>таблица</t>
        </is>
      </c>
      <c r="D20" s="233" t="inlineStr">
        <is>
          <t>7 режимов на ОДНОЙ реальной выручке. Колонки: налоги, нагрузка, на руки, в месяц.
Потолок НПД. Правило выбора Доходы vs Д−Р</t>
        </is>
      </c>
      <c r="E20" s="234" t="inlineStr">
        <is>
          <t>bestBox, npdBox,
txrows, txrule</t>
        </is>
      </c>
    </row>
    <row r="21" ht="76" customHeight="1">
      <c r="A21" s="276" t="inlineStr">
        <is>
          <t>08</t>
        </is>
      </c>
      <c r="B21" s="276" t="inlineStr">
        <is>
          <t>Сколько людей делают это в компании</t>
        </is>
      </c>
      <c r="C21" s="277" t="inlineStr">
        <is>
          <t>donut + список</t>
        </is>
      </c>
      <c r="D21" s="277" t="inlineStr">
        <is>
          <t>5 ролей: фотограф, маркетолог, продажи, бухгалтер, администратор.
Часы в неделю и % от загрузки</t>
        </is>
      </c>
      <c r="E21" s="278" t="inlineStr">
        <is>
          <t>nmDonut, nmList</t>
        </is>
      </c>
      <c r="F21" s="279" t="n"/>
      <c r="G21" s="280" t="inlineStr">
        <is>
          <t>УДАЛЁН из HTML 06.08.2026: не нужен</t>
        </is>
      </c>
    </row>
    <row r="22" ht="34" customHeight="1">
      <c r="A22" s="149" t="inlineStr">
        <is>
          <t>09</t>
        </is>
      </c>
      <c r="B22" s="149" t="inlineStr">
        <is>
          <t>Четыре цифры, которые стоит запомнить</t>
        </is>
      </c>
      <c r="C22" s="233" t="inlineStr">
        <is>
          <t>4 карточки</t>
        </is>
      </c>
      <c r="D22" s="233" t="inlineStr">
        <is>
          <t>· Час вашего времени = target_income / (net_time + idle_time)
· Оборудование и ПО = equip_only / цена съёмки, в съёмках
· Времени на одну съёмку = project_time
· Цена одного кадра = цена съёмки / (frames_out × shoot_duration)
Методика — лист 09b</t>
        </is>
      </c>
      <c r="E22" s="234" t="inlineStr">
        <is>
          <t>factGrid</t>
        </is>
      </c>
    </row>
    <row r="23" ht="48" customHeight="1">
      <c r="A23" s="149" t="inlineStr">
        <is>
          <t>—</t>
        </is>
      </c>
      <c r="B23" s="149" t="inlineStr">
        <is>
          <t>Заключение</t>
        </is>
      </c>
      <c r="C23" s="233" t="inlineStr">
        <is>
          <t>хук</t>
        </is>
      </c>
      <c r="D23" s="233" t="inlineStr">
        <is>
          <t>«Фотографы, вы офигели?» — подставляется расчётная ставка. Цифр в тексте больше нет</t>
        </is>
      </c>
      <c r="E23" s="234" t="inlineStr">
        <is>
          <t>finRate</t>
        </is>
      </c>
    </row>
    <row r="24" ht="22" customHeight="1">
      <c r="A24" s="149" t="inlineStr">
        <is>
          <t>10</t>
        </is>
      </c>
      <c r="B24" s="149" t="inlineStr">
        <is>
          <t>Объясняйте клиенту, из чего складывается цена</t>
        </is>
      </c>
      <c r="C24" s="233" t="inlineStr">
        <is>
          <t>текст + 4 карточки</t>
        </is>
      </c>
      <c r="D24" s="233" t="inlineStr">
        <is>
          <t>Цитата про «потому что» (эксперимент Лангер), текст про селлеров.
4 карточки «что клиент не видит»</t>
        </is>
      </c>
      <c r="E24" s="234" t="inlineStr">
        <is>
          <t>cstA, cstB,
cstC, cstD</t>
        </is>
      </c>
    </row>
    <row r="25" ht="22" customHeight="1">
      <c r="A25" s="149" t="inlineStr">
        <is>
          <t>CTA</t>
        </is>
      </c>
      <c r="B25" s="149" t="inlineStr">
        <is>
          <t>30 готовых постов</t>
        </is>
      </c>
      <c r="C25" s="233" t="inlineStr">
        <is>
          <t>плашка</t>
        </is>
      </c>
      <c r="D25" s="233" t="inlineStr">
        <is>
          <t>Контент-план. Ссылка-заглушка #plan</t>
        </is>
      </c>
      <c r="E25" s="234" t="inlineStr">
        <is>
          <t>ctaLink</t>
        </is>
      </c>
    </row>
    <row r="26" ht="22" customHeight="1">
      <c r="A26" s="149" t="inlineStr">
        <is>
          <t>PMK</t>
        </is>
      </c>
      <c r="B26" s="149" t="inlineStr">
        <is>
          <t>Что входит в каждую строку</t>
        </is>
      </c>
      <c r="C26" s="233" t="inlineStr">
        <is>
          <t>памятка</t>
        </is>
      </c>
      <c r="D26" s="233" t="inlineStr">
        <is>
          <t>Расшифровка по 6 видам работ, мелким текстом</t>
        </is>
      </c>
      <c r="E26" s="234" t="inlineStr">
        <is>
          <t>pmkText</t>
        </is>
      </c>
    </row>
    <row r="27">
      <c r="A27" s="149" t="inlineStr">
        <is>
          <t>—</t>
        </is>
      </c>
      <c r="B27" s="149" t="inlineStr">
        <is>
          <t>Подвал</t>
        </is>
      </c>
      <c r="C27" s="233" t="inlineStr">
        <is>
          <t>footer</t>
        </is>
      </c>
      <c r="D27" s="233" t="inlineStr">
        <is>
          <t>Знак сверху, «счетикс» под ним</t>
        </is>
      </c>
      <c r="E27" s="234" t="inlineStr">
        <is>
          <t>—</t>
        </is>
      </c>
    </row>
    <row r="29">
      <c r="A29" s="146" t="inlineStr">
        <is>
          <t>ЧТО ГДЕ ПРАВИТЬ</t>
        </is>
      </c>
      <c r="B29" s="147" t="n"/>
      <c r="C29" s="147" t="n"/>
      <c r="D29" s="147" t="n"/>
      <c r="E29" s="147" t="n"/>
    </row>
    <row r="30" ht="36" customHeight="1">
      <c r="A30" s="232" t="inlineStr">
        <is>
          <t>№</t>
        </is>
      </c>
      <c r="B30" s="232" t="inlineStr">
        <is>
          <t>Блок</t>
        </is>
      </c>
      <c r="C30" s="232" t="inlineStr">
        <is>
          <t>Тип</t>
        </is>
      </c>
      <c r="D30" s="232" t="inlineStr">
        <is>
          <t>Показатели и формулы</t>
        </is>
      </c>
      <c r="E30" s="232" t="inlineStr">
        <is>
          <t>id в вёрстке</t>
        </is>
      </c>
    </row>
    <row r="31" ht="22" customHeight="1">
      <c r="A31" s="149" t="inlineStr"/>
      <c r="B31" s="149" t="inlineStr">
        <is>
          <t>Текст надписи</t>
        </is>
      </c>
      <c r="C31" s="233" t="inlineStr">
        <is>
          <t>09_Тексты</t>
        </is>
      </c>
      <c r="D31" s="233" t="inlineStr">
        <is>
          <t>Найти по ключу data-t из вёрстки, править колонку «Текст»</t>
        </is>
      </c>
      <c r="E31" s="234" t="inlineStr">
        <is>
          <t>—</t>
        </is>
      </c>
    </row>
    <row r="32" ht="22" customHeight="1">
      <c r="A32" s="149" t="inlineStr"/>
      <c r="B32" s="149" t="inlineStr">
        <is>
          <t>Цифра или формула</t>
        </is>
      </c>
      <c r="C32" s="233" t="inlineStr">
        <is>
          <t>02_Параметры</t>
        </is>
      </c>
      <c r="D32" s="233" t="inlineStr">
        <is>
          <t>Колонка «Значение»</t>
        </is>
      </c>
      <c r="E32" s="234" t="inlineStr">
        <is>
          <t>—</t>
        </is>
      </c>
    </row>
    <row r="33" ht="22" customHeight="1">
      <c r="A33" s="149" t="inlineStr"/>
      <c r="B33" s="149" t="inlineStr">
        <is>
          <t>Методика блока 09</t>
        </is>
      </c>
      <c r="C33" s="233" t="inlineStr">
        <is>
          <t>09b_Методика</t>
        </is>
      </c>
      <c r="D33" s="233" t="inlineStr">
        <is>
          <t>Как посчитана каждая цифра</t>
        </is>
      </c>
      <c r="E33" s="234" t="inlineStr">
        <is>
          <t>—</t>
        </is>
      </c>
    </row>
    <row r="34" ht="22" customHeight="1">
      <c r="A34" s="149" t="inlineStr"/>
      <c r="B34" s="149" t="inlineStr">
        <is>
          <t>Цвет</t>
        </is>
      </c>
      <c r="C34" s="233" t="inlineStr">
        <is>
          <t>09c_Палитра</t>
        </is>
      </c>
      <c r="D34" s="233" t="inlineStr">
        <is>
          <t>68 токенов, единых для формы и отчёта</t>
        </is>
      </c>
      <c r="E34" s="234" t="inlineStr">
        <is>
          <t>—</t>
        </is>
      </c>
    </row>
    <row r="35">
      <c r="A35" s="149" t="inlineStr"/>
      <c r="B35" s="149" t="inlineStr">
        <is>
          <t>Логотип</t>
        </is>
      </c>
      <c r="C35" s="233" t="inlineStr">
        <is>
          <t>09d_Логотип</t>
        </is>
      </c>
      <c r="D35" s="233" t="inlineStr">
        <is>
          <t>Эталон знака, менять только там</t>
        </is>
      </c>
      <c r="E35" s="234" t="inlineStr">
        <is>
          <t>—</t>
        </is>
      </c>
    </row>
    <row r="37">
      <c r="A37" s="256" t="inlineStr">
        <is>
          <t>НОВЫЙ ПОРЯДОК БЛОКОВ — 06.08.2026, 17 блоков</t>
        </is>
      </c>
    </row>
    <row r="38">
      <c r="A38" t="inlineStr">
        <is>
          <t>—</t>
        </is>
      </c>
      <c r="B38" s="229" t="inlineStr">
        <is>
          <t>Шапка</t>
        </is>
      </c>
    </row>
    <row r="39">
      <c r="A39" t="inlineStr">
        <is>
          <t>—</t>
        </is>
      </c>
      <c r="B39" s="229" t="inlineStr">
        <is>
          <t>Плашка со ставкой</t>
        </is>
      </c>
    </row>
    <row r="40">
      <c r="A40" t="inlineStr">
        <is>
          <t>—</t>
        </is>
      </c>
      <c r="B40" s="229" t="inlineStr">
        <is>
          <t>Кнопка PDF</t>
        </is>
      </c>
    </row>
    <row r="41">
      <c r="A41" t="inlineStr">
        <is>
          <t>—</t>
        </is>
      </c>
      <c r="B41" s="229" t="inlineStr">
        <is>
          <t>Ваши условия труда по ТК РФ</t>
        </is>
      </c>
    </row>
    <row r="42">
      <c r="A42" t="inlineStr">
        <is>
          <t>—</t>
        </is>
      </c>
      <c r="B42" s="229" t="inlineStr">
        <is>
          <t>Из чего складывается ваша цена</t>
        </is>
      </c>
    </row>
    <row r="43">
      <c r="A43" t="inlineStr">
        <is>
          <t>01</t>
        </is>
      </c>
      <c r="B43" s="229" t="inlineStr">
        <is>
          <t>Как распределяется бюджет</t>
        </is>
      </c>
    </row>
    <row r="44">
      <c r="A44" t="inlineStr">
        <is>
          <t>02</t>
        </is>
      </c>
      <c r="B44" s="229" t="inlineStr">
        <is>
          <t>Как распределяется ваше время</t>
        </is>
      </c>
    </row>
    <row r="45">
      <c r="A45" t="inlineStr">
        <is>
          <t>03</t>
        </is>
      </c>
      <c r="B45" s="275" t="inlineStr">
        <is>
          <t>Ваш идеальный налоговый режим  ← было 07</t>
        </is>
      </c>
    </row>
    <row r="46">
      <c r="A46" t="inlineStr">
        <is>
          <t>04</t>
        </is>
      </c>
      <c r="B46" s="275" t="inlineStr">
        <is>
          <t>Как формировать скидку  ← было 06</t>
        </is>
      </c>
    </row>
    <row r="47">
      <c r="A47" t="inlineStr">
        <is>
          <t>05</t>
        </is>
      </c>
      <c r="B47" s="275" t="inlineStr">
        <is>
          <t>Три сценария вашей работы  ← было 04</t>
        </is>
      </c>
    </row>
    <row r="48">
      <c r="A48" t="inlineStr">
        <is>
          <t>06</t>
        </is>
      </c>
      <c r="B48" s="275" t="inlineStr">
        <is>
          <t>А если просто брать больше заказов  ← было 05</t>
        </is>
      </c>
    </row>
    <row r="49">
      <c r="A49" t="inlineStr">
        <is>
          <t>07</t>
        </is>
      </c>
      <c r="B49" s="275" t="inlineStr">
        <is>
          <t>Четыре цифры, которые стоит запомнить  ← было 09</t>
        </is>
      </c>
    </row>
    <row r="50">
      <c r="A50" t="inlineStr">
        <is>
          <t>—</t>
        </is>
      </c>
      <c r="B50" s="229" t="inlineStr">
        <is>
          <t>Хук: «Фотографы, вы офигели?»</t>
        </is>
      </c>
    </row>
    <row r="51">
      <c r="A51" t="inlineStr">
        <is>
          <t>08</t>
        </is>
      </c>
      <c r="B51" s="275" t="inlineStr">
        <is>
          <t>Объясняйте клиенту  ← было 10</t>
        </is>
      </c>
    </row>
    <row r="52">
      <c r="A52" t="inlineStr">
        <is>
          <t>—</t>
        </is>
      </c>
      <c r="B52" s="229" t="inlineStr">
        <is>
          <t>30 готовых постов</t>
        </is>
      </c>
    </row>
    <row r="53">
      <c r="A53" t="inlineStr">
        <is>
          <t>—</t>
        </is>
      </c>
      <c r="B53" s="229" t="inlineStr">
        <is>
          <t>Памятка</t>
        </is>
      </c>
    </row>
    <row r="54">
      <c r="A54" t="inlineStr">
        <is>
          <t>—</t>
        </is>
      </c>
      <c r="B54" s="229" t="inlineStr">
        <is>
          <t>Подвал</t>
        </is>
      </c>
    </row>
    <row r="56">
      <c r="A56" s="256" t="inlineStr">
        <is>
          <t>ПОРЯДОК НА 06.08.2026 — 18 блоков</t>
        </is>
      </c>
    </row>
    <row r="57">
      <c r="A57" t="inlineStr">
        <is>
          <t>—</t>
        </is>
      </c>
      <c r="B57" s="229" t="inlineStr">
        <is>
          <t>Шапка</t>
        </is>
      </c>
    </row>
    <row r="58">
      <c r="A58" t="inlineStr">
        <is>
          <t>—</t>
        </is>
      </c>
      <c r="B58" s="229" t="inlineStr">
        <is>
          <t>Плашка со ставкой</t>
        </is>
      </c>
    </row>
    <row r="59">
      <c r="A59" t="inlineStr">
        <is>
          <t>—</t>
        </is>
      </c>
      <c r="B59" s="229" t="inlineStr">
        <is>
          <t>Кнопка PDF</t>
        </is>
      </c>
    </row>
    <row r="60">
      <c r="A60" t="inlineStr">
        <is>
          <t>—</t>
        </is>
      </c>
      <c r="B60" s="229" t="inlineStr">
        <is>
          <t>Ваши условия труда по ТК РФ</t>
        </is>
      </c>
    </row>
    <row r="61">
      <c r="A61" t="inlineStr">
        <is>
          <t>—</t>
        </is>
      </c>
      <c r="B61" s="275" t="inlineStr">
        <is>
          <t>Логистика: дорога в расчёт не входит  ← НОВЫЙ</t>
        </is>
      </c>
    </row>
    <row r="62">
      <c r="A62" t="inlineStr">
        <is>
          <t>—</t>
        </is>
      </c>
      <c r="B62" s="229" t="inlineStr">
        <is>
          <t>Из чего складывается ваша цена</t>
        </is>
      </c>
    </row>
    <row r="63">
      <c r="A63" t="inlineStr">
        <is>
          <t>01</t>
        </is>
      </c>
      <c r="B63" s="229" t="inlineStr">
        <is>
          <t>Как распределяется бюджет</t>
        </is>
      </c>
    </row>
    <row r="64">
      <c r="A64" t="inlineStr">
        <is>
          <t>02</t>
        </is>
      </c>
      <c r="B64" s="229" t="inlineStr">
        <is>
          <t>Как распределяется ваше время</t>
        </is>
      </c>
    </row>
    <row r="65">
      <c r="A65" t="inlineStr">
        <is>
          <t>03</t>
        </is>
      </c>
      <c r="B65" s="275" t="inlineStr">
        <is>
          <t>Как формировать скидку  ← поднят</t>
        </is>
      </c>
    </row>
    <row r="66">
      <c r="A66" t="inlineStr">
        <is>
          <t>04</t>
        </is>
      </c>
      <c r="B66" s="229" t="inlineStr">
        <is>
          <t>Ваш идеальный налоговый режим</t>
        </is>
      </c>
    </row>
    <row r="67">
      <c r="A67" t="inlineStr">
        <is>
          <t>05</t>
        </is>
      </c>
      <c r="B67" s="229" t="inlineStr">
        <is>
          <t>Три сценария вашей работы</t>
        </is>
      </c>
    </row>
    <row r="68">
      <c r="A68" t="inlineStr">
        <is>
          <t>06</t>
        </is>
      </c>
      <c r="B68" s="229" t="inlineStr">
        <is>
          <t>А если просто брать больше заказов</t>
        </is>
      </c>
    </row>
    <row r="69">
      <c r="A69" t="inlineStr">
        <is>
          <t>07</t>
        </is>
      </c>
      <c r="B69" s="229" t="inlineStr">
        <is>
          <t>Четыре цифры, которые стоит запомнить</t>
        </is>
      </c>
    </row>
    <row r="70">
      <c r="A70" t="inlineStr">
        <is>
          <t>—</t>
        </is>
      </c>
      <c r="B70" s="229" t="inlineStr">
        <is>
          <t>Хук</t>
        </is>
      </c>
    </row>
    <row r="71">
      <c r="A71" t="inlineStr">
        <is>
          <t>08</t>
        </is>
      </c>
      <c r="B71" s="229" t="inlineStr">
        <is>
          <t>Объясняйте клиенту</t>
        </is>
      </c>
    </row>
    <row r="72">
      <c r="A72" t="inlineStr">
        <is>
          <t>—</t>
        </is>
      </c>
      <c r="B72" s="229" t="inlineStr">
        <is>
          <t>30 постов</t>
        </is>
      </c>
    </row>
    <row r="73">
      <c r="A73" t="inlineStr">
        <is>
          <t>—</t>
        </is>
      </c>
      <c r="B73" s="229" t="inlineStr">
        <is>
          <t>Памятка</t>
        </is>
      </c>
    </row>
    <row r="74">
      <c r="A74" t="inlineStr">
        <is>
          <t>—</t>
        </is>
      </c>
      <c r="B74" s="229" t="inlineStr">
        <is>
          <t>Подвал</t>
        </is>
      </c>
    </row>
    <row r="76">
      <c r="A76" s="256" t="inlineStr">
        <is>
          <t>ДОБАВЛЕНО 06.08.2026 — два блока в конец, перед подвалом</t>
        </is>
      </c>
    </row>
    <row r="77">
      <c r="A77" t="inlineStr">
        <is>
          <t>—</t>
        </is>
      </c>
      <c r="B77" s="275" t="inlineStr">
        <is>
          <t>Справочник: что означает каждое понятие</t>
        </is>
      </c>
      <c r="C77" s="229" t="inlineStr">
        <is>
          <t>4 раздела, 17 определений. Источник — лист 01_Глоссарий, выжимка только по тому, что есть в отчёте</t>
        </is>
      </c>
    </row>
    <row r="78">
      <c r="A78" t="inlineStr">
        <is>
          <t>—</t>
        </is>
      </c>
      <c r="B78" s="275" t="inlineStr">
        <is>
          <t>Все цифры расчёта в одной таблице</t>
        </is>
      </c>
      <c r="C78" s="229" t="inlineStr">
        <is>
          <t>6 разделов, 39 строк: время, проект, доход, расходы, налоги, ставки. Три колонки: название, значение, пояснение</t>
        </is>
      </c>
    </row>
    <row r="80">
      <c r="A80" s="250" t="inlineStr">
        <is>
          <t>ПРАВКА 06.08.2026: справочник понятий занял место памятки «Что входит в каждую строку расчёта» и её оформление (.pmknote — серая подложка, строки .pi2, без колонок). Итого 19 блоков: … 30 постов · справочник · таблица цифр · подвал</t>
        </is>
      </c>
    </row>
  </sheetData>
  <mergeCells count="5">
    <mergeCell ref="A80:G80"/>
    <mergeCell ref="A56:G56"/>
    <mergeCell ref="A2:E2"/>
    <mergeCell ref="A76:G76"/>
    <mergeCell ref="A37:G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96" customWidth="1" min="3" max="3"/>
  </cols>
  <sheetData>
    <row r="1">
      <c r="A1" s="144" t="inlineStr">
        <is>
          <t>09 · ТЕКСТЫ — все надписи формы и отчёта</t>
        </is>
      </c>
    </row>
    <row r="2" ht="46" customHeight="1">
      <c r="A2" s="227" t="inlineStr">
        <is>
          <t>Правьте только колонку «Текст». Колонка «Где находится» показывает поверхность: Форма (шапка / вопросы / подсказки / краткий результат / оплата / опрос / подписка / превью) или Полный отчёт. Красным помечено то, что в вёрстке больше не используется — это архив, не удаляем. После правок: python3 sync_texts.py apply-all</t>
        </is>
      </c>
    </row>
    <row r="4">
      <c r="A4" s="4" t="inlineStr">
        <is>
          <t>Ключ</t>
        </is>
      </c>
      <c r="B4" s="4" t="inlineStr">
        <is>
          <t>Где находится</t>
        </is>
      </c>
      <c r="C4" s="4" t="inlineStr">
        <is>
          <t>Текст</t>
        </is>
      </c>
    </row>
    <row r="5">
      <c r="A5" s="3" t="inlineStr">
        <is>
          <t>Заголовок страницы</t>
        </is>
      </c>
    </row>
    <row r="6">
      <c r="A6" s="27" t="inlineStr">
        <is>
          <t>h1_01</t>
        </is>
      </c>
      <c r="B6" s="112" t="inlineStr">
        <is>
          <t>Форма · шапка</t>
        </is>
      </c>
      <c r="C6" s="113" t="inlineStr">
        <is>
          <t>Сколько на самом деле стоит ваш час</t>
        </is>
      </c>
    </row>
    <row r="7">
      <c r="A7" s="3" t="inlineStr">
        <is>
          <t>Подзаголовок</t>
        </is>
      </c>
    </row>
    <row r="8">
      <c r="A8" s="27" t="inlineStr">
        <is>
          <t>sub_01</t>
        </is>
      </c>
      <c r="B8" s="112" t="inlineStr">
        <is>
          <t>Форма · шапка</t>
        </is>
      </c>
      <c r="C8" s="113" t="inlineStr">
        <is>
          <t>Калькулятор для фотографов и видеографов. Считает ставку, которая покроет не только съёмку, но и обработку, продвижение, технику и налоги.</t>
        </is>
      </c>
    </row>
    <row r="9">
      <c r="A9" s="3" t="inlineStr">
        <is>
          <t>Заголовок блока</t>
        </is>
      </c>
    </row>
    <row r="10">
      <c r="A10" s="27" t="inlineStr">
        <is>
          <t>h2_01</t>
        </is>
      </c>
      <c r="B10" s="112" t="inlineStr">
        <is>
          <t>Форма · вопросы анкеты</t>
        </is>
      </c>
      <c r="C10" s="113" t="inlineStr">
        <is>
          <t>Ваш доход</t>
        </is>
      </c>
    </row>
    <row r="11">
      <c r="A11" s="3" t="inlineStr">
        <is>
          <t>Вопрос</t>
        </is>
      </c>
    </row>
    <row r="12">
      <c r="A12" s="27" t="inlineStr">
        <is>
          <t>q_01</t>
        </is>
      </c>
      <c r="B12" s="112" t="inlineStr">
        <is>
          <t>Форма · вопросы анкеты</t>
        </is>
      </c>
      <c r="C12" s="113" t="inlineStr">
        <is>
          <t>Сколько вы хотите получать на руки каждый месяц?</t>
        </is>
      </c>
    </row>
    <row r="13">
      <c r="A13" s="3" t="inlineStr">
        <is>
          <t>Пояснение к вопросу</t>
        </is>
      </c>
    </row>
    <row r="14">
      <c r="A14" s="27" t="inlineStr">
        <is>
          <t>qd_01</t>
        </is>
      </c>
      <c r="B14" s="112" t="inlineStr">
        <is>
          <t>Форма · вопросы анкеты</t>
        </is>
      </c>
      <c r="C14" s="113" t="inlineStr">
        <is>
          <t>Это сумма, которая остаётся вам после всех расходов и налогов. От неё считается всё остальное.</t>
        </is>
      </c>
    </row>
    <row r="15">
      <c r="A15" s="3" t="inlineStr">
        <is>
          <t>Единица измерения</t>
        </is>
      </c>
    </row>
    <row r="16">
      <c r="A16" s="27" t="inlineStr">
        <is>
          <t>un_01</t>
        </is>
      </c>
      <c r="B16" s="112" t="inlineStr">
        <is>
          <t>Форма · вопросы анкеты</t>
        </is>
      </c>
      <c r="C16" s="113" t="inlineStr">
        <is>
          <t>₽/мес</t>
        </is>
      </c>
    </row>
    <row r="17">
      <c r="A17" s="3" t="inlineStr">
        <is>
          <t>Заголовок блока</t>
        </is>
      </c>
    </row>
    <row r="18">
      <c r="A18" s="27" t="inlineStr">
        <is>
          <t>h2_02</t>
        </is>
      </c>
      <c r="B18" s="112" t="inlineStr">
        <is>
          <t>Форма · вопросы анкеты</t>
        </is>
      </c>
      <c r="C18" s="113" t="inlineStr">
        <is>
          <t>Режим и текущая ставка</t>
        </is>
      </c>
    </row>
    <row r="19">
      <c r="A19" s="3" t="inlineStr">
        <is>
          <t>Вопрос</t>
        </is>
      </c>
    </row>
    <row r="20">
      <c r="A20" s="27" t="inlineStr">
        <is>
          <t>q_02</t>
        </is>
      </c>
      <c r="B20" s="112" t="inlineStr">
        <is>
          <t>Форма · вопросы анкеты</t>
        </is>
      </c>
      <c r="C20" s="113" t="inlineStr">
        <is>
          <t>На каком режиме налогообложения вы работаете?</t>
        </is>
      </c>
    </row>
    <row r="21">
      <c r="A21" s="3" t="inlineStr">
        <is>
          <t>Пояснение к вопросу</t>
        </is>
      </c>
    </row>
    <row r="22">
      <c r="A22" s="27" t="inlineStr">
        <is>
          <t>qd_02</t>
        </is>
      </c>
      <c r="B22" s="112" t="inlineStr">
        <is>
          <t>Форма · вопросы анкеты</t>
        </is>
      </c>
      <c r="C22" s="113" t="inlineStr">
        <is>
          <t>От него зависят ставка налога и страховые взносы.</t>
        </is>
      </c>
    </row>
    <row r="23">
      <c r="A23" s="3" t="inlineStr">
        <is>
          <t>Вопрос</t>
        </is>
      </c>
    </row>
    <row r="24">
      <c r="A24" s="27" t="inlineStr">
        <is>
          <t>q_03</t>
        </is>
      </c>
      <c r="B24" s="112" t="inlineStr">
        <is>
          <t>Форма · вопросы анкеты</t>
        </is>
      </c>
      <c r="C24" s="113" t="inlineStr">
        <is>
          <t>Сколько вы берёте за час съёмки сейчас?</t>
        </is>
      </c>
    </row>
    <row r="25">
      <c r="A25" s="3" t="inlineStr">
        <is>
          <t>Пояснение к вопросу</t>
        </is>
      </c>
    </row>
    <row r="26">
      <c r="A26" s="27" t="inlineStr">
        <is>
          <t>qd_03</t>
        </is>
      </c>
      <c r="B26" s="112" t="inlineStr">
        <is>
          <t>Форма · вопросы анкеты</t>
        </is>
      </c>
      <c r="C26" s="113" t="inlineStr">
        <is>
          <t>Нужно, чтобы показать разницу между вашей текущей и расчётной ставкой. Можно оставить пустым.</t>
        </is>
      </c>
    </row>
    <row r="27">
      <c r="A27" s="3" t="inlineStr">
        <is>
          <t>Единица измерения</t>
        </is>
      </c>
    </row>
    <row r="28">
      <c r="A28" s="27" t="inlineStr">
        <is>
          <t>un_02</t>
        </is>
      </c>
      <c r="B28" s="112" t="inlineStr">
        <is>
          <t>Форма · вопросы анкеты</t>
        </is>
      </c>
      <c r="C28" s="113" t="inlineStr">
        <is>
          <t>₽/час</t>
        </is>
      </c>
    </row>
    <row r="29">
      <c r="A29" s="3" t="inlineStr">
        <is>
          <t>Заголовок блока</t>
        </is>
      </c>
    </row>
    <row r="30">
      <c r="A30" s="27" t="inlineStr">
        <is>
          <t>h2_03</t>
        </is>
      </c>
      <c r="B30" s="112" t="inlineStr">
        <is>
          <t>Форма · вопросы анкеты</t>
        </is>
      </c>
      <c r="C30" s="113" t="inlineStr">
        <is>
          <t>Как мы считаем</t>
        </is>
      </c>
    </row>
    <row r="31">
      <c r="A31" s="3" t="inlineStr">
        <is>
          <t>Надпись карточки</t>
        </is>
      </c>
    </row>
    <row r="32">
      <c r="A32" s="27" t="inlineStr">
        <is>
          <t>tp_01</t>
        </is>
      </c>
      <c r="B32" s="112" t="inlineStr">
        <is>
          <t>Форма · вопросы анкеты</t>
        </is>
      </c>
      <c r="C32" s="113" t="inlineStr">
        <is>
          <t>Мы считаем по норме</t>
        </is>
      </c>
    </row>
    <row r="33">
      <c r="A33" s="3" t="inlineStr">
        <is>
          <t>Мелкий текст карточки</t>
        </is>
      </c>
    </row>
    <row r="34">
      <c r="A34" s="27" t="inlineStr">
        <is>
          <t>sm_01</t>
        </is>
      </c>
      <c r="B34" s="112" t="inlineStr">
        <is>
          <t>Форма · вопросы анкеты</t>
        </is>
      </c>
      <c r="C34" s="113" t="inlineStr">
        <is>
          <t>официальные условия труда, признанные государством нормой</t>
        </is>
      </c>
    </row>
    <row r="35">
      <c r="A35" s="3" t="inlineStr">
        <is>
          <t>Надпись карточки</t>
        </is>
      </c>
    </row>
    <row r="36">
      <c r="A36" s="27" t="inlineStr">
        <is>
          <t>tp_02</t>
        </is>
      </c>
      <c r="B36" s="112" t="inlineStr">
        <is>
          <t>Форма · вопросы анкеты</t>
        </is>
      </c>
      <c r="C36" s="113" t="inlineStr">
        <is>
          <t>Право на отдых</t>
        </is>
      </c>
    </row>
    <row r="37">
      <c r="A37" s="3" t="inlineStr">
        <is>
          <t>Мелкий текст карточки</t>
        </is>
      </c>
    </row>
    <row r="38">
      <c r="A38" s="27" t="inlineStr">
        <is>
          <t>sm_02</t>
        </is>
      </c>
      <c r="B38" s="112" t="inlineStr">
        <is>
          <t>Форма · вопросы анкеты</t>
        </is>
      </c>
      <c r="C38" s="113" t="inlineStr">
        <is>
          <t>и один больничный — болеть никто не планирует, но мы заложили</t>
        </is>
      </c>
    </row>
    <row r="39">
      <c r="A39" s="3" t="inlineStr">
        <is>
          <t>Надпись карточки</t>
        </is>
      </c>
    </row>
    <row r="40">
      <c r="A40" s="27" t="inlineStr">
        <is>
          <t>tp_03</t>
        </is>
      </c>
      <c r="B40" s="112" t="inlineStr">
        <is>
          <t>Форма · вопросы анкеты</t>
        </is>
      </c>
      <c r="C40" s="113" t="inlineStr">
        <is>
          <t>Рабочая неделя</t>
        </is>
      </c>
    </row>
    <row r="41">
      <c r="A41" s="3" t="inlineStr">
        <is>
          <t>Мелкий текст карточки</t>
        </is>
      </c>
    </row>
    <row r="42">
      <c r="A42" s="27" t="inlineStr">
        <is>
          <t>sm_03</t>
        </is>
      </c>
      <c r="B42" s="112" t="inlineStr">
        <is>
          <t>Форма · вопросы анкеты</t>
        </is>
      </c>
      <c r="C42" s="113" t="inlineStr">
        <is>
          <t>восемь часов в день, как у всех</t>
        </is>
      </c>
    </row>
    <row r="43">
      <c r="A43" s="3" t="inlineStr">
        <is>
          <t>Заголовок блока</t>
        </is>
      </c>
    </row>
    <row r="44">
      <c r="A44" s="27" t="inlineStr">
        <is>
          <t>h2_04</t>
        </is>
      </c>
      <c r="B44" s="112" t="inlineStr">
        <is>
          <t>Форма · вопросы анкеты</t>
        </is>
      </c>
      <c r="C44" s="113" t="inlineStr">
        <is>
          <t>Длительность съёмки</t>
        </is>
      </c>
    </row>
    <row r="45">
      <c r="A45" s="3" t="inlineStr">
        <is>
          <t>Пояснение под заголовком</t>
        </is>
      </c>
    </row>
    <row r="46">
      <c r="A46" s="27" t="inlineStr">
        <is>
          <t>hint_01</t>
        </is>
      </c>
      <c r="B46" s="112" t="inlineStr">
        <is>
          <t>Форма · вопросы анкеты</t>
        </is>
      </c>
      <c r="C46" s="113" t="inlineStr">
        <is>
          <t>Ваш минимальный выезд. От него считается базовая ставка часа, а всё, что длиннее, — скидка за объём</t>
        </is>
      </c>
    </row>
    <row r="47">
      <c r="A47" s="3" t="inlineStr">
        <is>
          <t>Вопрос</t>
        </is>
      </c>
    </row>
    <row r="48">
      <c r="A48" s="27" t="inlineStr">
        <is>
          <t>q_04</t>
        </is>
      </c>
      <c r="B48" s="112" t="inlineStr">
        <is>
          <t>Форма · вопросы анкеты</t>
        </is>
      </c>
      <c r="C48" s="113" t="inlineStr">
        <is>
          <t>Какая у вас минимальная продолжительность съёмки?</t>
        </is>
      </c>
    </row>
    <row r="49">
      <c r="A49" s="3" t="inlineStr">
        <is>
          <t>Пояснение к вопросу</t>
        </is>
      </c>
    </row>
    <row r="50">
      <c r="A50" s="27" t="inlineStr">
        <is>
          <t>qd_04</t>
        </is>
      </c>
      <c r="B50" s="112" t="inlineStr">
        <is>
          <t>Форма · вопросы анкеты</t>
        </is>
      </c>
      <c r="C50" s="113" t="inlineStr">
        <is>
          <t>От скольких часов вы выезжаете на заказ. Это ваш минимум — от него считается базовая стоимость часа, а всё, что длиннее, идёт со скидкой за объём.</t>
        </is>
      </c>
    </row>
    <row r="51">
      <c r="A51" s="3" t="inlineStr">
        <is>
          <t>Единица измерения</t>
        </is>
      </c>
    </row>
    <row r="52">
      <c r="A52" s="27" t="inlineStr">
        <is>
          <t>un_03</t>
        </is>
      </c>
      <c r="B52" s="112" t="inlineStr">
        <is>
          <t>Форма · вопросы анкеты</t>
        </is>
      </c>
      <c r="C52" s="113" t="inlineStr">
        <is>
          <t>часов</t>
        </is>
      </c>
    </row>
    <row r="53">
      <c r="A53" s="3" t="inlineStr">
        <is>
          <t>Пояснение к вопросу</t>
        </is>
      </c>
    </row>
    <row r="54">
      <c r="A54" s="27" t="inlineStr">
        <is>
          <t>qd_05</t>
        </is>
      </c>
      <c r="B54" s="112" t="inlineStr">
        <is>
          <t>Форма · вопросы анкеты</t>
        </is>
      </c>
      <c r="C54" s="113" t="inlineStr">
        <is>
          <t>Часть времени всегда уходит впустую: клиент перенёс, погода подвела, пришлось ехать повторно.</t>
        </is>
      </c>
    </row>
    <row r="55">
      <c r="A55" s="3" t="inlineStr">
        <is>
          <t>Заголовок блока</t>
        </is>
      </c>
    </row>
    <row r="56">
      <c r="A56" s="27" t="inlineStr">
        <is>
          <t>h2_05</t>
        </is>
      </c>
      <c r="B56" s="112" t="inlineStr">
        <is>
          <t>Форма · вопросы анкеты</t>
        </is>
      </c>
      <c r="C56" s="113" t="inlineStr">
        <is>
          <t>Как устроена ваша работа</t>
        </is>
      </c>
    </row>
    <row r="57">
      <c r="A57" s="3" t="inlineStr">
        <is>
          <t>Вопрос</t>
        </is>
      </c>
    </row>
    <row r="58">
      <c r="A58" s="27" t="inlineStr">
        <is>
          <t>q_05</t>
        </is>
      </c>
      <c r="B58" s="112" t="inlineStr">
        <is>
          <t>Форма · вопросы анкеты</t>
        </is>
      </c>
      <c r="C58" s="113" t="inlineStr">
        <is>
          <t>Сколько часов вы тратите на обработку одного часа отснятого материала?</t>
        </is>
      </c>
    </row>
    <row r="59">
      <c r="A59" s="3" t="inlineStr">
        <is>
          <t>Пояснение к вопросу</t>
        </is>
      </c>
    </row>
    <row r="60">
      <c r="A60" s="27" t="inlineStr">
        <is>
          <t>qd_06</t>
        </is>
      </c>
      <c r="B60" s="112" t="inlineStr">
        <is>
          <t>Форма · вопросы анкеты</t>
        </is>
      </c>
      <c r="C60" s="113" t="inlineStr">
        <is>
          <t>Загрузка и выгрузка файлов, отбор кадров, цветокоррекция, ретушь, структурирование архива, подготовка к сдаче.</t>
        </is>
      </c>
    </row>
    <row r="61">
      <c r="A61" s="3" t="inlineStr">
        <is>
          <t>Единица измерения</t>
        </is>
      </c>
    </row>
    <row r="62">
      <c r="A62" s="27" t="inlineStr">
        <is>
          <t>un_04</t>
        </is>
      </c>
      <c r="B62" s="112" t="inlineStr">
        <is>
          <t>Форма · вопросы анкеты</t>
        </is>
      </c>
      <c r="C62" s="113" t="inlineStr">
        <is>
          <t>часа</t>
        </is>
      </c>
    </row>
    <row r="63">
      <c r="A63" s="3" t="inlineStr">
        <is>
          <t>Вопрос</t>
        </is>
      </c>
    </row>
    <row r="64">
      <c r="A64" s="27" t="inlineStr">
        <is>
          <t>q_06</t>
        </is>
      </c>
      <c r="B64" s="112" t="inlineStr">
        <is>
          <t>Форма · вопросы анкеты</t>
        </is>
      </c>
      <c r="C64" s="113" t="inlineStr">
        <is>
          <t>Сколько времени уходит на общение с клиентом по одному заказу?</t>
        </is>
      </c>
    </row>
    <row r="65">
      <c r="A65" s="3" t="inlineStr">
        <is>
          <t>Пояснение к вопросу</t>
        </is>
      </c>
    </row>
    <row r="66">
      <c r="A66" s="27" t="inlineStr">
        <is>
          <t>qd_07</t>
        </is>
      </c>
      <c r="B66" s="112" t="inlineStr">
        <is>
          <t>Форма · вопросы анкеты</t>
        </is>
      </c>
      <c r="C66" s="113" t="inlineStr">
        <is>
          <t>Показ референсов, обсуждение деталей и сроков, согласование правок, организационные вопросы по съёмке.</t>
        </is>
      </c>
    </row>
    <row r="67">
      <c r="A67" s="3" t="inlineStr">
        <is>
          <t>Единица измерения</t>
        </is>
      </c>
    </row>
    <row r="68">
      <c r="A68" s="27" t="inlineStr">
        <is>
          <t>un_05</t>
        </is>
      </c>
      <c r="B68" s="112" t="inlineStr">
        <is>
          <t>Форма · вопросы анкеты</t>
        </is>
      </c>
      <c r="C68" s="113" t="inlineStr">
        <is>
          <t>часа</t>
        </is>
      </c>
    </row>
    <row r="69">
      <c r="A69" s="3" t="inlineStr">
        <is>
          <t>Вопрос</t>
        </is>
      </c>
    </row>
    <row r="70">
      <c r="A70" s="27" t="inlineStr">
        <is>
          <t>q_07</t>
        </is>
      </c>
      <c r="B70" s="112" t="inlineStr">
        <is>
          <t>Форма · вопросы анкеты</t>
        </is>
      </c>
      <c r="C70" s="113" t="inlineStr">
        <is>
          <t>Сколько часов в день вы тратите на продвижение?</t>
        </is>
      </c>
    </row>
    <row r="71">
      <c r="A71" s="3" t="inlineStr">
        <is>
          <t>Пояснение к вопросу</t>
        </is>
      </c>
    </row>
    <row r="72">
      <c r="A72" s="27" t="inlineStr">
        <is>
          <t>qd_08</t>
        </is>
      </c>
      <c r="B72" s="112" t="inlineStr">
        <is>
          <t>Форма · вопросы анкеты</t>
        </is>
      </c>
      <c r="C72" s="113" t="inlineStr">
        <is>
          <t>Съёмка и монтаж рилс, ведение соцсетей, отклики на площадках, общение в чатах и другие способы поиска заказов.</t>
        </is>
      </c>
    </row>
    <row r="73">
      <c r="A73" s="3" t="inlineStr">
        <is>
          <t>Единица измерения</t>
        </is>
      </c>
    </row>
    <row r="74">
      <c r="A74" s="27" t="inlineStr">
        <is>
          <t>un_06</t>
        </is>
      </c>
      <c r="B74" s="112" t="inlineStr">
        <is>
          <t>Форма · вопросы анкеты</t>
        </is>
      </c>
      <c r="C74" s="113" t="inlineStr">
        <is>
          <t>ч/день</t>
        </is>
      </c>
    </row>
    <row r="75">
      <c r="A75" s="3" t="inlineStr">
        <is>
          <t>Заголовок блока</t>
        </is>
      </c>
    </row>
    <row r="76">
      <c r="A76" s="27" t="inlineStr">
        <is>
          <t>h2_06</t>
        </is>
      </c>
      <c r="B76" s="112" t="inlineStr">
        <is>
          <t>Форма · вопросы анкеты</t>
        </is>
      </c>
      <c r="C76" s="113" t="inlineStr">
        <is>
          <t>Съёмочная техника</t>
        </is>
      </c>
    </row>
    <row r="77">
      <c r="A77" s="3" t="inlineStr">
        <is>
          <t>Пояснение под заголовком</t>
        </is>
      </c>
    </row>
    <row r="78">
      <c r="A78" s="27" t="inlineStr">
        <is>
          <t>hint_02</t>
        </is>
      </c>
      <c r="B78" s="112" t="inlineStr">
        <is>
          <t>Форма · вопросы анкеты</t>
        </is>
      </c>
      <c r="C78" s="113" t="inlineStr">
        <is>
          <t>Всё, без чего невозможно провести съёмку. Укажите текущую рыночную стоимость и срок, за который вещь придётся заменить</t>
        </is>
      </c>
    </row>
    <row r="79">
      <c r="A79" s="3" t="inlineStr">
        <is>
          <t>Заголовок колонки</t>
        </is>
      </c>
    </row>
    <row r="80">
      <c r="A80" s="27" t="inlineStr">
        <is>
          <t>th_01</t>
        </is>
      </c>
      <c r="B80" s="112" t="inlineStr">
        <is>
          <t>Форма · вопросы анкеты</t>
        </is>
      </c>
      <c r="C80" s="113" t="inlineStr">
        <is>
          <t>Позиция</t>
        </is>
      </c>
    </row>
    <row r="81">
      <c r="A81" s="27" t="inlineStr">
        <is>
          <t>th_02</t>
        </is>
      </c>
      <c r="B81" s="112" t="inlineStr">
        <is>
          <t>Форма · вопросы анкеты</t>
        </is>
      </c>
      <c r="C81" s="113" t="inlineStr">
        <is>
          <t>Стоимость</t>
        </is>
      </c>
    </row>
    <row r="82">
      <c r="A82" s="27" t="inlineStr">
        <is>
          <t>th_03</t>
        </is>
      </c>
      <c r="B82" s="112" t="inlineStr">
        <is>
          <t>Форма · вопросы анкеты</t>
        </is>
      </c>
      <c r="C82" s="113" t="inlineStr">
        <is>
          <t>Срок службы</t>
        </is>
      </c>
    </row>
    <row r="83">
      <c r="A83" s="3" t="inlineStr">
        <is>
          <t>Кнопка добавления</t>
        </is>
      </c>
    </row>
    <row r="84">
      <c r="A84" s="27" t="inlineStr">
        <is>
          <t>add_01</t>
        </is>
      </c>
      <c r="B84" s="112" t="inlineStr">
        <is>
          <t>Форма · вопросы анкеты</t>
        </is>
      </c>
      <c r="C84" s="113" t="inlineStr">
        <is>
          <t>+ Добавить позицию</t>
        </is>
      </c>
    </row>
    <row r="85">
      <c r="A85" s="3" t="inlineStr">
        <is>
          <t>Заголовок блока</t>
        </is>
      </c>
    </row>
    <row r="86">
      <c r="A86" s="27" t="inlineStr">
        <is>
          <t>h2_07</t>
        </is>
      </c>
      <c r="B86" s="112" t="inlineStr">
        <is>
          <t>Форма · вопросы анкеты</t>
        </is>
      </c>
      <c r="C86" s="113" t="inlineStr">
        <is>
          <t>Офисная техника</t>
        </is>
      </c>
    </row>
    <row r="87">
      <c r="A87" s="3" t="inlineStr">
        <is>
          <t>Пояснение под заголовком</t>
        </is>
      </c>
    </row>
    <row r="88">
      <c r="A88" s="27" t="inlineStr">
        <is>
          <t>hint_03</t>
        </is>
      </c>
      <c r="B88" s="112" t="inlineStr">
        <is>
          <t>Форма · вопросы анкеты</t>
        </is>
      </c>
      <c r="C88" s="113" t="inlineStr">
        <is>
          <t>Компьютер и всё, на чём вы обрабатываете материал и ведёте дела вне площадки</t>
        </is>
      </c>
    </row>
    <row r="89">
      <c r="A89" s="3" t="inlineStr">
        <is>
          <t>Заголовок колонки</t>
        </is>
      </c>
    </row>
    <row r="90">
      <c r="A90" s="27" t="inlineStr">
        <is>
          <t>th_04</t>
        </is>
      </c>
      <c r="B90" s="112" t="inlineStr">
        <is>
          <t>Форма · вопросы анкеты</t>
        </is>
      </c>
      <c r="C90" s="113" t="inlineStr">
        <is>
          <t>Позиция</t>
        </is>
      </c>
    </row>
    <row r="91">
      <c r="A91" s="27" t="inlineStr">
        <is>
          <t>th_05</t>
        </is>
      </c>
      <c r="B91" s="112" t="inlineStr">
        <is>
          <t>Форма · вопросы анкеты</t>
        </is>
      </c>
      <c r="C91" s="113" t="inlineStr">
        <is>
          <t>Стоимость</t>
        </is>
      </c>
    </row>
    <row r="92">
      <c r="A92" s="27" t="inlineStr">
        <is>
          <t>th_06</t>
        </is>
      </c>
      <c r="B92" s="112" t="inlineStr">
        <is>
          <t>Форма · вопросы анкеты</t>
        </is>
      </c>
      <c r="C92" s="113" t="inlineStr">
        <is>
          <t>Срок службы</t>
        </is>
      </c>
    </row>
    <row r="93">
      <c r="A93" s="3" t="inlineStr">
        <is>
          <t>Кнопка добавления</t>
        </is>
      </c>
    </row>
    <row r="94">
      <c r="A94" s="27" t="inlineStr">
        <is>
          <t>add_02</t>
        </is>
      </c>
      <c r="B94" s="112" t="inlineStr">
        <is>
          <t>Форма · вопросы анкеты</t>
        </is>
      </c>
      <c r="C94" s="113" t="inlineStr">
        <is>
          <t>+ Добавить позицию</t>
        </is>
      </c>
    </row>
    <row r="95">
      <c r="A95" s="3" t="inlineStr">
        <is>
          <t>Заголовок блока</t>
        </is>
      </c>
    </row>
    <row r="96">
      <c r="A96" s="27" t="inlineStr">
        <is>
          <t>h2_08</t>
        </is>
      </c>
      <c r="B96" s="112" t="inlineStr">
        <is>
          <t>Форма · вопросы анкеты</t>
        </is>
      </c>
      <c r="C96" s="113" t="inlineStr">
        <is>
          <t>Программное обеспечение</t>
        </is>
      </c>
    </row>
    <row r="97">
      <c r="A97" s="3" t="inlineStr">
        <is>
          <t>Подзаголовок секции</t>
        </is>
      </c>
    </row>
    <row r="98">
      <c r="A98" s="27" t="inlineStr">
        <is>
          <t>sh_01</t>
        </is>
      </c>
      <c r="B98" s="112" t="inlineStr">
        <is>
          <t>Форма · вопросы анкеты</t>
        </is>
      </c>
      <c r="C98" s="113" t="inlineStr">
        <is>
          <t>Подписки</t>
        </is>
      </c>
    </row>
    <row r="99">
      <c r="A99" s="3" t="inlineStr">
        <is>
          <t>Пояснение к секции</t>
        </is>
      </c>
    </row>
    <row r="100">
      <c r="A100" s="27" t="inlineStr">
        <is>
          <t>shd_01</t>
        </is>
      </c>
      <c r="B100" s="112" t="inlineStr">
        <is>
          <t>Форма · вопросы анкеты</t>
        </is>
      </c>
      <c r="C100" s="113" t="inlineStr">
        <is>
          <t>Сервисы, за которые вы платите регулярно: облако, редакторы, планировщики.</t>
        </is>
      </c>
    </row>
    <row r="101">
      <c r="A101" s="3" t="inlineStr">
        <is>
          <t>Заголовок колонки</t>
        </is>
      </c>
    </row>
    <row r="102">
      <c r="A102" s="27" t="inlineStr">
        <is>
          <t>th_07</t>
        </is>
      </c>
      <c r="B102" s="112" t="inlineStr">
        <is>
          <t>Форма · вопросы анкеты</t>
        </is>
      </c>
      <c r="C102" s="113" t="inlineStr">
        <is>
          <t>ПозицияСтоимость
Период
+ Добавить подписку</t>
        </is>
      </c>
    </row>
    <row r="103">
      <c r="A103" s="27" t="inlineStr">
        <is>
          <t>th_08</t>
        </is>
      </c>
      <c r="B103" s="112" t="inlineStr">
        <is>
          <t>Форма · вопросы анкеты</t>
        </is>
      </c>
      <c r="C103" s="113" t="inlineStr">
        <is>
          <t>Стоимость</t>
        </is>
      </c>
    </row>
    <row r="104">
      <c r="A104" s="27" t="inlineStr">
        <is>
          <t>th_09</t>
        </is>
      </c>
      <c r="B104" s="112" t="inlineStr">
        <is>
          <t>Форма · вопросы анкеты</t>
        </is>
      </c>
      <c r="C104" s="113" t="inlineStr">
        <is>
          <t>Период</t>
        </is>
      </c>
    </row>
    <row r="105">
      <c r="A105" s="3" t="inlineStr">
        <is>
          <t>Кнопка добавления</t>
        </is>
      </c>
    </row>
    <row r="106">
      <c r="A106" s="27" t="inlineStr">
        <is>
          <t>add_03</t>
        </is>
      </c>
      <c r="B106" s="112" t="inlineStr">
        <is>
          <t>Форма · вопросы анкеты</t>
        </is>
      </c>
      <c r="C106" s="113" t="inlineStr">
        <is>
          <t>+ Добавить подписку</t>
        </is>
      </c>
    </row>
    <row r="107">
      <c r="A107" s="3" t="inlineStr">
        <is>
          <t>Подзаголовок секции</t>
        </is>
      </c>
    </row>
    <row r="108">
      <c r="A108" s="27" t="inlineStr">
        <is>
          <t>sh_02</t>
        </is>
      </c>
      <c r="B108" s="112" t="inlineStr">
        <is>
          <t>Форма · вопросы анкеты</t>
        </is>
      </c>
      <c r="C108" s="113" t="inlineStr">
        <is>
          <t>Разовые покупки</t>
        </is>
      </c>
    </row>
    <row r="109">
      <c r="A109" s="3" t="inlineStr">
        <is>
          <t>Пояснение к секции</t>
        </is>
      </c>
    </row>
    <row r="110">
      <c r="A110" s="27" t="inlineStr">
        <is>
          <t>shd_02</t>
        </is>
      </c>
      <c r="B110" s="112" t="inlineStr">
        <is>
          <t>Форма · вопросы анкеты</t>
        </is>
      </c>
      <c r="C110" s="113" t="inlineStr">
        <is>
          <t>Программы и плагины, купленные один раз. Со временем устаревают, поэтому распределяем стоимость на срок использования.</t>
        </is>
      </c>
    </row>
    <row r="111">
      <c r="A111" s="3" t="inlineStr">
        <is>
          <t>Заголовок колонки</t>
        </is>
      </c>
    </row>
    <row r="112">
      <c r="A112" s="27" t="inlineStr">
        <is>
          <t>th_10</t>
        </is>
      </c>
      <c r="B112" s="112" t="inlineStr">
        <is>
          <t>Форма · вопросы анкеты</t>
        </is>
      </c>
      <c r="C112" s="113" t="inlineStr">
        <is>
          <t>ПозицияСтоимость
Срок службы
+ Добавить программу</t>
        </is>
      </c>
    </row>
    <row r="113">
      <c r="A113" s="27" t="inlineStr">
        <is>
          <t>th_11</t>
        </is>
      </c>
      <c r="B113" s="112" t="inlineStr">
        <is>
          <t>Форма · вопросы анкеты</t>
        </is>
      </c>
      <c r="C113" s="113" t="inlineStr">
        <is>
          <t>Стоимость</t>
        </is>
      </c>
    </row>
    <row r="114">
      <c r="A114" s="27" t="inlineStr">
        <is>
          <t>th_12</t>
        </is>
      </c>
      <c r="B114" s="112" t="inlineStr">
        <is>
          <t>Форма · вопросы анкеты</t>
        </is>
      </c>
      <c r="C114" s="113" t="inlineStr">
        <is>
          <t>Срок службы</t>
        </is>
      </c>
    </row>
    <row r="115">
      <c r="A115" s="3" t="inlineStr">
        <is>
          <t>Кнопка добавления</t>
        </is>
      </c>
    </row>
    <row r="116">
      <c r="A116" s="27" t="inlineStr">
        <is>
          <t>add_04</t>
        </is>
      </c>
      <c r="B116" s="112" t="inlineStr">
        <is>
          <t>Форма · вопросы анкеты</t>
        </is>
      </c>
      <c r="C116" s="113" t="inlineStr">
        <is>
          <t>+ Добавить программу</t>
        </is>
      </c>
    </row>
    <row r="117">
      <c r="A117" s="3" t="inlineStr">
        <is>
          <t>Заголовок блока</t>
        </is>
      </c>
    </row>
    <row r="118">
      <c r="A118" s="27" t="inlineStr">
        <is>
          <t>h2_09</t>
        </is>
      </c>
      <c r="B118" s="112" t="inlineStr">
        <is>
          <t>Форма · вопросы анкеты</t>
        </is>
      </c>
      <c r="C118" s="113" t="inlineStr">
        <is>
          <t>Рабочее место</t>
        </is>
      </c>
    </row>
    <row r="119">
      <c r="A119" s="3" t="inlineStr">
        <is>
          <t>Пояснение под заголовком</t>
        </is>
      </c>
    </row>
    <row r="120">
      <c r="A120" s="27" t="inlineStr">
        <is>
          <t>hint_04</t>
        </is>
      </c>
      <c r="B120" s="112" t="inlineStr">
        <is>
          <t>Форма · вопросы анкеты</t>
        </is>
      </c>
      <c r="C120" s="113" t="inlineStr">
        <is>
          <t>Дома считаем только долю метров под кабинет, арендованное помещение — целиком</t>
        </is>
      </c>
    </row>
    <row r="121">
      <c r="A121" s="3" t="inlineStr">
        <is>
          <t>Вопрос</t>
        </is>
      </c>
    </row>
    <row r="122">
      <c r="A122" s="27" t="inlineStr">
        <is>
          <t>q_08</t>
        </is>
      </c>
      <c r="B122" s="112" t="inlineStr">
        <is>
          <t>Форма · вопросы анкеты</t>
        </is>
      </c>
      <c r="C122" s="113" t="inlineStr">
        <is>
          <t>Сколько вы платите за жильё в месяц?</t>
        </is>
      </c>
    </row>
    <row r="123">
      <c r="A123" s="3" t="inlineStr">
        <is>
          <t>Пояснение к вопросу</t>
        </is>
      </c>
    </row>
    <row r="124">
      <c r="A124" s="27" t="inlineStr">
        <is>
          <t>qd_09</t>
        </is>
      </c>
      <c r="B124" s="112" t="inlineStr">
        <is>
          <t>Форма · вопросы анкеты</t>
        </is>
      </c>
      <c r="C124" s="113" t="inlineStr">
        <is>
          <t>Аренда или платёж по ипотеке. В расчёт войдёт только доля, приходящаяся на рабочую зону.</t>
        </is>
      </c>
    </row>
    <row r="125">
      <c r="A125" s="3" t="inlineStr">
        <is>
          <t>Галочка своего жилья</t>
        </is>
      </c>
    </row>
    <row r="126">
      <c r="A126" s="27" t="inlineStr">
        <is>
          <t>own_01</t>
        </is>
      </c>
      <c r="B126" s="112" t="inlineStr">
        <is>
          <t>Форма · вопросы анкеты</t>
        </is>
      </c>
      <c r="C126" s="113" t="inlineStr">
        <is>
          <t>Живу в своём, ипотеки нет</t>
        </is>
      </c>
    </row>
    <row r="127">
      <c r="A127" s="3" t="inlineStr">
        <is>
          <t>Единица измерения</t>
        </is>
      </c>
    </row>
    <row r="128">
      <c r="A128" s="27" t="inlineStr">
        <is>
          <t>un_07</t>
        </is>
      </c>
      <c r="B128" s="112" t="inlineStr">
        <is>
          <t>Форма · вопросы анкеты</t>
        </is>
      </c>
      <c r="C128" s="113" t="inlineStr">
        <is>
          <t>₽/мес</t>
        </is>
      </c>
    </row>
    <row r="129">
      <c r="A129" s="3" t="inlineStr">
        <is>
          <t>Вопрос</t>
        </is>
      </c>
    </row>
    <row r="130">
      <c r="A130" s="27" t="inlineStr">
        <is>
          <t>q_09</t>
        </is>
      </c>
      <c r="B130" s="112" t="inlineStr">
        <is>
          <t>Форма · вопросы анкеты</t>
        </is>
      </c>
      <c r="C130" s="113" t="inlineStr">
        <is>
          <t>Коммунальные платежи, интернет и связь</t>
        </is>
      </c>
    </row>
    <row r="131">
      <c r="A131" s="3" t="inlineStr">
        <is>
          <t>Пояснение к вопросу</t>
        </is>
      </c>
    </row>
    <row r="132">
      <c r="A132" s="27" t="inlineStr">
        <is>
          <t>qd_10</t>
        </is>
      </c>
      <c r="B132" s="112" t="inlineStr">
        <is>
          <t>Форма · вопросы анкеты</t>
        </is>
      </c>
      <c r="C132" s="113" t="inlineStr">
        <is>
          <t>Учитываются полностью: без света и интернета работать невозможно.</t>
        </is>
      </c>
    </row>
    <row r="133">
      <c r="A133" s="3" t="inlineStr">
        <is>
          <t>Единица измерения</t>
        </is>
      </c>
    </row>
    <row r="134">
      <c r="A134" s="27" t="inlineStr">
        <is>
          <t>un_08</t>
        </is>
      </c>
      <c r="B134" s="112" t="inlineStr">
        <is>
          <t>Форма · вопросы анкеты</t>
        </is>
      </c>
      <c r="C134" s="113" t="inlineStr">
        <is>
          <t>₽/мес</t>
        </is>
      </c>
    </row>
    <row r="135">
      <c r="A135" s="3" t="inlineStr">
        <is>
          <t>Вопрос</t>
        </is>
      </c>
    </row>
    <row r="136">
      <c r="A136" s="27" t="inlineStr">
        <is>
          <t>q_10</t>
        </is>
      </c>
      <c r="B136" s="112" t="inlineStr">
        <is>
          <t>Форма · вопросы анкеты</t>
        </is>
      </c>
      <c r="C136" s="113" t="inlineStr">
        <is>
          <t>Общая площадь вашего жилья</t>
        </is>
      </c>
    </row>
    <row r="137">
      <c r="A137" s="3" t="inlineStr">
        <is>
          <t>Единица измерения</t>
        </is>
      </c>
    </row>
    <row r="138">
      <c r="A138" s="27" t="inlineStr">
        <is>
          <t>un_09</t>
        </is>
      </c>
      <c r="B138" s="112" t="inlineStr">
        <is>
          <t>Форма · вопросы анкеты</t>
        </is>
      </c>
      <c r="C138" s="113" t="inlineStr">
        <is>
          <t>м²</t>
        </is>
      </c>
    </row>
    <row r="139">
      <c r="A139" s="3" t="inlineStr">
        <is>
          <t>Вопрос</t>
        </is>
      </c>
    </row>
    <row r="140">
      <c r="A140" s="27" t="inlineStr">
        <is>
          <t>q_11</t>
        </is>
      </c>
      <c r="B140" s="112" t="inlineStr">
        <is>
          <t>Форма · вопросы анкеты</t>
        </is>
      </c>
      <c r="C140" s="113" t="inlineStr">
        <is>
          <t>Сколько метров занимает рабочая зона?</t>
        </is>
      </c>
    </row>
    <row r="141">
      <c r="A141" s="3" t="inlineStr">
        <is>
          <t>Пояснение к вопросу</t>
        </is>
      </c>
    </row>
    <row r="142">
      <c r="A142" s="27" t="inlineStr">
        <is>
          <t>qd_11</t>
        </is>
      </c>
      <c r="B142" s="112" t="inlineStr">
        <is>
          <t>Форма · вопросы анкеты</t>
        </is>
      </c>
      <c r="C142" s="113" t="inlineStr">
        <is>
          <t>Стол, техника, место для хранения оборудования и съёмочный уголок, если он есть.</t>
        </is>
      </c>
    </row>
    <row r="143">
      <c r="A143" s="3" t="inlineStr">
        <is>
          <t>Единица измерения</t>
        </is>
      </c>
    </row>
    <row r="144">
      <c r="A144" s="27" t="inlineStr">
        <is>
          <t>un_10</t>
        </is>
      </c>
      <c r="B144" s="112" t="inlineStr">
        <is>
          <t>Форма · вопросы анкеты</t>
        </is>
      </c>
      <c r="C144" s="113" t="inlineStr">
        <is>
          <t>м²</t>
        </is>
      </c>
    </row>
    <row r="145">
      <c r="A145" s="3" t="inlineStr">
        <is>
          <t>Вопрос</t>
        </is>
      </c>
    </row>
    <row r="146">
      <c r="A146" s="27" t="inlineStr">
        <is>
          <t>q_12</t>
        </is>
      </c>
      <c r="B146" s="112" t="inlineStr">
        <is>
          <t>Форма · вопросы анкеты</t>
        </is>
      </c>
      <c r="C146" s="113" t="inlineStr">
        <is>
          <t>Стоимость аренды помещения</t>
        </is>
      </c>
    </row>
    <row r="147">
      <c r="A147" s="3" t="inlineStr">
        <is>
          <t>Пояснение к вопросу</t>
        </is>
      </c>
    </row>
    <row r="148">
      <c r="A148" s="27" t="inlineStr">
        <is>
          <t>qd_12</t>
        </is>
      </c>
      <c r="B148" s="112" t="inlineStr">
        <is>
          <t>Форма · вопросы анкеты</t>
        </is>
      </c>
      <c r="C148" s="113" t="inlineStr">
        <is>
          <t>Студия, кабинет или место в коворкинге. Учитывается полностью.</t>
        </is>
      </c>
    </row>
    <row r="149">
      <c r="A149" s="3" t="inlineStr">
        <is>
          <t>Единица измерения</t>
        </is>
      </c>
    </row>
    <row r="150">
      <c r="A150" s="27" t="inlineStr">
        <is>
          <t>un_11</t>
        </is>
      </c>
      <c r="B150" s="112" t="inlineStr">
        <is>
          <t>Форма · вопросы анкеты</t>
        </is>
      </c>
      <c r="C150" s="113" t="inlineStr">
        <is>
          <t>₽/мес</t>
        </is>
      </c>
    </row>
    <row r="151">
      <c r="A151" s="3" t="inlineStr">
        <is>
          <t>Вопрос</t>
        </is>
      </c>
    </row>
    <row r="152">
      <c r="A152" s="27" t="inlineStr">
        <is>
          <t>q_13</t>
        </is>
      </c>
      <c r="B152" s="112" t="inlineStr">
        <is>
          <t>Форма · вопросы анкеты</t>
        </is>
      </c>
      <c r="C152" s="113" t="inlineStr">
        <is>
          <t>Коммунальные платежи, интернет и связь</t>
        </is>
      </c>
    </row>
    <row r="153">
      <c r="A153" s="3" t="inlineStr">
        <is>
          <t>Единица измерения</t>
        </is>
      </c>
    </row>
    <row r="154">
      <c r="A154" s="27" t="inlineStr">
        <is>
          <t>un_12</t>
        </is>
      </c>
      <c r="B154" s="112" t="inlineStr">
        <is>
          <t>Форма · вопросы анкеты</t>
        </is>
      </c>
      <c r="C154" s="113" t="inlineStr">
        <is>
          <t>₽/мес</t>
        </is>
      </c>
    </row>
    <row r="155">
      <c r="A155" s="3" t="inlineStr">
        <is>
          <t>Подзаголовок секции</t>
        </is>
      </c>
    </row>
    <row r="156">
      <c r="A156" s="27" t="inlineStr">
        <is>
          <t>sh_03</t>
        </is>
      </c>
      <c r="B156" s="112" t="inlineStr">
        <is>
          <t>Форма · вопросы анкеты</t>
        </is>
      </c>
      <c r="C156" s="113" t="inlineStr">
        <is>
          <t>Обустройство рабочего пространства</t>
        </is>
      </c>
    </row>
    <row r="157">
      <c r="A157" s="3" t="inlineStr">
        <is>
          <t>Пояснение к секции</t>
        </is>
      </c>
    </row>
    <row r="158">
      <c r="A158" s="27" t="inlineStr">
        <is>
          <t>shd_03</t>
        </is>
      </c>
      <c r="B158" s="112" t="inlineStr">
        <is>
          <t>Форма · вопросы анкеты</t>
        </is>
      </c>
      <c r="C158" s="113" t="inlineStr">
        <is>
          <t>Опишите разовые вложения в организацию рабочего места: мебель, ремонт, освещение, полки для техники. Даже если это уголок в квартире — эти деньги вы потратили, чтобы иметь возможность работать.</t>
        </is>
      </c>
    </row>
    <row r="159">
      <c r="A159" s="3" t="inlineStr">
        <is>
          <t>Заголовок колонки</t>
        </is>
      </c>
    </row>
    <row r="160">
      <c r="A160" s="27" t="inlineStr">
        <is>
          <t>th_13</t>
        </is>
      </c>
      <c r="B160" s="112" t="inlineStr">
        <is>
          <t>Форма · вопросы анкеты</t>
        </is>
      </c>
      <c r="C160" s="113" t="inlineStr">
        <is>
          <t>ПозицияСтоимость
Срок службы
+ Добавить позицию</t>
        </is>
      </c>
    </row>
    <row r="161">
      <c r="A161" s="27" t="inlineStr">
        <is>
          <t>th_14</t>
        </is>
      </c>
      <c r="B161" s="112" t="inlineStr">
        <is>
          <t>Форма · вопросы анкеты</t>
        </is>
      </c>
      <c r="C161" s="113" t="inlineStr">
        <is>
          <t>Стоимость</t>
        </is>
      </c>
    </row>
    <row r="162">
      <c r="A162" s="27" t="inlineStr">
        <is>
          <t>th_15</t>
        </is>
      </c>
      <c r="B162" s="112" t="inlineStr">
        <is>
          <t>Форма · вопросы анкеты</t>
        </is>
      </c>
      <c r="C162" s="113" t="inlineStr">
        <is>
          <t>Срок службы</t>
        </is>
      </c>
    </row>
    <row r="163">
      <c r="A163" s="3" t="inlineStr">
        <is>
          <t>Кнопка добавления</t>
        </is>
      </c>
    </row>
    <row r="164">
      <c r="A164" s="27" t="inlineStr">
        <is>
          <t>add_05</t>
        </is>
      </c>
      <c r="B164" s="112" t="inlineStr">
        <is>
          <t>Форма · вопросы анкеты</t>
        </is>
      </c>
      <c r="C164" s="113" t="inlineStr">
        <is>
          <t>+ Добавить позицию</t>
        </is>
      </c>
    </row>
    <row r="165">
      <c r="A165" s="3" t="inlineStr">
        <is>
          <t>Заголовок блока</t>
        </is>
      </c>
    </row>
    <row r="166">
      <c r="A166" s="27" t="inlineStr">
        <is>
          <t>h2_10</t>
        </is>
      </c>
      <c r="B166" s="112" t="inlineStr">
        <is>
          <t>Форма · вопросы анкеты</t>
        </is>
      </c>
      <c r="C166" s="113" t="inlineStr">
        <is>
          <t>Обучение и курсы</t>
        </is>
      </c>
    </row>
    <row r="167">
      <c r="A167" s="3" t="inlineStr">
        <is>
          <t>Пояснение под заголовком</t>
        </is>
      </c>
    </row>
    <row r="168">
      <c r="A168" s="27" t="inlineStr">
        <is>
          <t>hint_05</t>
        </is>
      </c>
      <c r="B168" s="112" t="inlineStr">
        <is>
          <t>Форма · вопросы анкеты</t>
        </is>
      </c>
      <c r="C168" s="113" t="inlineStr">
        <is>
          <t>Опишите, сколько времени и денег вы вложили, чтобы получить профессию</t>
        </is>
      </c>
    </row>
    <row r="169">
      <c r="A169" s="3" t="inlineStr">
        <is>
          <t>Пояснение к секции</t>
        </is>
      </c>
    </row>
    <row r="170">
      <c r="A170" s="27" t="inlineStr">
        <is>
          <t>shd_04</t>
        </is>
      </c>
      <c r="B170" s="112" t="inlineStr">
        <is>
          <t>Форма · вопросы анкеты</t>
        </is>
      </c>
      <c r="C170" s="113" t="inlineStr">
        <is>
          <t>Курсы, семинары, мастер-классы, наставничество. Это ваш опыт, за который вы заплатили деньгами и месяцами жизни — он тоже должен окупаться через стоимость часа.</t>
        </is>
      </c>
    </row>
    <row r="171">
      <c r="A171" s="3" t="inlineStr">
        <is>
          <t>Заголовок колонки</t>
        </is>
      </c>
    </row>
    <row r="172">
      <c r="A172" s="27" t="inlineStr">
        <is>
          <t>th_16</t>
        </is>
      </c>
      <c r="B172" s="112" t="inlineStr">
        <is>
          <t>Форма · вопросы анкеты</t>
        </is>
      </c>
      <c r="C172" s="113" t="inlineStr">
        <is>
          <t>ОбучениеСтоимость
Месяцев учились
+ Добавить обучение</t>
        </is>
      </c>
    </row>
    <row r="173">
      <c r="A173" s="27" t="inlineStr">
        <is>
          <t>th_17</t>
        </is>
      </c>
      <c r="B173" s="112" t="inlineStr">
        <is>
          <t>Форма · вопросы анкеты</t>
        </is>
      </c>
      <c r="C173" s="113" t="inlineStr">
        <is>
          <t>Стоимость</t>
        </is>
      </c>
    </row>
    <row r="174">
      <c r="A174" s="27" t="inlineStr">
        <is>
          <t>th_18</t>
        </is>
      </c>
      <c r="B174" s="112" t="inlineStr">
        <is>
          <t>Форма · вопросы анкеты</t>
        </is>
      </c>
      <c r="C174" s="113" t="inlineStr">
        <is>
          <t>Месяцев учились</t>
        </is>
      </c>
    </row>
    <row r="175">
      <c r="A175" s="3" t="inlineStr">
        <is>
          <t>Кнопка добавления</t>
        </is>
      </c>
    </row>
    <row r="176">
      <c r="A176" s="27" t="inlineStr">
        <is>
          <t>add_06</t>
        </is>
      </c>
      <c r="B176" s="112" t="inlineStr">
        <is>
          <t>Форма · вопросы анкеты</t>
        </is>
      </c>
      <c r="C176" s="113" t="inlineStr">
        <is>
          <t>+ Добавить обучение</t>
        </is>
      </c>
    </row>
    <row r="177">
      <c r="A177" s="3" t="inlineStr">
        <is>
          <t>Вопрос</t>
        </is>
      </c>
    </row>
    <row r="178">
      <c r="A178" s="27" t="inlineStr">
        <is>
          <t>q_14</t>
        </is>
      </c>
      <c r="B178" s="112" t="inlineStr">
        <is>
          <t>Форма · вопросы анкеты</t>
        </is>
      </c>
      <c r="C178" s="113" t="inlineStr">
        <is>
          <t>За сколько лет вы хотите окупить вложения в обучение?</t>
        </is>
      </c>
    </row>
    <row r="179">
      <c r="A179" s="3" t="inlineStr">
        <is>
          <t>Пояснение к вопросу</t>
        </is>
      </c>
    </row>
    <row r="180">
      <c r="A180" s="27" t="inlineStr">
        <is>
          <t>qd_13</t>
        </is>
      </c>
      <c r="B180" s="112" t="inlineStr">
        <is>
          <t>Форма · вопросы анкеты</t>
        </is>
      </c>
      <c r="C180" s="113" t="inlineStr">
        <is>
          <t>Стоимость распределится равномерно на этот срок. Обычно берут от 5 до 10 лет.</t>
        </is>
      </c>
    </row>
    <row r="181">
      <c r="A181" s="3" t="inlineStr">
        <is>
          <t>Единица измерения</t>
        </is>
      </c>
    </row>
    <row r="182">
      <c r="A182" s="27" t="inlineStr">
        <is>
          <t>un_13</t>
        </is>
      </c>
      <c r="B182" s="112" t="inlineStr">
        <is>
          <t>Форма · вопросы анкеты</t>
        </is>
      </c>
      <c r="C182" s="113" t="inlineStr">
        <is>
          <t>лет</t>
        </is>
      </c>
    </row>
    <row r="183">
      <c r="A183" s="3" t="inlineStr">
        <is>
          <t>Заголовок блока</t>
        </is>
      </c>
    </row>
    <row r="184">
      <c r="A184" s="27" t="inlineStr">
        <is>
          <t>h2_11</t>
        </is>
      </c>
      <c r="B184" s="112" t="inlineStr">
        <is>
          <t>Форма · вопросы анкеты</t>
        </is>
      </c>
      <c r="C184" s="113" t="inlineStr">
        <is>
          <t>Создание сайта</t>
        </is>
      </c>
    </row>
    <row r="185">
      <c r="A185" s="3" t="inlineStr">
        <is>
          <t>Пояснение под заголовком</t>
        </is>
      </c>
    </row>
    <row r="186">
      <c r="A186" s="27" t="inlineStr">
        <is>
          <t>hint_06</t>
        </is>
      </c>
      <c r="B186" s="112" t="inlineStr">
        <is>
          <t>Форма · вопросы анкеты</t>
        </is>
      </c>
      <c r="C186" s="113" t="inlineStr">
        <is>
          <t>Если делали сами — это тоже вложение: вы потратили время вместо работы по профессии</t>
        </is>
      </c>
    </row>
    <row r="187">
      <c r="A187" s="3" t="inlineStr">
        <is>
          <t>Вопрос</t>
        </is>
      </c>
    </row>
    <row r="188">
      <c r="A188" s="27" t="inlineStr">
        <is>
          <t>q_15</t>
        </is>
      </c>
      <c r="B188" s="112" t="inlineStr">
        <is>
          <t>Форма · вопросы анкеты</t>
        </is>
      </c>
      <c r="C188" s="113" t="inlineStr">
        <is>
          <t>Сколько вы заплатили за сайт?</t>
        </is>
      </c>
    </row>
    <row r="189">
      <c r="A189" s="3" t="inlineStr">
        <is>
          <t>Пояснение к вопросу</t>
        </is>
      </c>
    </row>
    <row r="190">
      <c r="A190" s="27" t="inlineStr">
        <is>
          <t>qd_14</t>
        </is>
      </c>
      <c r="B190" s="112" t="inlineStr">
        <is>
          <t>Форма · вопросы анкеты</t>
        </is>
      </c>
      <c r="C190" s="113" t="inlineStr">
        <is>
          <t>Разработка, дизайн, наполнение — всё, что оплачивали подрядчику.</t>
        </is>
      </c>
    </row>
    <row r="191">
      <c r="A191" s="3" t="inlineStr">
        <is>
          <t>Вопрос</t>
        </is>
      </c>
    </row>
    <row r="192">
      <c r="A192" s="27" t="inlineStr">
        <is>
          <t>q_16</t>
        </is>
      </c>
      <c r="B192" s="112" t="inlineStr">
        <is>
          <t>Форма · вопросы анкеты</t>
        </is>
      </c>
      <c r="C192" s="113" t="inlineStr">
        <is>
          <t>Сколько часов вы потратили на сайт?</t>
        </is>
      </c>
    </row>
    <row r="193">
      <c r="A193" s="3" t="inlineStr">
        <is>
          <t>Пояснение к вопросу</t>
        </is>
      </c>
    </row>
    <row r="194">
      <c r="A194" s="27" t="inlineStr">
        <is>
          <t>qd_15</t>
        </is>
      </c>
      <c r="B194" s="112" t="inlineStr">
        <is>
          <t>Форма · вопросы анкеты</t>
        </is>
      </c>
      <c r="C194" s="113" t="inlineStr">
        <is>
          <t>Считаем по вашей же ставке рабочего часа: это время вы могли бы отдать съёмкам.</t>
        </is>
      </c>
    </row>
    <row r="195">
      <c r="A195" s="3" t="inlineStr">
        <is>
          <t>Единица измерения</t>
        </is>
      </c>
    </row>
    <row r="196">
      <c r="A196" s="27" t="inlineStr">
        <is>
          <t>un_14</t>
        </is>
      </c>
      <c r="B196" s="112" t="inlineStr">
        <is>
          <t>Форма · вопросы анкеты</t>
        </is>
      </c>
      <c r="C196" s="113" t="inlineStr">
        <is>
          <t>часов</t>
        </is>
      </c>
    </row>
    <row r="197">
      <c r="A197" s="3" t="inlineStr">
        <is>
          <t>Вопрос</t>
        </is>
      </c>
    </row>
    <row r="198">
      <c r="A198" s="27" t="inlineStr">
        <is>
          <t>q_17</t>
        </is>
      </c>
      <c r="B198" s="112" t="inlineStr">
        <is>
          <t>Форма · вопросы анкеты</t>
        </is>
      </c>
      <c r="C198" s="113" t="inlineStr">
        <is>
          <t>За сколько лет окупить вложения в сайт?</t>
        </is>
      </c>
    </row>
    <row r="199">
      <c r="A199" s="3" t="inlineStr">
        <is>
          <t>Пояснение к вопросу</t>
        </is>
      </c>
    </row>
    <row r="200">
      <c r="A200" s="27" t="inlineStr">
        <is>
          <t>qd_16</t>
        </is>
      </c>
      <c r="B200" s="112" t="inlineStr">
        <is>
          <t>Форма · вопросы анкеты</t>
        </is>
      </c>
      <c r="C200" s="113" t="inlineStr">
        <is>
          <t>Через этот срок сайт устареет и потребует переделки.</t>
        </is>
      </c>
    </row>
    <row r="201">
      <c r="A201" s="3" t="inlineStr">
        <is>
          <t>Единица измерения</t>
        </is>
      </c>
    </row>
    <row r="202">
      <c r="A202" s="27" t="inlineStr">
        <is>
          <t>un_15</t>
        </is>
      </c>
      <c r="B202" s="112" t="inlineStr">
        <is>
          <t>Форма · вопросы анкеты</t>
        </is>
      </c>
      <c r="C202" s="113" t="inlineStr">
        <is>
          <t>лет</t>
        </is>
      </c>
    </row>
    <row r="203">
      <c r="A203" s="3" t="inlineStr">
        <is>
          <t>Заголовок блока</t>
        </is>
      </c>
    </row>
    <row r="204">
      <c r="A204" s="27" t="inlineStr">
        <is>
          <t>h2_12</t>
        </is>
      </c>
      <c r="B204" s="112" t="inlineStr">
        <is>
          <t>Форма · вопросы анкеты</t>
        </is>
      </c>
      <c r="C204" s="113" t="inlineStr">
        <is>
          <t>Реклама и продвижение</t>
        </is>
      </c>
    </row>
    <row r="205">
      <c r="A205" s="3" t="inlineStr">
        <is>
          <t>Пояснение под заголовком</t>
        </is>
      </c>
    </row>
    <row r="206">
      <c r="A206" s="27" t="inlineStr">
        <is>
          <t>hint_07</t>
        </is>
      </c>
      <c r="B206" s="112" t="inlineStr">
        <is>
          <t>Форма · вопросы анкеты</t>
        </is>
      </c>
      <c r="C206" s="113" t="inlineStr">
        <is>
          <t>Деньги, которые вы платите за привлечение клиентов</t>
        </is>
      </c>
    </row>
    <row r="207">
      <c r="A207" s="3" t="inlineStr">
        <is>
          <t>Заголовок колонки</t>
        </is>
      </c>
    </row>
    <row r="208">
      <c r="A208" s="27" t="inlineStr">
        <is>
          <t>th_19</t>
        </is>
      </c>
      <c r="B208" s="112" t="inlineStr">
        <is>
          <t>Форма · вопросы анкеты</t>
        </is>
      </c>
      <c r="C208" s="113" t="inlineStr">
        <is>
          <t>КаналСтоимость
Период
+ Добавить канал</t>
        </is>
      </c>
    </row>
    <row r="209">
      <c r="A209" s="27" t="inlineStr">
        <is>
          <t>th_20</t>
        </is>
      </c>
      <c r="B209" s="112" t="inlineStr">
        <is>
          <t>Форма · вопросы анкеты</t>
        </is>
      </c>
      <c r="C209" s="113" t="inlineStr">
        <is>
          <t>Стоимость</t>
        </is>
      </c>
    </row>
    <row r="210">
      <c r="A210" s="27" t="inlineStr">
        <is>
          <t>th_21</t>
        </is>
      </c>
      <c r="B210" s="112" t="inlineStr">
        <is>
          <t>Форма · вопросы анкеты</t>
        </is>
      </c>
      <c r="C210" s="113" t="inlineStr">
        <is>
          <t>Период</t>
        </is>
      </c>
    </row>
    <row r="211">
      <c r="A211" s="3" t="inlineStr">
        <is>
          <t>Кнопка добавления</t>
        </is>
      </c>
    </row>
    <row r="212">
      <c r="A212" s="27" t="inlineStr">
        <is>
          <t>add_07</t>
        </is>
      </c>
      <c r="B212" s="112" t="inlineStr">
        <is>
          <t>Форма · вопросы анкеты</t>
        </is>
      </c>
      <c r="C212" s="113" t="inlineStr">
        <is>
          <t>+ Добавить канал</t>
        </is>
      </c>
    </row>
    <row r="213">
      <c r="A213" s="3" t="inlineStr">
        <is>
          <t>Заголовок блока</t>
        </is>
      </c>
    </row>
    <row r="214">
      <c r="A214" s="27" t="inlineStr">
        <is>
          <t>h2_13</t>
        </is>
      </c>
      <c r="B214" s="112" t="inlineStr">
        <is>
          <t>Форма · вопросы анкеты</t>
        </is>
      </c>
      <c r="C214" s="113" t="inlineStr">
        <is>
          <t>Банковское обслуживание</t>
        </is>
      </c>
    </row>
    <row r="215">
      <c r="A215" s="3" t="inlineStr">
        <is>
          <t>Подзаголовок секции</t>
        </is>
      </c>
    </row>
    <row r="216">
      <c r="A216" s="27" t="inlineStr">
        <is>
          <t>sh_04</t>
        </is>
      </c>
      <c r="B216" s="112" t="inlineStr">
        <is>
          <t>Форма · вопросы анкеты</t>
        </is>
      </c>
      <c r="C216" s="113" t="inlineStr">
        <is>
          <t>Регулярные платежи</t>
        </is>
      </c>
    </row>
    <row r="217">
      <c r="A217" s="3" t="inlineStr">
        <is>
          <t>Пояснение к секции</t>
        </is>
      </c>
    </row>
    <row r="218">
      <c r="A218" s="27" t="inlineStr">
        <is>
          <t>shd_05</t>
        </is>
      </c>
      <c r="B218" s="112" t="inlineStr">
        <is>
          <t>Форма · вопросы анкеты</t>
        </is>
      </c>
      <c r="C218" s="113" t="inlineStr">
        <is>
          <t>Обслуживание расчётного счёта, уведомления и прочие фиксированные списания.</t>
        </is>
      </c>
    </row>
    <row r="219">
      <c r="A219" s="3" t="inlineStr">
        <is>
          <t>Заголовок колонки</t>
        </is>
      </c>
    </row>
    <row r="220">
      <c r="A220" s="27" t="inlineStr">
        <is>
          <t>th_22</t>
        </is>
      </c>
      <c r="B220" s="112" t="inlineStr">
        <is>
          <t>Форма · вопросы анкеты</t>
        </is>
      </c>
      <c r="C220" s="113" t="inlineStr">
        <is>
          <t>ПозицияСтоимость
Период
+ Добавить платёж</t>
        </is>
      </c>
    </row>
    <row r="221">
      <c r="A221" s="27" t="inlineStr">
        <is>
          <t>th_23</t>
        </is>
      </c>
      <c r="B221" s="112" t="inlineStr">
        <is>
          <t>Форма · вопросы анкеты</t>
        </is>
      </c>
      <c r="C221" s="113" t="inlineStr">
        <is>
          <t>Стоимость</t>
        </is>
      </c>
    </row>
    <row r="222">
      <c r="A222" s="27" t="inlineStr">
        <is>
          <t>th_24</t>
        </is>
      </c>
      <c r="B222" s="112" t="inlineStr">
        <is>
          <t>Форма · вопросы анкеты</t>
        </is>
      </c>
      <c r="C222" s="113" t="inlineStr">
        <is>
          <t>Период</t>
        </is>
      </c>
    </row>
    <row r="223">
      <c r="A223" s="3" t="inlineStr">
        <is>
          <t>Кнопка добавления</t>
        </is>
      </c>
    </row>
    <row r="224">
      <c r="A224" s="27" t="inlineStr">
        <is>
          <t>add_08</t>
        </is>
      </c>
      <c r="B224" s="112" t="inlineStr">
        <is>
          <t>Форма · вопросы анкеты</t>
        </is>
      </c>
      <c r="C224" s="113" t="inlineStr">
        <is>
          <t>+ Добавить платёж</t>
        </is>
      </c>
    </row>
    <row r="225">
      <c r="A225" s="3" t="inlineStr">
        <is>
          <t>Подзаголовок секции</t>
        </is>
      </c>
    </row>
    <row r="226">
      <c r="A226" s="27" t="inlineStr">
        <is>
          <t>sh_05</t>
        </is>
      </c>
      <c r="B226" s="112" t="inlineStr">
        <is>
          <t>Форма · вопросы анкеты</t>
        </is>
      </c>
      <c r="C226" s="113" t="inlineStr">
        <is>
          <t>Комиссия с каждой оплаты</t>
        </is>
      </c>
    </row>
    <row r="227">
      <c r="A227" s="3" t="inlineStr">
        <is>
          <t>Вопрос</t>
        </is>
      </c>
    </row>
    <row r="228">
      <c r="A228" s="27" t="inlineStr">
        <is>
          <t>q_18</t>
        </is>
      </c>
      <c r="B228" s="112" t="inlineStr">
        <is>
          <t>Форма · вопросы анкеты</t>
        </is>
      </c>
      <c r="C228" s="113" t="inlineStr">
        <is>
          <t>Какая у вас ставка эквайринга?</t>
        </is>
      </c>
    </row>
    <row r="229">
      <c r="A229" s="3" t="inlineStr">
        <is>
          <t>Пояснение к вопросу</t>
        </is>
      </c>
    </row>
    <row r="230">
      <c r="A230" s="27" t="inlineStr">
        <is>
          <t>qd_17</t>
        </is>
      </c>
      <c r="B230" s="112" t="inlineStr">
        <is>
          <t>Форма · вопросы анкеты</t>
        </is>
      </c>
      <c r="C230" s="113" t="inlineStr">
        <is>
          <t>Процент, который банк удерживает при оплате картой или по QR-коду.</t>
        </is>
      </c>
    </row>
    <row r="231">
      <c r="A231" s="3" t="inlineStr">
        <is>
          <t>Вопрос</t>
        </is>
      </c>
    </row>
    <row r="232">
      <c r="A232" s="27" t="inlineStr">
        <is>
          <t>q_19</t>
        </is>
      </c>
      <c r="B232" s="112" t="inlineStr">
        <is>
          <t>Форма · вопросы анкеты</t>
        </is>
      </c>
      <c r="C232" s="113" t="inlineStr">
        <is>
          <t>Какая доля клиентов платит безналично?</t>
        </is>
      </c>
    </row>
    <row r="233">
      <c r="A233" s="3" t="inlineStr">
        <is>
          <t>Пояснение к вопросу</t>
        </is>
      </c>
    </row>
    <row r="234">
      <c r="A234" s="27" t="inlineStr">
        <is>
          <t>qd_18</t>
        </is>
      </c>
      <c r="B234" s="112" t="inlineStr">
        <is>
          <t>Форма · вопросы анкеты</t>
        </is>
      </c>
      <c r="C234" s="113" t="inlineStr">
        <is>
          <t>Если часть заказов оплачивают переводом без комиссии — уменьшите значение.</t>
        </is>
      </c>
    </row>
    <row r="235">
      <c r="A235" s="3" t="inlineStr">
        <is>
          <t>Заголовок блока</t>
        </is>
      </c>
    </row>
    <row r="236">
      <c r="A236" s="27" t="inlineStr">
        <is>
          <t>h2_14</t>
        </is>
      </c>
      <c r="B236" s="112" t="inlineStr">
        <is>
          <t>Форма · вопросы анкеты</t>
        </is>
      </c>
      <c r="C236" s="113" t="inlineStr">
        <is>
          <t>Бухгалтерия и учёт</t>
        </is>
      </c>
    </row>
    <row r="237">
      <c r="A237" s="3" t="inlineStr">
        <is>
          <t>Пояснение под заголовком</t>
        </is>
      </c>
    </row>
    <row r="238">
      <c r="A238" s="27" t="inlineStr">
        <is>
          <t>hint_08</t>
        </is>
      </c>
      <c r="B238" s="112" t="inlineStr">
        <is>
          <t>Форма · вопросы анкеты</t>
        </is>
      </c>
      <c r="C238" s="113" t="inlineStr">
        <is>
          <t>Либо тратите своё время, либо платите специалисту</t>
        </is>
      </c>
    </row>
    <row r="239">
      <c r="A239" s="3" t="inlineStr">
        <is>
          <t>Вопрос</t>
        </is>
      </c>
    </row>
    <row r="240">
      <c r="A240" s="27" t="inlineStr">
        <is>
          <t>q_20</t>
        </is>
      </c>
      <c r="B240" s="112" t="inlineStr">
        <is>
          <t>Форма · вопросы анкеты</t>
        </is>
      </c>
      <c r="C240" s="113" t="inlineStr">
        <is>
          <t>Сколько часов в квартал уходит на отчётность?</t>
        </is>
      </c>
    </row>
    <row r="241">
      <c r="A241" s="3" t="inlineStr">
        <is>
          <t>Пояснение к вопросу</t>
        </is>
      </c>
    </row>
    <row r="242">
      <c r="A242" s="27" t="inlineStr">
        <is>
          <t>qd_19</t>
        </is>
      </c>
      <c r="B242" s="112" t="inlineStr">
        <is>
          <t>Форма · вопросы анкеты</t>
        </is>
      </c>
      <c r="C242" s="113" t="inlineStr">
        <is>
          <t>Подготовка деклараций, уплата взносов, сверка с налоговой, ведение книги учёта.</t>
        </is>
      </c>
    </row>
    <row r="243">
      <c r="A243" s="3" t="inlineStr">
        <is>
          <t>Единица измерения</t>
        </is>
      </c>
    </row>
    <row r="244">
      <c r="A244" s="27" t="inlineStr">
        <is>
          <t>un_16</t>
        </is>
      </c>
      <c r="B244" s="112" t="inlineStr">
        <is>
          <t>Форма · вопросы анкеты</t>
        </is>
      </c>
      <c r="C244" s="113" t="inlineStr">
        <is>
          <t>часа</t>
        </is>
      </c>
    </row>
    <row r="245">
      <c r="A245" s="3" t="inlineStr">
        <is>
          <t>Вопрос</t>
        </is>
      </c>
    </row>
    <row r="246">
      <c r="A246" s="27" t="inlineStr">
        <is>
          <t>q_21</t>
        </is>
      </c>
      <c r="B246" s="112" t="inlineStr">
        <is>
          <t>Форма · вопросы анкеты</t>
        </is>
      </c>
      <c r="C246" s="113" t="inlineStr">
        <is>
          <t>Сколько стоит ведение учёта?</t>
        </is>
      </c>
    </row>
    <row r="247">
      <c r="A247" s="3" t="inlineStr">
        <is>
          <t>Единица измерения</t>
        </is>
      </c>
    </row>
    <row r="248">
      <c r="A248" s="27" t="inlineStr">
        <is>
          <t>un_17</t>
        </is>
      </c>
      <c r="B248" s="112" t="inlineStr">
        <is>
          <t>Форма · вопросы анкеты</t>
        </is>
      </c>
      <c r="C248" s="113" t="inlineStr">
        <is>
          <t>₽/мес</t>
        </is>
      </c>
    </row>
    <row r="249">
      <c r="A249" s="3" t="inlineStr">
        <is>
          <t>lb</t>
        </is>
      </c>
    </row>
    <row r="250">
      <c r="A250" s="27" t="inlineStr">
        <is>
          <t>lb_01</t>
        </is>
      </c>
      <c r="B250" s="112" t="inlineStr">
        <is>
          <t>Форма · краткий результат</t>
        </is>
      </c>
      <c r="C250" s="113" t="inlineStr">
        <is>
          <t>Ваша расчётная ставка</t>
        </is>
      </c>
    </row>
    <row r="251">
      <c r="A251" s="3" t="inlineStr">
        <is>
          <t>Подпись под цифрой</t>
        </is>
      </c>
    </row>
    <row r="252">
      <c r="A252" s="27" t="inlineStr">
        <is>
          <t>k_01</t>
        </is>
      </c>
      <c r="B252" s="112" t="inlineStr">
        <is>
          <t>Форма · краткий результат</t>
        </is>
      </c>
      <c r="C252" s="113" t="inlineStr">
        <is>
          <t>за одну съёмку</t>
        </is>
      </c>
    </row>
    <row r="253">
      <c r="A253" s="27" t="inlineStr">
        <is>
          <t>k_02</t>
        </is>
      </c>
      <c r="B253" s="112" t="inlineStr">
        <is>
          <t>Форма · краткий результат</t>
        </is>
      </c>
      <c r="C253" s="113" t="inlineStr">
        <is>
          <t>выручка в месяц</t>
        </is>
      </c>
    </row>
    <row r="254">
      <c r="A254" s="27" t="inlineStr">
        <is>
          <t>k_03</t>
        </is>
      </c>
      <c r="B254" s="112" t="inlineStr">
        <is>
          <t>Форма · краткий результат</t>
        </is>
      </c>
      <c r="C254" s="113" t="inlineStr">
        <is>
          <t>съёмок в месяц</t>
        </is>
      </c>
    </row>
    <row r="255">
      <c r="A255" s="3" t="inlineStr">
        <is>
          <t>Заголовок блока</t>
        </is>
      </c>
    </row>
    <row r="256">
      <c r="A256" s="27" t="inlineStr">
        <is>
          <t>h2_15</t>
        </is>
      </c>
      <c r="B256" s="112" t="inlineStr">
        <is>
          <t>Форма · краткий результат</t>
        </is>
      </c>
      <c r="C256" s="113" t="inlineStr">
        <is>
          <t>Куда уходит каждый час съёмки</t>
        </is>
      </c>
    </row>
    <row r="257">
      <c r="A257" s="3" t="inlineStr">
        <is>
          <t>Пояснение под заголовком</t>
        </is>
      </c>
    </row>
    <row r="258">
      <c r="A258" s="27" t="inlineStr">
        <is>
          <t>hint_09</t>
        </is>
      </c>
      <c r="B258" s="112" t="inlineStr">
        <is>
          <t>Форма · краткий результат</t>
        </is>
      </c>
      <c r="C258" s="113" t="inlineStr">
        <is>
          <t>Вам платят за час на площадке, но эти деньги покрывают всю работу вокруг него</t>
        </is>
      </c>
    </row>
    <row r="259">
      <c r="A259" s="3" t="inlineStr">
        <is>
          <t>Заголовок</t>
        </is>
      </c>
    </row>
    <row r="260">
      <c r="A260" s="27" t="inlineStr">
        <is>
          <t>h3_01</t>
        </is>
      </c>
      <c r="B260" s="112" t="inlineStr">
        <is>
          <t>Форма · краткий результат</t>
        </is>
      </c>
      <c r="C260" s="113" t="inlineStr">
        <is>
          <t>Спасибо за поддержку!
Теперь мы точно знаем, что калькулятор нужен и полезен — а значит, будем его развивать
дальше. Отчёт открыт ниже, можете скачать его в PDF.</t>
        </is>
      </c>
    </row>
    <row r="261">
      <c r="A261" s="27" t="inlineStr">
        <is>
          <t>h3_02</t>
        </is>
      </c>
      <c r="B261" s="112" t="inlineStr">
        <is>
          <t>Форма · блок оплаты (paywall)</t>
        </is>
      </c>
      <c r="C261" s="113" t="inlineStr">
        <is>
          <t>Скачать детальный отчёт
Готовые цифры, которые можно применить уже завтра: что ставить в прайс, сколько съёмок брать и где проходит ваша нижняя граница.</t>
        </is>
      </c>
    </row>
    <row r="262">
      <c r="A262" s="3" t="inlineStr">
        <is>
          <t>Описание блока оплаты</t>
        </is>
      </c>
    </row>
    <row r="263">
      <c r="A263" s="27" t="inlineStr">
        <is>
          <t>pd_01</t>
        </is>
      </c>
      <c r="B263" s="112" t="inlineStr">
        <is>
          <t>Форма · блок оплаты (paywall)</t>
        </is>
      </c>
      <c r="C263" s="113" t="inlineStr">
        <is>
          <t>Готовые цифры, которые можно применить уже завтра: что ставить в прайс, сколько съёмок брать и где проходит ваша нижняя граница.</t>
        </is>
      </c>
    </row>
    <row r="264">
      <c r="A264" s="3" t="inlineStr">
        <is>
          <t>Кнопка в ценнике</t>
        </is>
      </c>
    </row>
    <row r="265">
      <c r="A265" s="27" t="inlineStr">
        <is>
          <t>pl_01</t>
        </is>
      </c>
      <c r="B265" s="112" t="inlineStr">
        <is>
          <t>Форма · блок оплаты (paywall)</t>
        </is>
      </c>
      <c r="C265" s="113" t="inlineStr">
        <is>
          <t>Поблагодарить и скачать</t>
        </is>
      </c>
    </row>
    <row r="266">
      <c r="A266" s="3" t="inlineStr">
        <is>
          <t>Заголовок секции</t>
        </is>
      </c>
    </row>
    <row r="267">
      <c r="A267" s="27" t="inlineStr">
        <is>
          <t>st_01</t>
        </is>
      </c>
      <c r="B267" s="112" t="inlineStr">
        <is>
          <t>Форма · блок оплаты (paywall)</t>
        </is>
      </c>
      <c r="C267" s="113" t="inlineStr">
        <is>
          <t>Что вы узнаете из отчёта</t>
        </is>
      </c>
    </row>
    <row r="268">
      <c r="A268" s="3" t="inlineStr">
        <is>
          <t>Описание секции</t>
        </is>
      </c>
    </row>
    <row r="269">
      <c r="A269" s="27" t="inlineStr">
        <is>
          <t>sd_01</t>
        </is>
      </c>
      <c r="B269" s="112" t="inlineStr">
        <is>
          <t>Форма · блок оплаты (paywall)</t>
        </is>
      </c>
      <c r="C269" s="113" t="inlineStr">
        <is>
          <t>Три вещи, которые меняют разговор о цене: понятный план на месяц, обоснованные скидки и граница, ниже которой нельзя.</t>
        </is>
      </c>
    </row>
    <row r="270">
      <c r="A270" s="3" t="inlineStr">
        <is>
          <t>Заголовок преимущества</t>
        </is>
      </c>
    </row>
    <row r="271">
      <c r="A271" s="27" t="inlineStr">
        <is>
          <t>an_01</t>
        </is>
      </c>
      <c r="B271" s="112" t="inlineStr">
        <is>
          <t>Форма · блок оплаты (paywall)</t>
        </is>
      </c>
      <c r="C271" s="113" t="inlineStr">
        <is>
          <t>Детальный графикна месяц</t>
        </is>
      </c>
    </row>
    <row r="272">
      <c r="A272" s="3" t="inlineStr">
        <is>
          <t>Описание преимущества</t>
        </is>
      </c>
    </row>
    <row r="273">
      <c r="A273" s="27" t="inlineStr">
        <is>
          <t>ax_01</t>
        </is>
      </c>
      <c r="B273" s="112" t="inlineStr">
        <is>
          <t>Форма · блок оплаты (paywall)</t>
        </is>
      </c>
      <c r="C273" s="113" t="inlineStr">
        <is>
          <t>Сколько съёмок брать и как расставить их по дням, чтобы успевать обрабатывать и не выгорать</t>
        </is>
      </c>
    </row>
    <row r="274">
      <c r="A274" s="3" t="inlineStr">
        <is>
          <t>Заголовок преимущества</t>
        </is>
      </c>
    </row>
    <row r="275">
      <c r="A275" s="27" t="inlineStr">
        <is>
          <t>an_02</t>
        </is>
      </c>
      <c r="B275" s="112" t="inlineStr">
        <is>
          <t>Форма · блок оплаты (paywall)</t>
        </is>
      </c>
      <c r="C275" s="113" t="inlineStr">
        <is>
          <t>Скидкиза объём</t>
        </is>
      </c>
    </row>
    <row r="276">
      <c r="A276" s="3" t="inlineStr">
        <is>
          <t>Описание преимущества</t>
        </is>
      </c>
    </row>
    <row r="277">
      <c r="A277" s="27" t="inlineStr">
        <is>
          <t>ax_02</t>
        </is>
      </c>
      <c r="B277" s="112" t="inlineStr">
        <is>
          <t>Форма · блок оплаты (paywall)</t>
        </is>
      </c>
      <c r="C277" s="113" t="inlineStr">
        <is>
          <t>Сколько уступить постоянному клиенту за длинную съёмку — за счёт накладных, а не вашего дохода</t>
        </is>
      </c>
    </row>
    <row r="278">
      <c r="A278" s="3" t="inlineStr">
        <is>
          <t>Заголовок преимущества</t>
        </is>
      </c>
    </row>
    <row r="279">
      <c r="A279" s="27" t="inlineStr">
        <is>
          <t>an_03</t>
        </is>
      </c>
      <c r="B279" s="112" t="inlineStr">
        <is>
          <t>Форма · блок оплаты (paywall)</t>
        </is>
      </c>
      <c r="C279" s="113" t="inlineStr">
        <is>
          <t>Минимальнаяцена часа</t>
        </is>
      </c>
    </row>
    <row r="280">
      <c r="A280" s="3" t="inlineStr">
        <is>
          <t>Описание преимущества</t>
        </is>
      </c>
    </row>
    <row r="281">
      <c r="A281" s="27" t="inlineStr">
        <is>
          <t>ax_03</t>
        </is>
      </c>
      <c r="B281" s="112" t="inlineStr">
        <is>
          <t>Форма · блок оплаты (paywall)</t>
        </is>
      </c>
      <c r="C281" s="113" t="inlineStr">
        <is>
          <t>Точка безубыточности: ниже неё вы работаете себе в убыток. Спокойный ответ на просьбу о скидке</t>
        </is>
      </c>
    </row>
    <row r="282">
      <c r="A282" s="3" t="inlineStr">
        <is>
          <t>Заголовок блока о нас</t>
        </is>
      </c>
    </row>
    <row r="283">
      <c r="A283" s="27" t="inlineStr">
        <is>
          <t>nh_01</t>
        </is>
      </c>
      <c r="B283" s="112" t="inlineStr">
        <is>
          <t>Форма · блок оплаты (paywall)</t>
        </is>
      </c>
      <c r="C283" s="113" t="inlineStr">
        <is>
          <t>Зачем мы это сделали</t>
        </is>
      </c>
    </row>
    <row r="284">
      <c r="A284" s="3" t="inlineStr">
        <is>
          <t>Текст блока о нас</t>
        </is>
      </c>
    </row>
    <row r="285">
      <c r="A285" s="27" t="inlineStr">
        <is>
          <t>note_01</t>
        </is>
      </c>
      <c r="B285" s="112" t="inlineStr">
        <is>
          <t>Форма · блок оплаты (paywall)</t>
        </is>
      </c>
      <c r="C285" s="113" t="inlineStr">
        <is>
          <t>Мы сами работаем на себя и знаем, как это бывает: берёшь заказ, вроде бы неплохие деньги, а к концу месяца их нет. Потому что за кадром остались часы обработки, переписка, продвижение и техника, которая изнашивается. Этот калькулятор считает то, что обычно не считают, — и показывает честную цену вашего времени.</t>
        </is>
      </c>
    </row>
    <row r="286">
      <c r="A286" s="3" t="inlineStr">
        <is>
          <t>Заголовок блока о нас</t>
        </is>
      </c>
    </row>
    <row r="287">
      <c r="A287" s="27" t="inlineStr">
        <is>
          <t>nh_02</t>
        </is>
      </c>
      <c r="B287" s="112" t="inlineStr">
        <is>
          <t>Форма · блок оплаты (paywall)</t>
        </is>
      </c>
      <c r="C287" s="113" t="inlineStr">
        <is>
          <t>Что даёт ваша поддержка</t>
        </is>
      </c>
    </row>
    <row r="288">
      <c r="A288" s="3" t="inlineStr">
        <is>
          <t>Текст блока о нас</t>
        </is>
      </c>
    </row>
    <row r="289">
      <c r="A289" s="27" t="inlineStr">
        <is>
          <t>note_02</t>
        </is>
      </c>
      <c r="B289" s="112" t="inlineStr">
        <is>
          <t>Форма · блок оплаты (paywall)</t>
        </is>
      </c>
      <c r="C289" s="113" t="inlineStr">
        <is>
          <t>Калькулятор бесплатный и таким останется. Каждая оплата для нас — сигнал, что он действительно нужен и мы делаем полезное дело. Она же защищает сервис от ботов и даёт возможность развивать его дальше: добавлять расчёты, форматы и профессии. Спасибо, что поддерживаете.</t>
        </is>
      </c>
    </row>
    <row r="290">
      <c r="A290" s="3" t="inlineStr">
        <is>
          <t>Опрос: заголовок</t>
        </is>
      </c>
    </row>
    <row r="291">
      <c r="A291" s="27" t="inlineStr">
        <is>
          <t>ph_01</t>
        </is>
      </c>
      <c r="B291" s="112" t="inlineStr">
        <is>
          <t>Форма · опрос</t>
        </is>
      </c>
      <c r="C291" s="113" t="inlineStr">
        <is>
          <t>Расскажите, что вам нужно ещё</t>
        </is>
      </c>
    </row>
    <row r="292">
      <c r="A292" s="27" t="inlineStr">
        <is>
          <t>ph_02</t>
        </is>
      </c>
      <c r="B292" s="112" t="inlineStr">
        <is>
          <t>Форма · опрос</t>
        </is>
      </c>
      <c r="C292" s="113" t="inlineStr">
        <is>
          <t>Мы только начинаем и хотим делать то, что действительно пригодится. Отметьте сердечком, какое направление доработать в первую очередь — ваш совет решает.</t>
        </is>
      </c>
    </row>
    <row r="293">
      <c r="A293" s="3" t="inlineStr">
        <is>
          <t>Опрос: пункт</t>
        </is>
      </c>
    </row>
    <row r="294">
      <c r="A294" s="27" t="inlineStr">
        <is>
          <t>pi_01</t>
        </is>
      </c>
      <c r="B294" s="228" t="inlineStr">
        <is>
          <t>НЕ ИСПОЛЬЗУЕТСЯ</t>
        </is>
      </c>
      <c r="C294" s="143" t="inlineStr">
        <is>
          <t>УДАЛЕНО из HTML: Калькулятор личного бюджета</t>
        </is>
      </c>
    </row>
    <row r="295">
      <c r="A295" s="27" t="inlineStr">
        <is>
          <t>pi_01d</t>
        </is>
      </c>
      <c r="B295" s="228" t="inlineStr">
        <is>
          <t>НЕ ИСПОЛЬЗУЕТСЯ</t>
        </is>
      </c>
      <c r="C295" s="143" t="inlineStr">
        <is>
          <t>УДАЛЕНО из HTML: сколько нужно зарабатывать, чтобы жить, а не выживать</t>
        </is>
      </c>
    </row>
    <row r="296">
      <c r="A296" s="27" t="inlineStr">
        <is>
          <t>pi_02</t>
        </is>
      </c>
      <c r="B296" s="228" t="inlineStr">
        <is>
          <t>НЕ ИСПОЛЬЗУЕТСЯ</t>
        </is>
      </c>
      <c r="C296" s="143" t="inlineStr">
        <is>
          <t>УДАЛЕНО из HTML: Прайс и счета прямо здесь</t>
        </is>
      </c>
    </row>
    <row r="297">
      <c r="A297" s="27" t="inlineStr">
        <is>
          <t>pi_02d</t>
        </is>
      </c>
      <c r="B297" s="228" t="inlineStr">
        <is>
          <t>НЕ ИСПОЛЬЗУЕТСЯ</t>
        </is>
      </c>
      <c r="C297" s="143" t="inlineStr">
        <is>
          <t>УДАЛЕНО из HTML: сформировать прайс-лист и выставить счёт клиенту</t>
        </is>
      </c>
    </row>
    <row r="298">
      <c r="A298" s="27" t="inlineStr">
        <is>
          <t>pi_03</t>
        </is>
      </c>
      <c r="B298" s="228" t="inlineStr">
        <is>
          <t>НЕ ИСПОЛЬЗУЕТСЯ</t>
        </is>
      </c>
      <c r="C298" s="143" t="inlineStr">
        <is>
          <t>УДАЛЕНО из HTML: Приложение на телефон</t>
        </is>
      </c>
    </row>
    <row r="299">
      <c r="A299" s="27" t="inlineStr">
        <is>
          <t>pi_03d</t>
        </is>
      </c>
      <c r="B299" s="228" t="inlineStr">
        <is>
          <t>НЕ ИСПОЛЬЗУЕТСЯ</t>
        </is>
      </c>
      <c r="C299" s="143" t="inlineStr">
        <is>
          <t>УДАЛЕНО из HTML: чтобы посчитать цену прямо на переговорах</t>
        </is>
      </c>
    </row>
    <row r="300">
      <c r="A300" s="27" t="inlineStr">
        <is>
          <t>pi_04</t>
        </is>
      </c>
      <c r="B300" s="228" t="inlineStr">
        <is>
          <t>НЕ ИСПОЛЬЗУЕТСЯ</t>
        </is>
      </c>
      <c r="C300" s="143" t="inlineStr">
        <is>
          <t>УДАЛЕНО из HTML: Своя идея</t>
        </is>
      </c>
    </row>
    <row r="301">
      <c r="A301" s="27" t="inlineStr">
        <is>
          <t>pi_04d</t>
        </is>
      </c>
      <c r="B301" s="228" t="inlineStr">
        <is>
          <t>НЕ ИСПОЛЬЗУЕТСЯ</t>
        </is>
      </c>
      <c r="C301" s="143" t="inlineStr">
        <is>
          <t>УДАЛЕНО из HTML: напишите, чего не хватает именно вам</t>
        </is>
      </c>
    </row>
    <row r="302">
      <c r="A302" s="27" t="inlineStr">
        <is>
          <t>pi_btn</t>
        </is>
      </c>
      <c r="B302" s="112" t="inlineStr">
        <is>
          <t>Форма · опрос</t>
        </is>
      </c>
      <c r="C302" s="113" t="inlineStr">
        <is>
          <t>Отправить</t>
        </is>
      </c>
    </row>
    <row r="303">
      <c r="A303" s="27" t="inlineStr">
        <is>
          <t>pi_ok</t>
        </is>
      </c>
      <c r="B303" s="228" t="inlineStr">
        <is>
          <t>НЕ ИСПОЛЬЗУЕТСЯ</t>
        </is>
      </c>
      <c r="C303" s="143" t="inlineStr">
        <is>
          <t>УДАЛЕНО из HTML: —</t>
        </is>
      </c>
    </row>
    <row r="304">
      <c r="A304" s="3" t="inlineStr">
        <is>
          <t>Подпись над отчётом</t>
        </is>
      </c>
    </row>
    <row r="305">
      <c r="A305" s="27" t="inlineStr">
        <is>
          <t>lt_01</t>
        </is>
      </c>
      <c r="B305" s="228" t="inlineStr">
        <is>
          <t>НЕ ИСПОЛЬЗУЕТСЯ</t>
        </is>
      </c>
      <c r="C305" s="143" t="inlineStr">
        <is>
          <t>УДАЛЕНО из HTML: —</t>
        </is>
      </c>
    </row>
    <row r="306">
      <c r="A306" s="3" t="inlineStr">
        <is>
          <t>Заголовок блока</t>
        </is>
      </c>
    </row>
    <row r="307">
      <c r="A307" s="27" t="inlineStr">
        <is>
          <t>h2_16</t>
        </is>
      </c>
      <c r="B307" s="112" t="inlineStr">
        <is>
          <t>Форма · размытое превью отчёта</t>
        </is>
      </c>
      <c r="C307" s="113" t="inlineStr">
        <is>
          <t>Куда уходит каждый час</t>
        </is>
      </c>
    </row>
    <row r="308">
      <c r="A308" s="3" t="inlineStr">
        <is>
          <t>Пояснение под заголовком</t>
        </is>
      </c>
    </row>
    <row r="309">
      <c r="A309" s="27" t="inlineStr">
        <is>
          <t>hint_10</t>
        </is>
      </c>
      <c r="B309" s="112" t="inlineStr">
        <is>
          <t>Форма · размытое превью отчёта</t>
        </is>
      </c>
      <c r="C309" s="113" t="inlineStr">
        <is>
          <t>Сколько нужно брать, сколько берёте сейчас и минимум без убытка</t>
        </is>
      </c>
    </row>
    <row r="310">
      <c r="A310" s="3" t="inlineStr">
        <is>
          <t>Заголовок блока</t>
        </is>
      </c>
    </row>
    <row r="311">
      <c r="A311" s="27" t="inlineStr">
        <is>
          <t>h2_17</t>
        </is>
      </c>
      <c r="B311" s="112" t="inlineStr">
        <is>
          <t>Форма · размытое превью отчёта</t>
        </is>
      </c>
      <c r="C311" s="113" t="inlineStr">
        <is>
          <t>За какие роли вы это заработали</t>
        </is>
      </c>
    </row>
    <row r="312">
      <c r="A312" s="3" t="inlineStr">
        <is>
          <t>Пояснение под заголовком</t>
        </is>
      </c>
    </row>
    <row r="313">
      <c r="A313" s="27" t="inlineStr">
        <is>
          <t>hint_11</t>
        </is>
      </c>
      <c r="B313" s="112" t="inlineStr">
        <is>
          <t>Форма · размытое превью отчёта</t>
        </is>
      </c>
      <c r="C313" s="113" t="inlineStr">
        <is>
          <t>Фотографом вы работаете меньше всего — основное время уходит на остальное</t>
        </is>
      </c>
    </row>
    <row r="314">
      <c r="A314" s="3" t="inlineStr">
        <is>
          <t>Заголовок колонки</t>
        </is>
      </c>
    </row>
    <row r="315">
      <c r="A315" s="27" t="inlineStr">
        <is>
          <t>th_25</t>
        </is>
      </c>
      <c r="B315" s="112" t="inlineStr">
        <is>
          <t>Форма · размытое превью отчёта</t>
        </is>
      </c>
      <c r="C315" s="113" t="inlineStr">
        <is>
          <t>РольЧасов в год
Часов на проект₽ в год₽ с часа съёмки</t>
        </is>
      </c>
    </row>
    <row r="316">
      <c r="A316" s="27" t="inlineStr">
        <is>
          <t>th_26</t>
        </is>
      </c>
      <c r="B316" s="112" t="inlineStr">
        <is>
          <t>Форма · размытое превью отчёта</t>
        </is>
      </c>
      <c r="C316" s="113" t="inlineStr">
        <is>
          <t>Часов в год</t>
        </is>
      </c>
    </row>
    <row r="317">
      <c r="A317" s="27" t="inlineStr">
        <is>
          <t>th_27</t>
        </is>
      </c>
      <c r="B317" s="112" t="inlineStr">
        <is>
          <t>Форма · размытое превью отчёта</t>
        </is>
      </c>
      <c r="C317" s="113" t="inlineStr">
        <is>
          <t>Часов на проект</t>
        </is>
      </c>
    </row>
    <row r="318">
      <c r="A318" s="3" t="inlineStr">
        <is>
          <t>Заголовок блока</t>
        </is>
      </c>
    </row>
    <row r="319">
      <c r="A319" s="27" t="inlineStr">
        <is>
          <t>h2_18</t>
        </is>
      </c>
      <c r="B319" s="112" t="inlineStr">
        <is>
          <t>Форма · размытое превью отчёта</t>
        </is>
      </c>
      <c r="C319" s="113" t="inlineStr">
        <is>
          <t>Что это значит</t>
        </is>
      </c>
    </row>
    <row r="320">
      <c r="A320" s="27" t="inlineStr">
        <is>
          <t>h2_19b</t>
        </is>
      </c>
      <c r="B320" s="112" t="inlineStr">
        <is>
          <t>Форма · размытое превью отчёта</t>
        </is>
      </c>
      <c r="C320" s="113" t="inlineStr">
        <is>
          <t>Сетка цен по объёму</t>
        </is>
      </c>
    </row>
    <row r="321">
      <c r="A321" s="3" t="inlineStr">
        <is>
          <t>Пояснение под заголовком</t>
        </is>
      </c>
    </row>
    <row r="322">
      <c r="A322" s="27" t="inlineStr">
        <is>
          <t>hint_19b</t>
        </is>
      </c>
      <c r="B322" s="112" t="inlineStr">
        <is>
          <t>Форма · размытое превью отчёта</t>
        </is>
      </c>
      <c r="C322" s="113" t="inlineStr">
        <is>
          <t>Чем длиннее съёмка, тем дешевле час — но не за счёт вашего дохода, а за счёт накладных</t>
        </is>
      </c>
    </row>
    <row r="323">
      <c r="A323" s="3" t="inlineStr">
        <is>
          <t>Заголовок колонки</t>
        </is>
      </c>
    </row>
    <row r="324">
      <c r="A324" s="27" t="inlineStr">
        <is>
          <t>th_01</t>
        </is>
      </c>
      <c r="B324" s="112" t="inlineStr">
        <is>
          <t>Форма · вопросы анкеты</t>
        </is>
      </c>
      <c r="C324" s="113" t="inlineStr">
        <is>
          <t>Длительность съёмкиЦена съёмки
Цена часаСкидка от базовой
Почему цена часа падает</t>
        </is>
      </c>
    </row>
    <row r="325">
      <c r="A325" s="27" t="inlineStr">
        <is>
          <t>th_02</t>
        </is>
      </c>
      <c r="B325" s="112" t="inlineStr">
        <is>
          <t>Форма · вопросы анкеты</t>
        </is>
      </c>
      <c r="C325" s="113" t="inlineStr">
        <is>
          <t>Цена съёмки</t>
        </is>
      </c>
    </row>
    <row r="326">
      <c r="A326" s="27" t="inlineStr">
        <is>
          <t>th_03</t>
        </is>
      </c>
      <c r="B326" s="112" t="inlineStr">
        <is>
          <t>Форма · вопросы анкеты</t>
        </is>
      </c>
      <c r="C326" s="113" t="inlineStr">
        <is>
          <t>Цена часа</t>
        </is>
      </c>
    </row>
    <row r="327">
      <c r="A327" s="27" t="inlineStr">
        <is>
          <t>th_04</t>
        </is>
      </c>
      <c r="B327" s="112" t="inlineStr">
        <is>
          <t>Форма · вопросы анкеты</t>
        </is>
      </c>
      <c r="C327" s="113" t="inlineStr">
        <is>
          <t>ПозицияСтоимость
Срок службы
+ Добавить позицию</t>
        </is>
      </c>
    </row>
    <row r="328">
      <c r="A328" s="3" t="inlineStr">
        <is>
          <t>Заголовок блока</t>
        </is>
      </c>
    </row>
    <row r="329">
      <c r="A329" s="27" t="inlineStr">
        <is>
          <t>h2_19</t>
        </is>
      </c>
      <c r="B329" s="112" t="inlineStr">
        <is>
          <t>Форма · размытое превью отчёта</t>
        </is>
      </c>
      <c r="C329" s="113" t="inlineStr">
        <is>
          <t>Ваша неделя</t>
        </is>
      </c>
    </row>
    <row r="330">
      <c r="A330" s="3" t="inlineStr">
        <is>
          <t>Пояснение под заголовком</t>
        </is>
      </c>
    </row>
    <row r="331">
      <c r="A331" s="27" t="inlineStr">
        <is>
          <t>hint_12</t>
        </is>
      </c>
      <c r="B331" s="112" t="inlineStr">
        <is>
          <t>Форма · размытое превью отчёта</t>
        </is>
      </c>
      <c r="C331" s="113" t="inlineStr">
        <is>
          <t>Пять рабочих дней, с 10:00 до 19:00. Каждый квадрат — один час</t>
        </is>
      </c>
    </row>
    <row r="332">
      <c r="C332" s="229" t="n"/>
    </row>
    <row r="333">
      <c r="A333" s="3" t="inlineStr">
        <is>
          <t>Ценник и подписка (новое)</t>
        </is>
      </c>
    </row>
    <row r="334">
      <c r="A334" s="27" t="inlineStr">
        <is>
          <t>why_01</t>
        </is>
      </c>
      <c r="B334" s="112" t="inlineStr">
        <is>
          <t>Форма · блок оплаты (paywall)</t>
        </is>
      </c>
      <c r="C334" s="113" t="inlineStr">
        <is>
          <t>Цена по вашей реферальной ссылке — для тех, кто пришёл от друга или из нашего блога</t>
        </is>
      </c>
    </row>
    <row r="335">
      <c r="A335" s="27" t="inlineStr">
        <is>
          <t>s2_01</t>
        </is>
      </c>
      <c r="B335" s="112" t="inlineStr">
        <is>
          <t>Форма · подписка на email</t>
        </is>
      </c>
      <c r="C335" s="113" t="inlineStr">
        <is>
          <t>Хотите получать рассылку?</t>
        </is>
      </c>
    </row>
    <row r="336">
      <c r="A336" s="27" t="inlineStr">
        <is>
          <t>s2_02</t>
        </is>
      </c>
      <c r="B336" s="112" t="inlineStr">
        <is>
          <t>Форма · подписка на email</t>
        </is>
      </c>
      <c r="C336" s="113" t="inlineStr">
        <is>
          <t>Напишем, когда выйдет то, что вы отметили. Без спама, отписка в один клик.</t>
        </is>
      </c>
    </row>
    <row r="337">
      <c r="A337" s="27" t="inlineStr">
        <is>
          <t>s2_btn</t>
        </is>
      </c>
      <c r="B337" s="112" t="inlineStr">
        <is>
          <t>Форма · подписка на email</t>
        </is>
      </c>
      <c r="C337" s="113" t="inlineStr">
        <is>
          <t>Подписаться</t>
        </is>
      </c>
    </row>
    <row r="338">
      <c r="A338" s="27" t="inlineStr">
        <is>
          <t>s2_ok</t>
        </is>
      </c>
      <c r="B338" s="112" t="inlineStr">
        <is>
          <t>Форма · подписка на email</t>
        </is>
      </c>
      <c r="C338" s="113" t="inlineStr">
        <is>
          <t>Готово! Спасибо, что остаётесь с нами.</t>
        </is>
      </c>
    </row>
    <row r="339">
      <c r="A339" s="27" t="inlineStr">
        <is>
          <t>pi_ph</t>
        </is>
      </c>
      <c r="B339" s="228" t="inlineStr">
        <is>
          <t>НЕ ИСПОЛЬЗУЕТСЯ</t>
        </is>
      </c>
      <c r="C339" s="143" t="inlineStr">
        <is>
          <t>УДАЛЕНО из HTML: Нашли ошибку или есть своё предложение — пишите</t>
        </is>
      </c>
    </row>
    <row r="340">
      <c r="C340" s="229" t="n"/>
    </row>
    <row r="341">
      <c r="A341" s="3" t="inlineStr">
        <is>
          <t>Логотип</t>
        </is>
      </c>
    </row>
    <row r="342">
      <c r="A342" s="27" t="inlineStr">
        <is>
          <t>bt_01</t>
        </is>
      </c>
      <c r="B342" s="112" t="inlineStr">
        <is>
          <t>Форма · шапка</t>
        </is>
      </c>
      <c r="C342" s="113" t="inlineStr">
        <is>
          <t>счетикс</t>
        </is>
      </c>
    </row>
    <row r="343">
      <c r="A343" s="27" t="inlineStr">
        <is>
          <t>bs_01</t>
        </is>
      </c>
      <c r="B343" s="228" t="inlineStr">
        <is>
          <t>НЕ ИСПОЛЬЗУЕТСЯ</t>
        </is>
      </c>
      <c r="C343" s="143" t="inlineStr">
        <is>
          <t>УДАЛЕНО из HTML: —</t>
        </is>
      </c>
    </row>
    <row r="344">
      <c r="A344" s="27" t="inlineStr">
        <is>
          <t>redo_01</t>
        </is>
      </c>
      <c r="B344" s="112" t="inlineStr">
        <is>
          <t>Форма · краткий результат</t>
        </is>
      </c>
      <c r="C344" s="113" t="inlineStr">
        <is>
          <t>Изменить введённые данные</t>
        </is>
      </c>
    </row>
    <row r="345">
      <c r="A345" s="27" t="inlineStr">
        <is>
          <t>own_02</t>
        </is>
      </c>
      <c r="B345" s="112" t="inlineStr">
        <is>
          <t>Форма · вопросы анкеты</t>
        </is>
      </c>
      <c r="C345" s="113" t="inlineStr">
        <is>
          <t>Лишних денег вы не тратите, но отдаёте клиентам свои метры бесплатно — любой бизнес закладывает место в цену.</t>
        </is>
      </c>
    </row>
    <row r="346">
      <c r="C346" s="229" t="n"/>
    </row>
    <row r="347">
      <c r="A347" s="3" t="inlineStr">
        <is>
          <t>ПОЛНЫЙ ОТЧЁТ (report.html)</t>
        </is>
      </c>
    </row>
    <row r="348">
      <c r="A348" s="27" t="inlineStr">
        <is>
          <t>rh_01</t>
        </is>
      </c>
      <c r="B348" s="112" t="inlineStr">
        <is>
          <t>Полный отчёт</t>
        </is>
      </c>
      <c r="C348" s="113" t="inlineStr">
        <is>
          <t>Юнит-экономика фотографа</t>
        </is>
      </c>
    </row>
    <row r="349">
      <c r="A349" s="27" t="inlineStr">
        <is>
          <t>rh_02</t>
        </is>
      </c>
      <c r="B349" s="112" t="inlineStr">
        <is>
          <t>Полный отчёт</t>
        </is>
      </c>
      <c r="C349" s="113" t="inlineStr">
        <is>
          <t>Быть независимым автором не значит работать больше, чем в найме, и постоянно уходить в минус.</t>
        </is>
      </c>
    </row>
    <row r="350">
      <c r="A350" s="27" t="inlineStr">
        <is>
          <t>rlb_01</t>
        </is>
      </c>
      <c r="B350" s="112" t="inlineStr">
        <is>
          <t>Полный отчёт</t>
        </is>
      </c>
      <c r="C350" s="113" t="inlineStr">
        <is>
          <t>Ваша ставка за час съёмки</t>
        </is>
      </c>
    </row>
    <row r="351">
      <c r="A351" s="27" t="inlineStr">
        <is>
          <t>rlb_02</t>
        </is>
      </c>
      <c r="B351" s="228" t="inlineStr">
        <is>
          <t>НЕ ИСПОЛЬЗУЕТСЯ</t>
        </is>
      </c>
      <c r="C351" s="143" t="inlineStr">
        <is>
          <t>УДАЛЕНО из HTML: подпись «за час съёмки» — единица теперь в самой цифре (₽/ч), под ней в скобках точное значение</t>
        </is>
      </c>
    </row>
    <row r="352">
      <c r="A352" s="27" t="inlineStr">
        <is>
          <t>rk_01</t>
        </is>
      </c>
      <c r="B352" s="112" t="inlineStr">
        <is>
          <t>Полный отчёт</t>
        </is>
      </c>
      <c r="C352" s="113" t="inlineStr">
        <is>
          <t>Всего расходов</t>
        </is>
      </c>
    </row>
    <row r="353">
      <c r="A353" s="27" t="inlineStr">
        <is>
          <t>rk_02</t>
        </is>
      </c>
      <c r="B353" s="112" t="inlineStr">
        <is>
          <t>Полный отчёт</t>
        </is>
      </c>
      <c r="C353" s="113" t="inlineStr">
        <is>
          <t>Общая выручка</t>
        </is>
      </c>
    </row>
    <row r="354">
      <c r="A354" s="27" t="inlineStr">
        <is>
          <t>rk_03</t>
        </is>
      </c>
      <c r="B354" s="112" t="inlineStr">
        <is>
          <t>Полный отчёт</t>
        </is>
      </c>
      <c r="C354" s="113" t="inlineStr">
        <is>
          <t>Ваш доход на руки</t>
        </is>
      </c>
    </row>
    <row r="355">
      <c r="A355" s="27" t="inlineStr">
        <is>
          <t>rh2_01</t>
        </is>
      </c>
      <c r="B355" s="112" t="inlineStr">
        <is>
          <t>Полный отчёт</t>
        </is>
      </c>
      <c r="C355" s="113" t="inlineStr">
        <is>
          <t>Как распределяется бюджет</t>
        </is>
      </c>
    </row>
    <row r="356">
      <c r="A356" s="27" t="inlineStr">
        <is>
          <t>rhi_01</t>
        </is>
      </c>
      <c r="B356" s="112" t="inlineStr">
        <is>
          <t>Полный отчёт</t>
        </is>
      </c>
      <c r="C356" s="113" t="inlineStr">
        <is>
          <t>Наглядная структура расходов, отчислений и вашей чистой прибыли на основе введённых данных</t>
        </is>
      </c>
    </row>
    <row r="357">
      <c r="A357" s="27" t="inlineStr">
        <is>
          <t>rh2_02</t>
        </is>
      </c>
      <c r="B357" s="112" t="inlineStr">
        <is>
          <t>Полный отчёт</t>
        </is>
      </c>
      <c r="C357" s="113" t="inlineStr">
        <is>
          <t>Три сценария вашей работы</t>
        </is>
      </c>
    </row>
    <row r="358">
      <c r="A358" s="27" t="inlineStr">
        <is>
          <t>rhi_02</t>
        </is>
      </c>
      <c r="B358" s="112" t="inlineStr">
        <is>
          <t>Полный отчёт</t>
        </is>
      </c>
      <c r="C358" s="113" t="inlineStr">
        <is>
          <t>Одна и та же загрузка при разной ставке часа. Разница только в цене — и в том, что остаётся вам</t>
        </is>
      </c>
    </row>
    <row r="359">
      <c r="A359" s="281" t="inlineStr">
        <is>
          <t>rh2_03</t>
        </is>
      </c>
      <c r="B359" s="282" t="inlineStr">
        <is>
          <t>НЕ ИСПОЛЬЗУЕТСЯ</t>
        </is>
      </c>
      <c r="C359" s="283" t="inlineStr">
        <is>
          <t>УДАЛЕНО из HTML (не используется в текущей вёрстке): За какие роли вы это заработали</t>
        </is>
      </c>
      <c r="D359" s="279" t="n"/>
      <c r="E359" s="279" t="n"/>
      <c r="F359" s="279" t="n"/>
      <c r="G359" s="279" t="n"/>
      <c r="H359" s="280" t="inlineStr">
        <is>
          <t>УДАЛЕНО из HTML: блок «Как считают обычно» убран 06.08.2026</t>
        </is>
      </c>
    </row>
    <row r="360">
      <c r="A360" s="281" t="inlineStr">
        <is>
          <t>rhi_03</t>
        </is>
      </c>
      <c r="B360" s="282" t="inlineStr">
        <is>
          <t>НЕ ИСПОЛЬЗУЕТСЯ</t>
        </is>
      </c>
      <c r="C360" s="283" t="inlineStr">
        <is>
          <t>УДАЛЕНО из HTML (не используется в текущей вёрстке): Внутри вашего дела живёт пять профессий. Вот сколько зарабатывает каждая</t>
        </is>
      </c>
      <c r="D360" s="279" t="n"/>
      <c r="E360" s="279" t="n"/>
      <c r="F360" s="279" t="n"/>
      <c r="G360" s="279" t="n"/>
      <c r="H360" s="280" t="inlineStr">
        <is>
          <t>УДАЛЕНО из HTML: блок «Как считают обычно» убран 06.08.2026</t>
        </is>
      </c>
    </row>
    <row r="361">
      <c r="A361" s="27" t="inlineStr">
        <is>
          <t>rth_01</t>
        </is>
      </c>
      <c r="B361" s="228" t="inlineStr">
        <is>
          <t>НЕ ИСПОЛЬЗУЕТСЯ</t>
        </is>
      </c>
      <c r="C361" s="143" t="inlineStr">
        <is>
          <t>УДАЛЕНО из HTML (не используется в текущей вёрстке): Роль</t>
        </is>
      </c>
    </row>
    <row r="362">
      <c r="A362" s="27" t="inlineStr">
        <is>
          <t>rth_02</t>
        </is>
      </c>
      <c r="B362" s="228" t="inlineStr">
        <is>
          <t>НЕ ИСПОЛЬЗУЕТСЯ</t>
        </is>
      </c>
      <c r="C362" s="143" t="inlineStr">
        <is>
          <t>УДАЛЕНО из HTML (не используется в текущей вёрстке): ₽ в месяц</t>
        </is>
      </c>
    </row>
    <row r="363">
      <c r="A363" s="27" t="inlineStr">
        <is>
          <t>rth_03</t>
        </is>
      </c>
      <c r="B363" s="228" t="inlineStr">
        <is>
          <t>НЕ ИСПОЛЬЗУЕТСЯ</t>
        </is>
      </c>
      <c r="C363" s="143" t="inlineStr">
        <is>
          <t>УДАЛЕНО из HTML (не используется в текущей вёрстке): ₽ за съёмку</t>
        </is>
      </c>
    </row>
    <row r="364">
      <c r="A364" s="27" t="inlineStr">
        <is>
          <t>rth_04</t>
        </is>
      </c>
      <c r="B364" s="228" t="inlineStr">
        <is>
          <t>НЕ ИСПОЛЬЗУЕТСЯ</t>
        </is>
      </c>
      <c r="C364" s="143" t="inlineStr">
        <is>
          <t>УДАЛЕНО из HTML (не используется в текущей вёрстке): Часов в день</t>
        </is>
      </c>
    </row>
    <row r="365">
      <c r="A365" s="27" t="inlineStr">
        <is>
          <t>rth_05</t>
        </is>
      </c>
      <c r="B365" s="228" t="inlineStr">
        <is>
          <t>НЕ ИСПОЛЬЗУЕТСЯ</t>
        </is>
      </c>
      <c r="C365" s="143" t="inlineStr">
        <is>
          <t>УДАЛЕНО из HTML (не используется в текущей вёрстке): ₽ с часа съёмки</t>
        </is>
      </c>
    </row>
    <row r="366">
      <c r="A366" s="27" t="inlineStr">
        <is>
          <t>rh2_04</t>
        </is>
      </c>
      <c r="B366" s="228" t="inlineStr">
        <is>
          <t>НЕ ИСПОЛЬЗУЕТСЯ</t>
        </is>
      </c>
      <c r="C366" s="143" t="inlineStr">
        <is>
          <t>УДАЛЕНО из HTML (не используется в текущей вёрстке): Куда уходят ваши деньги</t>
        </is>
      </c>
    </row>
    <row r="367">
      <c r="A367" s="27" t="inlineStr">
        <is>
          <t>rhi_04</t>
        </is>
      </c>
      <c r="B367" s="228" t="inlineStr">
        <is>
          <t>НЕ ИСПОЛЬЗУЕТСЯ</t>
        </is>
      </c>
      <c r="C367" s="143" t="inlineStr">
        <is>
          <t>УДАЛЕНО из HTML (не используется в текущей вёрстке): Один час съёмки в разрезе: сколько получаете вы и сколько уходит на всё остальное</t>
        </is>
      </c>
    </row>
    <row r="368">
      <c r="A368" s="27" t="inlineStr">
        <is>
          <t>rh2_05</t>
        </is>
      </c>
      <c r="B368" s="228" t="inlineStr">
        <is>
          <t>НЕ ИСПОЛЬЗУЕТСЯ</t>
        </is>
      </c>
      <c r="C368" s="143" t="inlineStr">
        <is>
          <t>УДАЛЕНО из HTML (не используется в текущей вёрстке): Сравнение с текущей ставкой</t>
        </is>
      </c>
    </row>
    <row r="369">
      <c r="A369" s="27" t="inlineStr">
        <is>
          <t>rhi_05</t>
        </is>
      </c>
      <c r="B369" s="228" t="inlineStr">
        <is>
          <t>НЕ ИСПОЛЬЗУЕТСЯ</t>
        </is>
      </c>
      <c r="C369" s="143" t="inlineStr">
        <is>
          <t>УДАЛЕНО из HTML (не используется в текущей вёрстке): Сколько вы получаете сейчас и сколько могли бы</t>
        </is>
      </c>
    </row>
    <row r="370">
      <c r="A370" s="27" t="inlineStr">
        <is>
          <t>rs_01</t>
        </is>
      </c>
      <c r="B370" s="228" t="inlineStr">
        <is>
          <t>НЕ ИСПОЛЬЗУЕТСЯ</t>
        </is>
      </c>
      <c r="C370" s="143" t="inlineStr">
        <is>
          <t>УДАЛЕНО из HTML (не используется в текущей вёрстке): Хотите получать</t>
        </is>
      </c>
    </row>
    <row r="371">
      <c r="A371" s="27" t="inlineStr">
        <is>
          <t>rs_02</t>
        </is>
      </c>
      <c r="B371" s="228" t="inlineStr">
        <is>
          <t>НЕ ИСПОЛЬЗУЕТСЯ</t>
        </is>
      </c>
      <c r="C371" s="143" t="inlineStr">
        <is>
          <t>УДАЛЕНО из HTML (не используется в текущей вёрстке): на руки каждый месяц, после всех расходов и налогов</t>
        </is>
      </c>
    </row>
    <row r="372">
      <c r="A372" s="27" t="inlineStr">
        <is>
          <t>rs_03</t>
        </is>
      </c>
      <c r="B372" s="228" t="inlineStr">
        <is>
          <t>НЕ ИСПОЛЬЗУЕТСЯ</t>
        </is>
      </c>
      <c r="C372" s="143" t="inlineStr">
        <is>
          <t>УДАЛЕНО из HTML (не используется в текущей вёрстке): Получаете сейчас</t>
        </is>
      </c>
    </row>
    <row r="373">
      <c r="A373" s="27" t="inlineStr">
        <is>
          <t>rs_04</t>
        </is>
      </c>
      <c r="B373" s="228" t="inlineStr">
        <is>
          <t>НЕ ИСПОЛЬЗУЕТСЯ</t>
        </is>
      </c>
      <c r="C373" s="143" t="inlineStr">
        <is>
          <t>УДАЛЕНО из HTML (не используется в текущей вёрстке): при вашей текущей ставке и той же загрузке</t>
        </is>
      </c>
    </row>
    <row r="374">
      <c r="A374" s="27" t="inlineStr">
        <is>
          <t>rh2_06</t>
        </is>
      </c>
      <c r="B374" s="228" t="inlineStr">
        <is>
          <t>НЕ ИСПОЛЬЗУЕТСЯ</t>
        </is>
      </c>
      <c r="C374" s="143" t="inlineStr">
        <is>
          <t>УДАЛЕНО из HTML (не используется в текущей вёрстке): Готовый прайс</t>
        </is>
      </c>
    </row>
    <row r="375">
      <c r="A375" s="27" t="inlineStr">
        <is>
          <t>rhi_06</t>
        </is>
      </c>
      <c r="B375" s="228" t="inlineStr">
        <is>
          <t>НЕ ИСПОЛЬЗУЕТСЯ</t>
        </is>
      </c>
      <c r="C375" s="143" t="inlineStr">
        <is>
          <t>УДАЛЕНО из HTML (не используется в текущей вёрстке): Скопируйте и отправьте клиенту. Чем длиннее съёмка, тем дешевле час — за счёт накладных, а не вашего дохода</t>
        </is>
      </c>
    </row>
    <row r="376">
      <c r="A376" s="27" t="inlineStr">
        <is>
          <t>rth_06</t>
        </is>
      </c>
      <c r="B376" s="228" t="inlineStr">
        <is>
          <t>НЕ ИСПОЛЬЗУЕТСЯ</t>
        </is>
      </c>
      <c r="C376" s="143" t="inlineStr">
        <is>
          <t>УДАЛЕНО из HTML (не используется в текущей вёрстке): Длительность съёмки</t>
        </is>
      </c>
    </row>
    <row r="377">
      <c r="A377" s="27" t="inlineStr">
        <is>
          <t>rth_07</t>
        </is>
      </c>
      <c r="B377" s="228" t="inlineStr">
        <is>
          <t>НЕ ИСПОЛЬЗУЕТСЯ</t>
        </is>
      </c>
      <c r="C377" s="143" t="inlineStr">
        <is>
          <t>УДАЛЕНО из HTML (не используется в текущей вёрстке): Цена съёмки</t>
        </is>
      </c>
    </row>
    <row r="378">
      <c r="A378" s="27" t="inlineStr">
        <is>
          <t>rth_08</t>
        </is>
      </c>
      <c r="B378" s="228" t="inlineStr">
        <is>
          <t>НЕ ИСПОЛЬЗУЕТСЯ</t>
        </is>
      </c>
      <c r="C378" s="143" t="inlineStr">
        <is>
          <t>УДАЛЕНО из HTML (не используется в текущей вёрстке): Цена часа</t>
        </is>
      </c>
    </row>
    <row r="379">
      <c r="A379" s="27" t="inlineStr">
        <is>
          <t>rth_09</t>
        </is>
      </c>
      <c r="B379" s="228" t="inlineStr">
        <is>
          <t>НЕ ИСПОЛЬЗУЕТСЯ</t>
        </is>
      </c>
      <c r="C379" s="143" t="inlineStr">
        <is>
          <t>УДАЛЕНО из HTML (не используется в текущей вёрстке): Скидка от базовой</t>
        </is>
      </c>
    </row>
    <row r="380">
      <c r="A380" s="27" t="inlineStr">
        <is>
          <t>rh2_07</t>
        </is>
      </c>
      <c r="B380" s="228" t="inlineStr">
        <is>
          <t>НЕ ИСПОЛЬЗУЕТСЯ</t>
        </is>
      </c>
      <c r="C380" s="143" t="inlineStr">
        <is>
          <t>УДАЛЕНО из HTML (не используется в текущей вёрстке): —</t>
        </is>
      </c>
    </row>
    <row r="381">
      <c r="A381" s="27" t="inlineStr">
        <is>
          <t>rhi_07</t>
        </is>
      </c>
      <c r="B381" s="228" t="inlineStr">
        <is>
          <t>НЕ ИСПОЛЬЗУЕТСЯ</t>
        </is>
      </c>
      <c r="C381" s="143" t="inlineStr">
        <is>
          <t>УДАЛЕНО из HTML (не используется в текущей вёрстке): —</t>
        </is>
      </c>
    </row>
    <row r="382">
      <c r="A382" s="281" t="inlineStr">
        <is>
          <t>rh2_08</t>
        </is>
      </c>
      <c r="B382" s="282" t="inlineStr">
        <is>
          <t>НЕ ИСПОЛЬЗУЕТСЯ</t>
        </is>
      </c>
      <c r="C382" s="283" t="inlineStr">
        <is>
          <t>УДАЛЕНО из HTML (не используется в текущей вёрстке): Минимум, ниже которого нельзя</t>
        </is>
      </c>
      <c r="D382" s="279" t="n"/>
      <c r="E382" s="279" t="n"/>
      <c r="F382" s="279" t="n"/>
      <c r="G382" s="279" t="n"/>
      <c r="H382" s="280" t="inlineStr">
        <is>
          <t>УДАЛЕНО из HTML: блок «Сколько людей в компании» убран 06.08.2026</t>
        </is>
      </c>
    </row>
    <row r="383">
      <c r="A383" s="281" t="inlineStr">
        <is>
          <t>rhi_08</t>
        </is>
      </c>
      <c r="B383" s="282" t="inlineStr">
        <is>
          <t>НЕ ИСПОЛЬЗУЕТСЯ</t>
        </is>
      </c>
      <c r="C383" s="283" t="inlineStr">
        <is>
          <t>УДАЛЕНО из HTML (не используется в текущей вёрстке): Точка безубыточности — здесь вы не зарабатываете, но и не доплачиваете</t>
        </is>
      </c>
      <c r="D383" s="279" t="n"/>
      <c r="E383" s="279" t="n"/>
      <c r="F383" s="279" t="n"/>
      <c r="G383" s="279" t="n"/>
      <c r="H383" s="280" t="inlineStr">
        <is>
          <t>УДАЛЕНО из HTML: блок «Сколько людей в компании» убран 06.08.2026</t>
        </is>
      </c>
    </row>
    <row r="384">
      <c r="A384" s="27" t="inlineStr">
        <is>
          <t>rmb_01</t>
        </is>
      </c>
      <c r="B384" s="112" t="inlineStr">
        <is>
          <t>Полный отчёт</t>
        </is>
      </c>
      <c r="C384" s="113" t="inlineStr">
        <is>
          <t>При съёмке в ноль</t>
        </is>
      </c>
    </row>
    <row r="385">
      <c r="A385" s="27" t="inlineStr">
        <is>
          <t>rmb_02</t>
        </is>
      </c>
      <c r="B385" s="112" t="inlineStr">
        <is>
          <t>Полный отчёт</t>
        </is>
      </c>
      <c r="C385" s="113" t="inlineStr">
        <is>
          <t>Ставка часа</t>
        </is>
      </c>
    </row>
    <row r="386">
      <c r="A386" s="27" t="inlineStr">
        <is>
          <t>rmb_03</t>
        </is>
      </c>
      <c r="B386" s="112" t="inlineStr">
        <is>
          <t>Полный отчёт</t>
        </is>
      </c>
      <c r="C386" s="113" t="inlineStr">
        <is>
          <t>Цена съёмки</t>
        </is>
      </c>
    </row>
    <row r="387">
      <c r="A387" s="27" t="inlineStr">
        <is>
          <t>rmb_04</t>
        </is>
      </c>
      <c r="B387" s="112" t="inlineStr">
        <is>
          <t>Полный отчёт</t>
        </is>
      </c>
      <c r="C387" s="113" t="inlineStr">
        <is>
          <t>При этой ставке вы покрываете расходы, налоги и комиссию банка — но не получаете ничего себе. Всё, что ниже, означает, что вы доплачиваете за право работать.</t>
        </is>
      </c>
    </row>
    <row r="388">
      <c r="A388" s="27" t="inlineStr">
        <is>
          <t>rlg_01</t>
        </is>
      </c>
      <c r="B388" s="112" t="inlineStr">
        <is>
          <t>Полный отчёт</t>
        </is>
      </c>
      <c r="C388" s="113" t="inlineStr">
        <is>
          <t>Логистика в расчёт не входит</t>
        </is>
      </c>
    </row>
    <row r="389">
      <c r="A389" s="27" t="inlineStr">
        <is>
          <t>rh2_09</t>
        </is>
      </c>
      <c r="B389" s="112" t="inlineStr">
        <is>
          <t>Полный отчёт</t>
        </is>
      </c>
      <c r="C389" s="113" t="inlineStr">
        <is>
          <t>Как распределяется ваше время</t>
        </is>
      </c>
    </row>
    <row r="390">
      <c r="A390" s="27" t="inlineStr">
        <is>
          <t>rhi_09</t>
        </is>
      </c>
      <c r="B390" s="112" t="inlineStr">
        <is>
          <t>Полный отчёт</t>
        </is>
      </c>
      <c r="C390" s="113" t="inlineStr">
        <is>
          <t>Реальная структура рабочей недели: чтобы провести несколько часов на площадке, вы работаете полную пятидневку</t>
        </is>
      </c>
    </row>
    <row r="391">
      <c r="A391" s="27" t="inlineStr">
        <is>
          <t>rh2_10</t>
        </is>
      </c>
      <c r="B391" s="112" t="inlineStr">
        <is>
          <t>Полный отчёт</t>
        </is>
      </c>
      <c r="C391" s="113" t="inlineStr">
        <is>
          <t>Сколько людей делают это в компании</t>
        </is>
      </c>
    </row>
    <row r="392">
      <c r="A392" s="27" t="inlineStr">
        <is>
          <t>rhi_10</t>
        </is>
      </c>
      <c r="B392" s="112" t="inlineStr">
        <is>
          <t>Полный отчёт</t>
        </is>
      </c>
      <c r="C392" s="113" t="inlineStr">
        <is>
          <t>В студии фотограф только снимает и обрабатывает. Всё остальное делают другие сотрудники — а у вас это тоже ваша работа</t>
        </is>
      </c>
    </row>
    <row r="393">
      <c r="A393" s="27" t="inlineStr">
        <is>
          <t>rnm_01</t>
        </is>
      </c>
      <c r="B393" s="228" t="inlineStr">
        <is>
          <t>НЕ ИСПОЛЬЗУЕТСЯ</t>
        </is>
      </c>
      <c r="C393" s="143" t="inlineStr">
        <is>
          <t>УДАЛЕНО из HTML (не используется в текущей вёрстке): Работа фотографа</t>
        </is>
      </c>
    </row>
    <row r="394">
      <c r="A394" s="27" t="inlineStr">
        <is>
          <t>rnm_02</t>
        </is>
      </c>
      <c r="B394" s="228" t="inlineStr">
        <is>
          <t>НЕ ИСПОЛЬЗУЕТСЯ</t>
        </is>
      </c>
      <c r="C394" s="143" t="inlineStr">
        <is>
          <t>УДАЛЕНО из HTML (не используется в текущей вёрстке): то, за что вас наняли бы в студию</t>
        </is>
      </c>
    </row>
    <row r="395">
      <c r="A395" s="27" t="inlineStr">
        <is>
          <t>rnm_03</t>
        </is>
      </c>
      <c r="B395" s="228" t="inlineStr">
        <is>
          <t>НЕ ИСПОЛЬЗУЕТСЯ</t>
        </is>
      </c>
      <c r="C395" s="143" t="inlineStr">
        <is>
          <t>УДАЛЕНО из HTML (не используется в текущей вёрстке): часа в день — съёмка и обработка</t>
        </is>
      </c>
    </row>
    <row r="396">
      <c r="A396" s="27" t="inlineStr">
        <is>
          <t>rnm_04</t>
        </is>
      </c>
      <c r="B396" s="228" t="inlineStr">
        <is>
          <t>НЕ ИСПОЛЬЗУЕТСЯ</t>
        </is>
      </c>
      <c r="C396" s="143" t="inlineStr">
        <is>
          <t>УДАЛЕНО из HTML (не используется в текущей вёрстке): Работа работодателя</t>
        </is>
      </c>
    </row>
    <row r="397">
      <c r="A397" s="27" t="inlineStr">
        <is>
          <t>rnm_05</t>
        </is>
      </c>
      <c r="B397" s="228" t="inlineStr">
        <is>
          <t>НЕ ИСПОЛЬЗУЕТСЯ</t>
        </is>
      </c>
      <c r="C397" s="143" t="inlineStr">
        <is>
          <t>УДАЛЕНО из HTML (не используется в текущей вёрстке): это вы тоже делаете сами, бесплатно</t>
        </is>
      </c>
    </row>
    <row r="398">
      <c r="A398" s="27" t="inlineStr">
        <is>
          <t>rnm_06</t>
        </is>
      </c>
      <c r="B398" s="228" t="inlineStr">
        <is>
          <t>НЕ ИСПОЛЬЗУЕТСЯ</t>
        </is>
      </c>
      <c r="C398" s="143" t="inlineStr">
        <is>
          <t>УДАЛЕНО из HTML (не используется в текущей вёрстке): часа в день — продажи, реклама, учёт</t>
        </is>
      </c>
    </row>
    <row r="399">
      <c r="A399" s="27" t="inlineStr">
        <is>
          <t>rnm_07</t>
        </is>
      </c>
      <c r="B399" s="112" t="inlineStr">
        <is>
          <t>Полный отчёт</t>
        </is>
      </c>
      <c r="C399" s="113" t="inlineStr">
        <is>
          <t>Каждая из этих ролей в штате — отдельный человек с окладом. Работая на себя, вы закрываете их все, но оплачивается только съёмка. Поэтому ставка часа должна покрывать не один час с камерой, а весь рабочий день.</t>
        </is>
      </c>
    </row>
    <row r="400">
      <c r="A400" s="27" t="inlineStr">
        <is>
          <t>rh2_11</t>
        </is>
      </c>
      <c r="B400" s="112" t="inlineStr">
        <is>
          <t>Полный отчёт</t>
        </is>
      </c>
      <c r="C400" s="113" t="inlineStr">
        <is>
          <t>А если просто брать больше заказов?</t>
        </is>
      </c>
    </row>
    <row r="401">
      <c r="A401" s="27" t="inlineStr">
        <is>
          <t>rhi_11</t>
        </is>
      </c>
      <c r="B401" s="112" t="inlineStr">
        <is>
          <t>Полный отчёт</t>
        </is>
      </c>
      <c r="C401" s="113" t="inlineStr">
        <is>
          <t>Проверим: можно ли выйти на желаемый доход, не поднимая цену, — за счёт объёма</t>
        </is>
      </c>
    </row>
    <row r="402">
      <c r="C402" s="229" t="n"/>
    </row>
    <row r="403">
      <c r="A403" s="3" t="inlineStr">
        <is>
          <t>НАЛОГИ И ПРОДВИЖЕНИЕ</t>
        </is>
      </c>
    </row>
    <row r="404">
      <c r="A404" s="27" t="inlineStr">
        <is>
          <t>rh2_12</t>
        </is>
      </c>
      <c r="B404" s="112" t="inlineStr">
        <is>
          <t>Полный отчёт</t>
        </is>
      </c>
      <c r="C404" s="113" t="inlineStr">
        <is>
          <t>Ваш идеальный налоговый режим</t>
        </is>
      </c>
    </row>
    <row r="405">
      <c r="A405" s="27" t="inlineStr">
        <is>
          <t>rhi_12</t>
        </is>
      </c>
      <c r="B405" s="112" t="inlineStr">
        <is>
          <t>Полный отчёт</t>
        </is>
      </c>
      <c r="C405" s="113" t="inlineStr">
        <is>
          <t>Посчитали все семь режимов на ваших цифрах и подобрали тот, где вы отдадите меньше всего</t>
        </is>
      </c>
    </row>
    <row r="406">
      <c r="A406" s="27" t="inlineStr">
        <is>
          <t>rth_10</t>
        </is>
      </c>
      <c r="B406" s="112" t="inlineStr">
        <is>
          <t>Полный отчёт</t>
        </is>
      </c>
      <c r="C406" s="113" t="inlineStr">
        <is>
          <t>Режим</t>
        </is>
      </c>
    </row>
    <row r="407">
      <c r="A407" s="27" t="inlineStr">
        <is>
          <t>rth_11</t>
        </is>
      </c>
      <c r="B407" s="228" t="inlineStr">
        <is>
          <t>НЕ ИСПОЛЬЗУЕТСЯ</t>
        </is>
      </c>
      <c r="C407" s="143" t="inlineStr">
        <is>
          <t>УДАЛЕНО из HTML: колонка «Выручка в год» — раньше под каждый режим подбиралась своя выручка, теперь все режимы считаются на одной реальной выручке пользователя</t>
        </is>
      </c>
    </row>
    <row r="408">
      <c r="A408" s="27" t="inlineStr">
        <is>
          <t>rth_12</t>
        </is>
      </c>
      <c r="B408" s="112" t="inlineStr">
        <is>
          <t>Полный отчёт</t>
        </is>
      </c>
      <c r="C408" s="113" t="inlineStr">
        <is>
          <t>Налоги и взносы</t>
        </is>
      </c>
    </row>
    <row r="409">
      <c r="A409" s="27" t="inlineStr">
        <is>
          <t>rth_13</t>
        </is>
      </c>
      <c r="B409" s="112" t="inlineStr">
        <is>
          <t>Полный отчёт</t>
        </is>
      </c>
      <c r="C409" s="113" t="inlineStr">
        <is>
          <t>Нагрузка</t>
        </is>
      </c>
    </row>
    <row r="410">
      <c r="A410" s="27" t="inlineStr">
        <is>
          <t>rth_14</t>
        </is>
      </c>
      <c r="B410" s="228" t="inlineStr">
        <is>
          <t>НЕ ИСПОЛЬЗУЕТСЯ</t>
        </is>
      </c>
      <c r="C410" s="143" t="inlineStr">
        <is>
          <t>УДАЛЕНО из HTML: колонка «Ставка часа» — была производной от подобранной выручки, стала бессмысленной</t>
        </is>
      </c>
    </row>
    <row r="411">
      <c r="A411" s="27" t="inlineStr">
        <is>
          <t>rh2_13</t>
        </is>
      </c>
      <c r="B411" s="112" t="inlineStr">
        <is>
          <t>Полный отчёт</t>
        </is>
      </c>
      <c r="C411" s="113" t="inlineStr">
        <is>
          <t>Объясняйте клиенту, из чего складывается стоимость</t>
        </is>
      </c>
    </row>
    <row r="412">
      <c r="A412" s="27" t="inlineStr">
        <is>
          <t>rhi_13</t>
        </is>
      </c>
      <c r="B412" s="228" t="inlineStr">
        <is>
          <t>НЕ ИСПОЛЬЗУЕТСЯ</t>
        </is>
      </c>
      <c r="C412" s="143" t="inlineStr">
        <is>
          <t>УДАЛЕНО из HTML: подзаголовок про «клиент не видит всей картины» перенесён в блок-заключение (rfn_05)</t>
        </is>
      </c>
    </row>
    <row r="413">
      <c r="A413" s="27" t="inlineStr">
        <is>
          <t>rpm_01</t>
        </is>
      </c>
      <c r="B413" s="228" t="inlineStr">
        <is>
          <t>НЕ ИСПОЛЬЗУЕТСЯ</t>
        </is>
      </c>
      <c r="C413" s="143" t="inlineStr">
        <is>
          <t>УДАЛЕНО из HTML (не используется в текущей вёрстке): Диагноз из вашего же расчёта</t>
        </is>
      </c>
    </row>
    <row r="414">
      <c r="A414" s="27" t="inlineStr">
        <is>
          <t>rpm_02</t>
        </is>
      </c>
      <c r="B414" s="228" t="inlineStr">
        <is>
          <t>НЕ ИСПОЛЬЗУЕТСЯ</t>
        </is>
      </c>
      <c r="C414" s="143" t="inlineStr">
        <is>
          <t>УДАЛЕНО из HTML (не используется в текущей вёрстке): Начать сегодня</t>
        </is>
      </c>
    </row>
    <row r="415">
      <c r="A415" s="27" t="inlineStr">
        <is>
          <t>rpm_03</t>
        </is>
      </c>
      <c r="B415" s="228" t="inlineStr">
        <is>
          <t>НЕ ИСПОЛЬЗУЕТСЯ</t>
        </is>
      </c>
      <c r="C415" s="143" t="inlineStr">
        <is>
          <t>УДАЛЕНО из HTML (не используется в текущей вёрстке): Регулярно</t>
        </is>
      </c>
    </row>
    <row r="416">
      <c r="A416" s="27" t="inlineStr">
        <is>
          <t>rpm_04</t>
        </is>
      </c>
      <c r="B416" s="228" t="inlineStr">
        <is>
          <t>НЕ ИСПОЛЬЗУЕТСЯ</t>
        </is>
      </c>
      <c r="C416" s="143" t="inlineStr">
        <is>
          <t>УДАЛЕНО из HTML (не используется в текущей вёрстке): Когда пойдёт поток</t>
        </is>
      </c>
    </row>
    <row r="417">
      <c r="A417" s="27" t="inlineStr">
        <is>
          <t>rpm_05</t>
        </is>
      </c>
      <c r="B417" s="228" t="inlineStr">
        <is>
          <t>НЕ ИСПОЛЬЗУЕТСЯ</t>
        </is>
      </c>
      <c r="C417" s="143" t="inlineStr">
        <is>
          <t>УДАЛЕНО из HTML (не используется в текущей вёрстке): Почему про цену нужно говорить вслух</t>
        </is>
      </c>
    </row>
    <row r="418">
      <c r="A418" s="281" t="inlineStr">
        <is>
          <t>rpm_06</t>
        </is>
      </c>
      <c r="B418" s="289" t="inlineStr">
        <is>
          <t>Полный отчёт</t>
        </is>
      </c>
      <c r="C418" s="8" t="inlineStr">
        <is>
          <t>В эксперименте психолога Эллен Лангер людей пропускали без очереди к копиру втрое чаще, если они добавляли «потому что» и называли причину — даже пустяковую. Само наличие объяснения снимает сопротивление. С ценой так же: «стоит 19 000» вызывает торг, «стоит 19 000, потому что…» вызывает понимание.</t>
        </is>
      </c>
      <c r="D418" s="279" t="n"/>
      <c r="E418" s="279" t="n"/>
      <c r="F418" s="279" t="n"/>
      <c r="G418" s="279" t="n"/>
      <c r="H418" s="280" t="inlineStr">
        <is>
          <t>УДАЛЕНО из HTML 06.08.2026: эксперимент Лангер. Блок 08 пересобран коротко, cardFin убран как материал для соцсетей</t>
        </is>
      </c>
    </row>
    <row r="419">
      <c r="A419" s="27" t="inlineStr">
        <is>
          <t>rpm_07</t>
        </is>
      </c>
      <c r="B419" s="228" t="inlineStr">
        <is>
          <t>НЕ ИСПОЛЬЗУЕТСЯ</t>
        </is>
      </c>
      <c r="C419" s="143" t="inlineStr">
        <is>
          <t>УДАЛЕНО из HTML (не используется в текущей вёрстке): Пять тем, которые можно снять из этого отчёта</t>
        </is>
      </c>
    </row>
    <row r="420">
      <c r="A420" s="27" t="inlineStr">
        <is>
          <t>rh2_14</t>
        </is>
      </c>
      <c r="B420" s="228" t="inlineStr">
        <is>
          <t>НЕ ИСПОЛЬЗУЕТСЯ</t>
        </is>
      </c>
      <c r="C420" s="143" t="inlineStr">
        <is>
          <t>УДАЛЕНО из HTML (не используется в текущей вёрстке): Обычная неделя по часам</t>
        </is>
      </c>
    </row>
    <row r="421">
      <c r="A421" s="27" t="inlineStr">
        <is>
          <t>rhi_14</t>
        </is>
      </c>
      <c r="B421" s="228" t="inlineStr">
        <is>
          <t>НЕ ИСПОЛЬЗУЕТСЯ</t>
        </is>
      </c>
      <c r="C421" s="143" t="inlineStr">
        <is>
          <t>УДАЛЕНО из HTML (не используется в текущей вёрстке): Пять дней по восемь часов. Каждый квадрат — один час работы</t>
        </is>
      </c>
    </row>
    <row r="422">
      <c r="A422" s="27" t="inlineStr">
        <is>
          <t>rct_01</t>
        </is>
      </c>
      <c r="B422" s="112" t="inlineStr">
        <is>
          <t>Полный отчёт</t>
        </is>
      </c>
      <c r="C422" s="113" t="inlineStr">
        <is>
          <t>Готовый контент для вашего блога</t>
        </is>
      </c>
    </row>
    <row r="423">
      <c r="A423" s="27" t="inlineStr">
        <is>
          <t>rct_02</t>
        </is>
      </c>
      <c r="B423" s="112" t="inlineStr">
        <is>
          <t>Полный отчёт</t>
        </is>
      </c>
      <c r="C423" s="113" t="inlineStr">
        <is>
          <t>30 сценариев, которые снимают вопрос «а почему так дорого»</t>
        </is>
      </c>
    </row>
    <row r="424">
      <c r="A424" s="27" t="inlineStr">
        <is>
          <t>rct_03</t>
        </is>
      </c>
      <c r="B424" s="112" t="inlineStr">
        <is>
          <t>Полный отчёт</t>
        </is>
      </c>
      <c r="C424" s="113" t="inlineStr">
        <is>
          <t>Рассказывайте о работе спокойно и без оправданий — ценность становится очевидной раньше, чем встанет вопрос о цене.</t>
        </is>
      </c>
    </row>
    <row r="425">
      <c r="A425" s="281" t="inlineStr">
        <is>
          <t>rct_04</t>
        </is>
      </c>
      <c r="B425" s="288" t="inlineStr">
        <is>
          <t>Полный отчёт</t>
        </is>
      </c>
      <c r="C425" s="8" t="inlineStr">
        <is>
          <t>Рассказывайте о работе спокойно и без оправданий — ценность становится очевидной раньше, чем встанет вопрос о цене</t>
        </is>
      </c>
      <c r="D425" s="279" t="n"/>
      <c r="E425" s="279" t="n"/>
      <c r="F425" s="279" t="n"/>
      <c r="G425" s="279" t="n"/>
      <c r="H425" s="280" t="inlineStr">
        <is>
          <t>УДАЛЕНО из HTML 06.08.2026: подпись под кнопкой убрана, текст перенесён в описание над кнопкой</t>
        </is>
      </c>
    </row>
    <row r="426">
      <c r="A426" s="27" t="inlineStr">
        <is>
          <t>rpm_08</t>
        </is>
      </c>
      <c r="B426" s="228" t="inlineStr">
        <is>
          <t>НЕ ИСПОЛЬЗУЕТСЯ</t>
        </is>
      </c>
      <c r="C426" s="143" t="inlineStr">
        <is>
          <t>УДАЛЕНО из HTML (не используется в текущей вёрстке): Времени на продвижение</t>
        </is>
      </c>
    </row>
    <row r="427">
      <c r="A427" s="27" t="inlineStr">
        <is>
          <t>rpm_09</t>
        </is>
      </c>
      <c r="B427" s="228" t="inlineStr">
        <is>
          <t>НЕ ИСПОЛЬЗУЕТСЯ</t>
        </is>
      </c>
      <c r="C427" s="143" t="inlineStr">
        <is>
          <t>УДАЛЕНО из HTML (не используется в текущей вёрстке): часа в день вы заложили в расчёт</t>
        </is>
      </c>
    </row>
    <row r="428">
      <c r="A428" s="27" t="inlineStr">
        <is>
          <t>rpm_10</t>
        </is>
      </c>
      <c r="B428" s="228" t="inlineStr">
        <is>
          <t>НЕ ИСПОЛЬЗУЕТСЯ</t>
        </is>
      </c>
      <c r="C428" s="143" t="inlineStr">
        <is>
          <t>УДАЛЕНО из HTML (не используется в текущей вёрстке): Минимум для системной работы</t>
        </is>
      </c>
    </row>
    <row r="429">
      <c r="A429" s="27" t="inlineStr">
        <is>
          <t>rpm_11</t>
        </is>
      </c>
      <c r="B429" s="228" t="inlineStr">
        <is>
          <t>НЕ ИСПОЛЬЗУЕТСЯ</t>
        </is>
      </c>
      <c r="C429" s="143" t="inlineStr">
        <is>
          <t>УДАЛЕНО из HTML (не используется в текущей вёрстке): Денег на рекламу</t>
        </is>
      </c>
    </row>
    <row r="430">
      <c r="A430" s="27" t="inlineStr">
        <is>
          <t>rpm_12</t>
        </is>
      </c>
      <c r="B430" s="228" t="inlineStr">
        <is>
          <t>НЕ ИСПОЛЬЗУЕТСЯ</t>
        </is>
      </c>
      <c r="C430" s="143" t="inlineStr">
        <is>
          <t>УДАЛЕНО из HTML (не используется в текущей вёрстке): процентов выручки уходит на платные каналы</t>
        </is>
      </c>
    </row>
    <row r="431">
      <c r="A431" s="27" t="inlineStr">
        <is>
          <t>rpm_13</t>
        </is>
      </c>
      <c r="B431" s="228" t="inlineStr">
        <is>
          <t>НЕ ИСПОЛЬЗУЕТСЯ</t>
        </is>
      </c>
      <c r="C431" s="143" t="inlineStr">
        <is>
          <t>УДАЛЕНО из HTML (не используется в текущей вёрстке): Ориентир для сферы услуг</t>
        </is>
      </c>
    </row>
    <row r="432">
      <c r="A432" s="281" t="inlineStr">
        <is>
          <t>rpm_14</t>
        </is>
      </c>
      <c r="B432" s="288" t="inlineStr">
        <is>
          <t>Полный отчёт</t>
        </is>
      </c>
      <c r="C432" s="8" t="inlineStr">
        <is>
          <t>Специалисты часто проигрывают бизнесу, поскольку просто не считают свою юнит-экономику</t>
        </is>
      </c>
      <c r="D432" s="279" t="n"/>
      <c r="E432" s="279" t="n"/>
      <c r="F432" s="279" t="n"/>
      <c r="G432" s="279" t="n"/>
      <c r="H432" s="280" t="inlineStr">
        <is>
          <t>УДАЛЕНО из HTML 06.08.2026: про селлеров. Блок 08 пересобран коротко, cardFin убран как материал для соцсетей</t>
        </is>
      </c>
    </row>
    <row r="433">
      <c r="A433" s="281" t="inlineStr">
        <is>
          <t>rpm_15</t>
        </is>
      </c>
      <c r="B433" s="288" t="inlineStr">
        <is>
          <t>Полный отчёт</t>
        </is>
      </c>
      <c r="C433" s="8" t="inlineStr">
        <is>
          <t>Смотрите: селлеры на маркетплейсах считают каждую копейку вслух — в прямых эфирах, в своих соцсетях. Разбирают закупку, логистику, комиссии, налоги, и аудитория привыкла, что за ценой стоит расчёт. А фотографы молчат. В итоге клиент искренне уверен, что платит за «пару часов и фоточки», а не за производство. Вы тоже бизнес — пусть микро, но по документам бизнес: с оборудованием, налогами, отчётностью и расходами. Значит, и подход должен быть как у бизнеса. Разница между бизнесом и специалистом не в обороте, а в том, что бизнес умеет объяснить свою цену.</t>
        </is>
      </c>
      <c r="D433" s="279" t="n"/>
      <c r="E433" s="279" t="n"/>
      <c r="F433" s="279" t="n"/>
      <c r="G433" s="279" t="n"/>
      <c r="H433" s="280" t="inlineStr">
        <is>
          <t>УДАЛЕНО из HTML 06.08.2026: про селлеров. Блок 08 пересобран коротко, cardFin убран как материал для соцсетей</t>
        </is>
      </c>
    </row>
    <row r="434">
      <c r="A434" s="27" t="inlineStr">
        <is>
          <t>rpm_16</t>
        </is>
      </c>
      <c r="B434" s="112" t="inlineStr">
        <is>
          <t>Полный отчёт</t>
        </is>
      </c>
      <c r="C434" s="113" t="inlineStr">
        <is>
          <t>Что клиент не видит</t>
        </is>
      </c>
    </row>
    <row r="435">
      <c r="A435" s="281" t="inlineStr">
        <is>
          <t>rpm_17</t>
        </is>
      </c>
      <c r="B435" s="288" t="inlineStr">
        <is>
          <t>Полный отчёт</t>
        </is>
      </c>
      <c r="C435" s="8" t="inlineStr">
        <is>
          <t>Больше клиентов</t>
        </is>
      </c>
      <c r="D435" s="279" t="n"/>
      <c r="E435" s="279" t="n"/>
      <c r="F435" s="279" t="n"/>
      <c r="G435" s="279" t="n"/>
      <c r="H435" s="280" t="inlineStr">
        <is>
          <t>УДАЛЕНО из HTML 06.08.2026: подзаголовок «Что клиент не видит». Блок 08 пересобран коротко, cardFin убран как материал для соцсетей</t>
        </is>
      </c>
    </row>
    <row r="436">
      <c r="A436" s="27" t="inlineStr">
        <is>
          <t>rpm_18</t>
        </is>
      </c>
      <c r="B436" s="112" t="inlineStr">
        <is>
          <t>Полный отчёт</t>
        </is>
      </c>
      <c r="C436" s="113" t="inlineStr">
        <is>
          <t>+21% чаще покупают, когда видят, из чего складывается цена</t>
        </is>
      </c>
    </row>
    <row r="437">
      <c r="A437" s="27" t="inlineStr">
        <is>
          <t>rpm_19</t>
        </is>
      </c>
      <c r="B437" s="112" t="inlineStr">
        <is>
          <t>Полный отчёт</t>
        </is>
      </c>
      <c r="C437" s="113" t="inlineStr">
        <is>
          <t>Столько занимает один заказ целиком: подготовка, съёмка, отбор, обработка, передача</t>
        </is>
      </c>
    </row>
    <row r="438">
      <c r="A438" s="27" t="inlineStr">
        <is>
          <t>rpm_20</t>
        </is>
      </c>
      <c r="B438" s="112" t="inlineStr">
        <is>
          <t>Полный отчёт</t>
        </is>
      </c>
      <c r="C438" s="113" t="inlineStr">
        <is>
          <t>+34% чаще соглашаются, когда названа причина цены</t>
        </is>
      </c>
    </row>
    <row r="439">
      <c r="A439" s="27" t="inlineStr">
        <is>
          <t>rpm_21</t>
        </is>
      </c>
      <c r="B439" s="112" t="inlineStr">
        <is>
          <t>Полный отчёт</t>
        </is>
      </c>
      <c r="C439" s="113" t="inlineStr">
        <is>
          <t>Из 500 кадров клиент получит 50. Остальное — отбор, цвет, ретушь, которые он не увидит</t>
        </is>
      </c>
    </row>
    <row r="440">
      <c r="A440" s="27" t="inlineStr">
        <is>
          <t>rpm_22</t>
        </is>
      </c>
      <c r="B440" s="112" t="inlineStr">
        <is>
          <t>Полный отчёт</t>
        </is>
      </c>
      <c r="C440" s="113" t="inlineStr">
        <is>
          <t>87% покупателей готовы платить больше тем, кому доверяют</t>
        </is>
      </c>
    </row>
    <row r="441">
      <c r="A441" s="27" t="inlineStr">
        <is>
          <t>rpm_23</t>
        </is>
      </c>
      <c r="B441" s="112" t="inlineStr">
        <is>
          <t>Полный отчёт</t>
        </is>
      </c>
      <c r="C441" s="113" t="inlineStr">
        <is>
          <t>Остальное из цены часа уходит на технику, рекламу, налоги и комиссии банка</t>
        </is>
      </c>
    </row>
    <row r="442">
      <c r="A442" s="27" t="inlineStr">
        <is>
          <t>rpm_24</t>
        </is>
      </c>
      <c r="B442" s="112" t="inlineStr">
        <is>
          <t>Полный отчёт</t>
        </is>
      </c>
      <c r="C442" s="113" t="inlineStr">
        <is>
          <t>Источники: Гарвардская школа бизнеса и Университет Сан-Франциско, шесть экспериментов с раскрытием себестоимости, Marketing Science, 2020 · эксперимент Эллен Лангер, Гарвард, 1978 · исследование доверия к брендам Salsify</t>
        </is>
      </c>
    </row>
    <row r="443">
      <c r="A443" s="27" t="inlineStr">
        <is>
          <t>rpm_25</t>
        </is>
      </c>
      <c r="B443" s="112" t="inlineStr">
        <is>
          <t>Полный отчёт</t>
        </is>
      </c>
      <c r="C443" s="113" t="inlineStr">
        <is>
          <t>Вы посчитали свою юнит-экономику! Теперь у вас есть железобетонные цифры, которых нет у большинства коллег, — и полный карт-бланш говорить о стоимости без оправданий.</t>
        </is>
      </c>
    </row>
    <row r="444">
      <c r="A444" s="27" t="inlineStr">
        <is>
          <t>rpm_26</t>
        </is>
      </c>
      <c r="B444" s="228" t="inlineStr">
        <is>
          <t>НЕ ИСПОЛЬЗУЕТСЯ</t>
        </is>
      </c>
      <c r="C444" s="143" t="inlineStr">
        <is>
          <t>УДАЛЕНО из HTML (не используется в текущей вёрстке): Как это говорить</t>
        </is>
      </c>
    </row>
    <row r="445">
      <c r="A445" s="27" t="inlineStr">
        <is>
          <t>rpm_27</t>
        </is>
      </c>
      <c r="B445" s="228" t="inlineStr">
        <is>
          <t>НЕ ИСПОЛЬЗУЕТСЯ</t>
        </is>
      </c>
      <c r="C445" s="143" t="inlineStr">
        <is>
          <t>УДАЛЕНО из HTML (не используется в текущей вёрстке): Каналы по усилию: начните с левой колонки, она даёт заявки быстрее всего</t>
        </is>
      </c>
    </row>
    <row r="446">
      <c r="A446" s="27" t="inlineStr">
        <is>
          <t>rh2_15</t>
        </is>
      </c>
      <c r="B446" s="228" t="inlineStr">
        <is>
          <t>НЕ ИСПОЛЬЗУЕТСЯ</t>
        </is>
      </c>
      <c r="C446" s="143" t="inlineStr">
        <is>
          <t>УДАЛЕНО из HTML (не используется в текущей вёрстке): Что на самом деле входит в вашу работу</t>
        </is>
      </c>
    </row>
    <row r="447">
      <c r="A447" s="27" t="inlineStr">
        <is>
          <t>rhi_15</t>
        </is>
      </c>
      <c r="B447" s="228" t="inlineStr">
        <is>
          <t>НЕ ИСПОЛЬЗУЕТСЯ</t>
        </is>
      </c>
      <c r="C447" s="143" t="inlineStr">
        <is>
          <t>УДАЛЕНО из HTML (не используется в текущей вёрстке): Разверните каждую строку из расчёта. Это те задачи, которые вы делаете, но обычно не считаете</t>
        </is>
      </c>
    </row>
    <row r="448">
      <c r="A448" s="27" t="inlineStr">
        <is>
          <t>rh2_16</t>
        </is>
      </c>
      <c r="B448" s="228" t="inlineStr">
        <is>
          <t>НЕ ИСПОЛЬЗУЕТСЯ</t>
        </is>
      </c>
      <c r="C448" s="143" t="inlineStr">
        <is>
          <t>УДАЛЕНО из HTML (не используется в текущей вёрстке): Самая недооценённая строка — работа с отснятым материалом. «Прогнал через пресет» — это не обработка. Пока компьютер экспортирует, вы не свободны: вы за ним следите, перезапускаете, проверяете. Это ваше время, и оно должно быть в цене.</t>
        </is>
      </c>
    </row>
    <row r="449">
      <c r="A449" s="27" t="inlineStr">
        <is>
          <t>rth_15</t>
        </is>
      </c>
      <c r="B449" s="138" t="inlineStr">
        <is>
          <t>Полный отчёт</t>
        </is>
      </c>
      <c r="C449" s="113" t="inlineStr">
        <is>
          <t>Остаётся на руки</t>
        </is>
      </c>
    </row>
    <row r="450">
      <c r="A450" s="27" t="inlineStr">
        <is>
          <t>rth_16</t>
        </is>
      </c>
      <c r="B450" s="138" t="inlineStr">
        <is>
          <t>Полный отчёт</t>
        </is>
      </c>
      <c r="C450" s="113" t="inlineStr">
        <is>
          <t>В месяц</t>
        </is>
      </c>
    </row>
    <row r="451">
      <c r="A451" s="27" t="inlineStr">
        <is>
          <t>rth_17</t>
        </is>
      </c>
      <c r="B451" s="228" t="inlineStr">
        <is>
          <t>НЕ ИСПОЛЬЗУЕТСЯ</t>
        </is>
      </c>
      <c r="C451" s="143" t="inlineStr">
        <is>
          <t>УДАЛЕНО из HTML (не используется в текущей вёрстке): ₽ за съёмку</t>
        </is>
      </c>
    </row>
    <row r="452">
      <c r="A452" s="27" t="inlineStr">
        <is>
          <t>rth_18</t>
        </is>
      </c>
      <c r="B452" s="228" t="inlineStr">
        <is>
          <t>НЕ ИСПОЛЬЗУЕТСЯ</t>
        </is>
      </c>
      <c r="C452" s="143" t="inlineStr">
        <is>
          <t>УДАЛЕНО из HTML (не используется в текущей вёрстке): ₽ в месяц</t>
        </is>
      </c>
    </row>
    <row r="453">
      <c r="A453" s="27" t="inlineStr">
        <is>
          <t>rh2_17</t>
        </is>
      </c>
      <c r="B453" s="112" t="inlineStr">
        <is>
          <t>Полный отчёт</t>
        </is>
      </c>
      <c r="C453" s="113" t="inlineStr">
        <is>
          <t>Как считают обычно</t>
        </is>
      </c>
    </row>
    <row r="454">
      <c r="A454" s="27" t="inlineStr">
        <is>
          <t>rhi_17</t>
        </is>
      </c>
      <c r="B454" s="112" t="inlineStr">
        <is>
          <t>Полный отчёт</t>
        </is>
      </c>
      <c r="C454" s="113" t="inlineStr">
        <is>
          <t>Ставку умножают на часы съёмки — и получают цифру, которой на самом деле не будет</t>
        </is>
      </c>
    </row>
    <row r="455">
      <c r="A455" s="27" t="inlineStr">
        <is>
          <t>rin_01</t>
        </is>
      </c>
      <c r="B455" s="228" t="inlineStr">
        <is>
          <t>НЕ ИСПОЛЬЗУЕТСЯ</t>
        </is>
      </c>
      <c r="C455" s="143" t="inlineStr">
        <is>
          <t>УДАЛЕНО из HTML (не используется в текущей вёрстке): Как считают обычно и как надо</t>
        </is>
      </c>
    </row>
    <row r="456">
      <c r="A456" s="27" t="inlineStr">
        <is>
          <t>rin_02</t>
        </is>
      </c>
      <c r="B456" s="112" t="inlineStr">
        <is>
          <t>Полный отчёт</t>
        </is>
      </c>
      <c r="C456" s="113" t="inlineStr">
        <is>
          <t>Кажется, что получится</t>
        </is>
      </c>
    </row>
    <row r="457">
      <c r="A457" s="27" t="inlineStr">
        <is>
          <t>rin_03</t>
        </is>
      </c>
      <c r="B457" s="112" t="inlineStr">
        <is>
          <t>Полный отчёт</t>
        </is>
      </c>
      <c r="C457" s="113" t="inlineStr">
        <is>
          <t>Останется на самом деле</t>
        </is>
      </c>
    </row>
    <row r="458">
      <c r="A458" s="27" t="inlineStr">
        <is>
          <t>rin_04</t>
        </is>
      </c>
      <c r="B458" s="228" t="inlineStr">
        <is>
          <t>НЕ ИСПОЛЬЗУЕТСЯ</t>
        </is>
      </c>
      <c r="C458" s="143" t="inlineStr">
        <is>
          <t>УДАЛЕНО из HTML (не используется в текущей вёрстке): Сколько стоит скидка</t>
        </is>
      </c>
    </row>
    <row r="459">
      <c r="A459" s="27" t="inlineStr">
        <is>
          <t>rin_05</t>
        </is>
      </c>
      <c r="B459" s="228" t="inlineStr">
        <is>
          <t>НЕ ИСПОЛЬЗУЕТСЯ</t>
        </is>
      </c>
      <c r="C459" s="143" t="inlineStr">
        <is>
          <t>УДАЛЕНО из HTML (не используется в текущей вёрстке): Расходы, налоги и комиссия не уменьшаются вместе с ценой — скидку вы платите целиком из своего дохода.</t>
        </is>
      </c>
    </row>
    <row r="460">
      <c r="A460" s="27" t="inlineStr">
        <is>
          <t>rsv_01</t>
        </is>
      </c>
      <c r="B460" s="112" t="inlineStr">
        <is>
          <t>Полный отчёт</t>
        </is>
      </c>
      <c r="C460" s="113" t="inlineStr">
        <is>
          <t>Сохранить отчёт в PDF</t>
        </is>
      </c>
    </row>
    <row r="461">
      <c r="A461" s="27" t="inlineStr">
        <is>
          <t>rsv_02</t>
        </is>
      </c>
      <c r="B461" s="112" t="inlineStr">
        <is>
          <t>Полный отчёт</t>
        </is>
      </c>
      <c r="C461" s="113" t="inlineStr">
        <is>
          <t>В шапке ставка округлена до 500 ₽ — так её проще держать в голове и называть. Все расчёты в отчёте идут по точному значению, без округлений</t>
        </is>
      </c>
    </row>
    <row r="462">
      <c r="A462" s="27" t="inlineStr">
        <is>
          <t>rin_06</t>
        </is>
      </c>
      <c r="B462" s="112" t="inlineStr">
        <is>
          <t>Полный отчёт</t>
        </is>
      </c>
      <c r="C462" s="113" t="inlineStr">
        <is>
          <t>в месяц</t>
        </is>
      </c>
    </row>
    <row r="463">
      <c r="A463" s="27" t="inlineStr">
        <is>
          <t>rin_07</t>
        </is>
      </c>
      <c r="B463" s="112" t="inlineStr">
        <is>
          <t>Полный отчёт</t>
        </is>
      </c>
      <c r="C463" s="113" t="inlineStr">
        <is>
          <t>Ставка × часы съёмки. В этой цифре нет ни техники, ни рекламы, ни налогов, ни часов обработки</t>
        </is>
      </c>
    </row>
    <row r="464">
      <c r="A464" s="27" t="inlineStr">
        <is>
          <t>rin_08</t>
        </is>
      </c>
      <c r="B464" s="112" t="inlineStr">
        <is>
          <t>Полный отчёт</t>
        </is>
      </c>
      <c r="C464" s="113" t="inlineStr">
        <is>
          <t>в месяц</t>
        </is>
      </c>
    </row>
    <row r="465">
      <c r="A465" s="27" t="inlineStr">
        <is>
          <t>rin_09</t>
        </is>
      </c>
      <c r="B465" s="112" t="inlineStr">
        <is>
          <t>Полный отчёт</t>
        </is>
      </c>
      <c r="C465" s="113" t="inlineStr">
        <is>
          <t>После расходов на технику и рекламу, налогов и комиссии банка — при той же ставке и загрузке</t>
        </is>
      </c>
    </row>
    <row r="466">
      <c r="A466" s="27" t="inlineStr">
        <is>
          <t>rh2_18</t>
        </is>
      </c>
      <c r="B466" s="112" t="inlineStr">
        <is>
          <t>Полный отчёт</t>
        </is>
      </c>
      <c r="C466" s="113" t="inlineStr">
        <is>
          <t>Как формировать скидку, чтобы не уйти в минус</t>
        </is>
      </c>
    </row>
    <row r="467">
      <c r="A467" s="27" t="inlineStr">
        <is>
          <t>rhi_18</t>
        </is>
      </c>
      <c r="B467" s="112" t="inlineStr">
        <is>
          <t>Полный отчёт</t>
        </is>
      </c>
      <c r="C467" s="113" t="inlineStr">
        <is>
          <t>Даём скидку только за объём</t>
        </is>
      </c>
    </row>
    <row r="468">
      <c r="A468" s="27" t="inlineStr">
        <is>
          <t>rh2_19</t>
        </is>
      </c>
      <c r="B468" s="228" t="inlineStr">
        <is>
          <t>НЕ ИСПОЛЬЗУЕТСЯ</t>
        </is>
      </c>
      <c r="C468" s="143" t="inlineStr">
        <is>
          <t>УДАЛЕНО из HTML (не используется в текущей вёрстке): А это — скидка без причины</t>
        </is>
      </c>
    </row>
    <row r="469">
      <c r="A469" s="27" t="inlineStr">
        <is>
          <t>rhi_19</t>
        </is>
      </c>
      <c r="B469" s="228" t="inlineStr">
        <is>
          <t>НЕ ИСПОЛЬЗУЕТСЯ</t>
        </is>
      </c>
      <c r="C469" s="143" t="inlineStr">
        <is>
          <t>УДАЛЕНО из HTML (не используется в текущей вёрстке): Если уступить, не увеличивая объём, разницу вы платите из своего кармана: расходы и налоги не сокращаются вместе с ценой</t>
        </is>
      </c>
    </row>
    <row r="470">
      <c r="A470" s="281" t="inlineStr">
        <is>
          <t>rpn_01</t>
        </is>
      </c>
      <c r="B470" s="288" t="inlineStr">
        <is>
          <t>Полный отчёт</t>
        </is>
      </c>
      <c r="C470" s="8" t="inlineStr">
        <is>
          <t>Что входит в каждую строку расчёта</t>
        </is>
      </c>
      <c r="D470" s="279" t="n"/>
      <c r="E470" s="279" t="n"/>
      <c r="F470" s="279" t="n"/>
      <c r="G470" s="279" t="n"/>
      <c r="H470" s="280" t="inlineStr">
        <is>
          <t>ЗАМЕНЕНО 06.08.2026: блок «Что входит в каждую строку расчёта» стал справочником понятий (rrf_01). Оформление сохранено</t>
        </is>
      </c>
    </row>
    <row r="471">
      <c r="A471" s="27" t="inlineStr">
        <is>
          <t>rpn_02</t>
        </is>
      </c>
      <c r="B471" s="112" t="inlineStr">
        <is>
          <t>Полный отчёт</t>
        </is>
      </c>
      <c r="C471" s="113" t="inlineStr">
        <is>
          <t>Эти же пояснения есть в форме под каждым вопросом — разверните «что сюда входит», если захотите пересчитать точнее.</t>
        </is>
      </c>
    </row>
    <row r="472">
      <c r="A472" s="27" t="inlineStr">
        <is>
          <t>exp_01</t>
        </is>
      </c>
      <c r="B472" s="112" t="inlineStr">
        <is>
          <t>Форма · вопросы анкеты · подсказка «что сюда входит»</t>
        </is>
      </c>
      <c r="C472" s="113" t="inlineStr">
        <is>
          <t>что сюда входит</t>
        </is>
      </c>
    </row>
    <row r="473">
      <c r="A473" s="27" t="inlineStr">
        <is>
          <t>exp_02</t>
        </is>
      </c>
      <c r="B473" s="112" t="inlineStr">
        <is>
          <t>Форма · вопросы анкеты · подсказка «что сюда входит»</t>
        </is>
      </c>
      <c r="C473" s="113" t="inlineStr">
        <is>
          <t>что сюда входит</t>
        </is>
      </c>
    </row>
    <row r="474">
      <c r="A474" s="27" t="inlineStr">
        <is>
          <t>exp_03</t>
        </is>
      </c>
      <c r="B474" s="112" t="inlineStr">
        <is>
          <t>Форма · вопросы анкеты · подсказка «что сюда входит»</t>
        </is>
      </c>
      <c r="C474" s="113" t="inlineStr">
        <is>
          <t>что сюда входит</t>
        </is>
      </c>
    </row>
    <row r="475">
      <c r="A475" s="27" t="inlineStr">
        <is>
          <t>rcd_01</t>
        </is>
      </c>
      <c r="B475" s="112" t="inlineStr">
        <is>
          <t>Полный отчёт</t>
        </is>
      </c>
      <c r="C475" s="113" t="inlineStr">
        <is>
          <t>Ваши условия труда по ТК РФ</t>
        </is>
      </c>
    </row>
    <row r="476">
      <c r="A476" s="27" t="inlineStr">
        <is>
          <t>rcd_02</t>
        </is>
      </c>
      <c r="B476" s="112" t="inlineStr">
        <is>
          <t>Полный отчёт</t>
        </is>
      </c>
      <c r="C476" s="113" t="inlineStr">
        <is>
          <t>Работая на себя, вы сами являетесь для себя работодателем. Если не заложить отпуск, больничные и выходные в стоимость часа, вы фактически будете оплачивать их из собственного кармана — работая в дни отдыха или жертвуя своим здоровьем ради сохранения дохода.</t>
        </is>
      </c>
    </row>
    <row r="477">
      <c r="A477" s="27" t="inlineStr">
        <is>
          <t>rcd_03</t>
        </is>
      </c>
      <c r="B477" s="112" t="inlineStr">
        <is>
          <t>Полный отчёт</t>
        </is>
      </c>
      <c r="C477" s="113" t="inlineStr">
        <is>
          <t>В расчёт заложены те же гарантии, что закон даёт наёмному работнику</t>
        </is>
      </c>
    </row>
    <row r="478">
      <c r="A478" s="27" t="inlineStr">
        <is>
          <t>rdn_01</t>
        </is>
      </c>
      <c r="B478" s="112" t="inlineStr">
        <is>
          <t>Полный отчёт</t>
        </is>
      </c>
      <c r="C478" s="113" t="inlineStr">
        <is>
          <t>Хотите удивлять клиентов крупными скидками</t>
        </is>
      </c>
      <c r="H478" s="296" t="inlineStr">
        <is>
          <t>УДАЛЕНО из HTML 06.08.2026: плашка «Хотите удивлять клиентов крупными скидками». Скидка сверх сетки — тема заложенного запаса, решается в анкете, а не текстом в отчёте</t>
        </is>
      </c>
    </row>
    <row r="479">
      <c r="A479" s="27" t="inlineStr">
        <is>
          <t>rgn_02</t>
        </is>
      </c>
      <c r="B479" s="112" t="inlineStr">
        <is>
          <t>Полный отчёт</t>
        </is>
      </c>
      <c r="C479" s="113" t="inlineStr">
        <is>
          <t>Просто математика</t>
        </is>
      </c>
    </row>
    <row r="480">
      <c r="A480" s="27" t="inlineStr">
        <is>
          <t>rpm_28</t>
        </is>
      </c>
      <c r="B480" s="228" t="inlineStr">
        <is>
          <t>НЕ ИСПОЛЬЗУЕТСЯ</t>
        </is>
      </c>
      <c r="C480" s="143" t="inlineStr">
        <is>
          <t>УДАЛЕНО из HTML (не используется в текущей вёрстке): Не оправдывайтесь — объясняйте</t>
        </is>
      </c>
    </row>
    <row r="481">
      <c r="A481" s="281" t="inlineStr">
        <is>
          <t>rpm_29</t>
        </is>
      </c>
      <c r="B481" s="289" t="inlineStr">
        <is>
          <t>Полный отчёт</t>
        </is>
      </c>
      <c r="C481" s="8" t="inlineStr">
        <is>
          <t>«Стоит столько, потому что</t>
        </is>
      </c>
      <c r="D481" s="279" t="n"/>
      <c r="E481" s="279" t="n"/>
      <c r="F481" s="279" t="n"/>
      <c r="G481" s="279" t="n"/>
      <c r="H481" s="280" t="inlineStr">
        <is>
          <t>УДАЛЕНО из HTML 06.08.2026: цитата «потому что». Блок 08 пересобран коротко, cardFin убран как материал для соцсетей</t>
        </is>
      </c>
    </row>
    <row r="482">
      <c r="A482" s="27" t="inlineStr">
        <is>
          <t>rpm_30</t>
        </is>
      </c>
      <c r="B482" s="228" t="inlineStr">
        <is>
          <t>НЕ ИСПОЛЬЗУЕТСЯ</t>
        </is>
      </c>
      <c r="C482" s="143" t="inlineStr">
        <is>
          <t>УДАЛЕНО из HTML (не используется в текущей вёрстке): Показывайте процесс, а не результат</t>
        </is>
      </c>
    </row>
    <row r="483">
      <c r="A483" s="27" t="inlineStr">
        <is>
          <t>rpm_31</t>
        </is>
      </c>
      <c r="B483" s="228" t="inlineStr">
        <is>
          <t>НЕ ИСПОЛЬЗУЕТСЯ</t>
        </is>
      </c>
      <c r="C483" s="143" t="inlineStr">
        <is>
          <t>УДАЛЕНО из HTML (не используется в текущей вёрстке): Снимите, как отбираете кадры из пятисот, как правите цвет. Клиент впервые увидит работу, за которую платит</t>
        </is>
      </c>
    </row>
    <row r="484">
      <c r="A484" s="27" t="inlineStr">
        <is>
          <t>rpm_32</t>
        </is>
      </c>
      <c r="B484" s="228" t="inlineStr">
        <is>
          <t>НЕ ИСПОЛЬЗУЕТСЯ</t>
        </is>
      </c>
      <c r="C484" s="143" t="inlineStr">
        <is>
          <t>УДАЛЕНО из HTML (не используется в текущей вёрстке): Называйте цифры</t>
        </is>
      </c>
    </row>
    <row r="485">
      <c r="A485" s="27" t="inlineStr">
        <is>
          <t>rpm_33</t>
        </is>
      </c>
      <c r="B485" s="228" t="inlineStr">
        <is>
          <t>НЕ ИСПОЛЬЗУЕТСЯ</t>
        </is>
      </c>
      <c r="C485" s="143" t="inlineStr">
        <is>
          <t>УДАЛЕНО из HTML (не используется в текущей вёрстке): Абстрактное «это долго» не работает. Работает «на одну съёмку уходит столько-то часов» — конкретика вызывает доверие</t>
        </is>
      </c>
    </row>
    <row r="486">
      <c r="A486" s="27" t="inlineStr">
        <is>
          <t>rpm_34</t>
        </is>
      </c>
      <c r="B486" s="228" t="inlineStr">
        <is>
          <t>НЕ ИСПОЛЬЗУЕТСЯ</t>
        </is>
      </c>
      <c r="C486" s="143" t="inlineStr">
        <is>
          <t>УДАЛЕНО из HTML (не используется в текущей вёрстке): Говорите регулярно, а не в ответ на торг</t>
        </is>
      </c>
    </row>
    <row r="487">
      <c r="A487" s="27" t="inlineStr">
        <is>
          <t>rpm_35</t>
        </is>
      </c>
      <c r="B487" s="228" t="inlineStr">
        <is>
          <t>НЕ ИСПОЛЬЗУЕТСЯ</t>
        </is>
      </c>
      <c r="C487" s="143" t="inlineStr">
        <is>
          <t>УДАЛЕНО из HTML (не используется в текущей вёрстке): Если объяснять цену только когда просят скидку, это звучит как отговорка. Если рассказывать постоянно — как экспертиза</t>
        </is>
      </c>
    </row>
    <row r="488">
      <c r="A488" s="27" t="inlineStr">
        <is>
          <t>rh2_20</t>
        </is>
      </c>
      <c r="B488" s="112" t="inlineStr">
        <is>
          <t>Полный отчёт</t>
        </is>
      </c>
      <c r="C488" s="113" t="inlineStr">
        <is>
          <t>Четыре цифры, которые стоит запомнить</t>
        </is>
      </c>
    </row>
    <row r="489">
      <c r="A489" s="27" t="inlineStr">
        <is>
          <t>rhi_20</t>
        </is>
      </c>
      <c r="B489" s="112" t="inlineStr">
        <is>
          <t>Полный отчёт</t>
        </is>
      </c>
      <c r="C489" s="113" t="inlineStr">
        <is>
          <t>Они выведены из вашего расчёта и пригодятся в любом разговоре о деньгах</t>
        </is>
      </c>
    </row>
    <row r="490">
      <c r="A490" s="27" t="inlineStr">
        <is>
          <t>rh2_21</t>
        </is>
      </c>
      <c r="B490" s="112" t="inlineStr">
        <is>
          <t>Полный отчёт</t>
        </is>
      </c>
      <c r="C490" s="113" t="inlineStr">
        <is>
          <t>Скидка</t>
        </is>
      </c>
    </row>
    <row r="491">
      <c r="A491" s="27" t="inlineStr">
        <is>
          <t>q_04b</t>
        </is>
      </c>
      <c r="B491" s="112" t="inlineStr">
        <is>
          <t>Форма · вопросы анкеты</t>
        </is>
      </c>
      <c r="C491" s="113" t="inlineStr">
        <is>
          <t>Сколько обработанных кадров вы отдаёте с одного часа съёмки?</t>
        </is>
      </c>
    </row>
    <row r="492">
      <c r="A492" s="27" t="inlineStr">
        <is>
          <t>qd_04b</t>
        </is>
      </c>
      <c r="B492" s="112" t="inlineStr">
        <is>
          <t>Форма · вопросы анкеты</t>
        </is>
      </c>
      <c r="C492" s="113" t="inlineStr">
        <is>
          <t>В среднем, после отбора и цветокоррекции. Нужно, чтобы посчитать цену одного кадра.</t>
        </is>
      </c>
    </row>
    <row r="493">
      <c r="A493" s="27" t="inlineStr">
        <is>
          <t>un_03b</t>
        </is>
      </c>
      <c r="B493" s="112" t="inlineStr">
        <is>
          <t>Форма · вопросы анкеты</t>
        </is>
      </c>
      <c r="C493" s="113" t="inlineStr">
        <is>
          <t>кадров/час</t>
        </is>
      </c>
    </row>
    <row r="494">
      <c r="A494" s="27" t="inlineStr">
        <is>
          <t>more_01</t>
        </is>
      </c>
      <c r="B494" s="112" t="inlineStr">
        <is>
          <t>Форма · блок оплаты (paywall)</t>
        </is>
      </c>
      <c r="C494" s="113" t="inlineStr">
        <is>
          <t>Что ещё внутри
Полная раскладка часа.</t>
        </is>
      </c>
    </row>
    <row r="495">
      <c r="A495" s="27" t="inlineStr">
        <is>
          <t>rsc_01</t>
        </is>
      </c>
      <c r="B495" s="112" t="inlineStr">
        <is>
          <t>Полный отчёт</t>
        </is>
      </c>
      <c r="C495" s="113" t="inlineStr">
        <is>
          <t>Снижая цену для заказчика, разницу вы покрываете собственным здоровьем, отношениями с семьёй и своей финансовой устойчивостью.</t>
        </is>
      </c>
    </row>
    <row r="496">
      <c r="A496" s="27" t="inlineStr">
        <is>
          <t>rsc_02</t>
        </is>
      </c>
      <c r="B496" s="112" t="inlineStr">
        <is>
          <t>Полный отчёт</t>
        </is>
      </c>
      <c r="C496" s="113" t="inlineStr">
        <is>
          <t>Через два-три года такой работы это чаще всего заканчивается выгоранием.</t>
        </is>
      </c>
    </row>
    <row r="497">
      <c r="A497" s="281" t="inlineStr">
        <is>
          <t>rfn_01</t>
        </is>
      </c>
      <c r="B497" s="288" t="inlineStr">
        <is>
          <t>Полный отчёт</t>
        </is>
      </c>
      <c r="C497" s="8" t="inlineStr">
        <is>
          <t>Фотографы, вы офигели? Ваша работа стоит 10 тысяч</t>
        </is>
      </c>
      <c r="D497" s="279" t="n"/>
      <c r="E497" s="279" t="n"/>
      <c r="F497" s="279" t="n"/>
      <c r="G497" s="279" t="n"/>
      <c r="H497" s="280" t="inlineStr">
        <is>
          <t>УДАЛЕНО из HTML 06.08.2026: блок «Фотографы, вы офигели?». Блок 08 пересобран коротко, cardFin убран как материал для соцсетей</t>
        </is>
      </c>
    </row>
    <row r="498">
      <c r="A498" s="281" t="inlineStr">
        <is>
          <t>rfn_02</t>
        </is>
      </c>
      <c r="B498" s="288" t="inlineStr">
        <is>
          <t>Полный отчёт</t>
        </is>
      </c>
      <c r="C498" s="8" t="inlineStr">
        <is>
          <t>Теперь у вас есть чем аргументировать свою цену. Не потому что вы так решили, а потому что вы посчитали свою юнит-экономику.</t>
        </is>
      </c>
      <c r="D498" s="279" t="n"/>
      <c r="E498" s="279" t="n"/>
      <c r="F498" s="279" t="n"/>
      <c r="G498" s="279" t="n"/>
      <c r="H498" s="280" t="inlineStr">
        <is>
          <t>УДАЛЕНО из HTML 06.08.2026: блок «Фотографы, вы офигели?». Блок 08 пересобран коротко, cardFin убран как материал для соцсетей</t>
        </is>
      </c>
    </row>
    <row r="499">
      <c r="A499" s="281" t="inlineStr">
        <is>
          <t>rfn_03</t>
        </is>
      </c>
      <c r="B499" s="288" t="inlineStr">
        <is>
          <t>Полный отчёт</t>
        </is>
      </c>
      <c r="C499" s="8" t="inlineStr">
        <is>
          <t>Как часто вы слышите такое от заказчиков?</t>
        </is>
      </c>
      <c r="D499" s="279" t="n"/>
      <c r="E499" s="279" t="n"/>
      <c r="F499" s="279" t="n"/>
      <c r="G499" s="279" t="n"/>
      <c r="H499" s="280" t="inlineStr">
        <is>
          <t>УДАЛЕНО из HTML 06.08.2026: блок «Фотографы, вы офигели?». Блок 08 пересобран коротко, cardFin убран как материал для соцсетей</t>
        </is>
      </c>
    </row>
    <row r="500">
      <c r="A500" s="27" t="inlineStr">
        <is>
          <t>rfn_04</t>
        </is>
      </c>
      <c r="B500" s="228" t="inlineStr">
        <is>
          <t>НЕ ИСПОЛЬЗУЕТСЯ</t>
        </is>
      </c>
      <c r="C500" s="143" t="inlineStr">
        <is>
          <t>УДАЛЕНО из HTML: убран кикер «Знакомо?» — хук переписан, надстрочная подводка стала лишней</t>
        </is>
      </c>
    </row>
    <row r="501">
      <c r="A501" s="281" t="inlineStr">
        <is>
          <t>rfn_05</t>
        </is>
      </c>
      <c r="B501" s="288" t="inlineStr">
        <is>
          <t>Полный отчёт</t>
        </is>
      </c>
      <c r="C501" s="8" t="inlineStr">
        <is>
          <t>Клиент не плохой — он просто не видит всей картины. Оборудование, обработка, административное время и рабочие паузы для него не существуют, пока вы о них не рассказали.</t>
        </is>
      </c>
      <c r="D501" s="279" t="n"/>
      <c r="E501" s="279" t="n"/>
      <c r="F501" s="279" t="n"/>
      <c r="G501" s="279" t="n"/>
      <c r="H501" s="280" t="inlineStr">
        <is>
          <t>УДАЛЕНО из HTML 06.08.2026: блок «Фотографы, вы офигели?». Блок 08 пересобран коротко, cardFin убран как материал для соцсетей</t>
        </is>
      </c>
    </row>
    <row r="502">
      <c r="A502" s="121" t="inlineStr">
        <is>
          <t>rrc_00</t>
        </is>
      </c>
      <c r="B502" s="284" t="inlineStr">
        <is>
          <t>Полный отчёт</t>
        </is>
      </c>
      <c r="C502" s="113" t="inlineStr">
        <is>
          <t>Рекомендуем</t>
        </is>
      </c>
      <c r="D502" s="249" t="n"/>
      <c r="E502" s="249" t="n"/>
      <c r="F502" s="249" t="n"/>
      <c r="G502" s="249" t="n"/>
      <c r="H502" s="285" t="inlineStr">
        <is>
          <t>ПЕРЕНЕСЕНО в анкету, блок 15 «Запас прочности»</t>
        </is>
      </c>
    </row>
    <row r="503">
      <c r="A503" s="121" t="inlineStr">
        <is>
          <t>rrc_01</t>
        </is>
      </c>
      <c r="B503" s="284" t="inlineStr">
        <is>
          <t>Полный отчёт</t>
        </is>
      </c>
      <c r="C503" s="113" t="inlineStr">
        <is>
          <t>Два запаса, которые стоит заложить в цену</t>
        </is>
      </c>
      <c r="D503" s="249" t="n"/>
      <c r="E503" s="249" t="n"/>
      <c r="F503" s="249" t="n"/>
      <c r="G503" s="249" t="n"/>
      <c r="H503" s="285" t="inlineStr">
        <is>
          <t>ПЕРЕНЕСЕНО в анкету, блок 15 «Запас прочности»</t>
        </is>
      </c>
    </row>
    <row r="504">
      <c r="A504" s="121" t="inlineStr">
        <is>
          <t>rrc_02</t>
        </is>
      </c>
      <c r="B504" s="284" t="inlineStr">
        <is>
          <t>Полный отчёт</t>
        </is>
      </c>
      <c r="C504" s="113" t="inlineStr">
        <is>
          <t>В основной расчёт они не входят — там только то, без чего работа не состоится. Здесь считаем, во что обойдётся запас прочности</t>
        </is>
      </c>
      <c r="D504" s="249" t="n"/>
      <c r="E504" s="249" t="n"/>
      <c r="F504" s="249" t="n"/>
      <c r="G504" s="249" t="n"/>
      <c r="H504" s="285" t="inlineStr">
        <is>
          <t>ПЕРЕНЕСЕНО в анкету, блок 15 «Запас прочности»</t>
        </is>
      </c>
    </row>
    <row r="505">
      <c r="A505" s="121" t="inlineStr">
        <is>
          <t>rrc_03</t>
        </is>
      </c>
      <c r="B505" s="284" t="inlineStr">
        <is>
          <t>Полный отчёт</t>
        </is>
      </c>
      <c r="C505" s="113" t="inlineStr">
        <is>
          <t>Запас 1</t>
        </is>
      </c>
      <c r="D505" s="249" t="n"/>
      <c r="E505" s="249" t="n"/>
      <c r="F505" s="249" t="n"/>
      <c r="G505" s="249" t="n"/>
      <c r="H505" s="285" t="inlineStr">
        <is>
          <t>ПЕРЕНЕСЕНО в анкету, блок 15 «Запас прочности»</t>
        </is>
      </c>
    </row>
    <row r="506">
      <c r="A506" s="121" t="inlineStr">
        <is>
          <t>rrc_04</t>
        </is>
      </c>
      <c r="B506" s="284" t="inlineStr">
        <is>
          <t>Полный отчёт</t>
        </is>
      </c>
      <c r="C506" s="113" t="inlineStr">
        <is>
          <t>Фонд развития</t>
        </is>
      </c>
      <c r="D506" s="249" t="n"/>
      <c r="E506" s="249" t="n"/>
      <c r="F506" s="249" t="n"/>
      <c r="G506" s="249" t="n"/>
      <c r="H506" s="285" t="inlineStr">
        <is>
          <t>ПЕРЕНЕСЕНО в анкету, блок 15 «Запас прочности»</t>
        </is>
      </c>
    </row>
    <row r="507">
      <c r="A507" s="121" t="inlineStr">
        <is>
          <t>rrc_05</t>
        </is>
      </c>
      <c r="B507" s="284" t="inlineStr">
        <is>
          <t>Полный отчёт</t>
        </is>
      </c>
      <c r="C507" s="113" t="inlineStr">
        <is>
          <t>Амортизация в расчёте покрывает только замену того, что уже есть: камера вышла из строя — купили такую же. На новое стекло, второй корпус или курс денег в этой схеме нет. Фонд развития — это процент выручки, который вы откладываете заранее, чтобы расти без кредита.</t>
        </is>
      </c>
      <c r="D507" s="249" t="n"/>
      <c r="E507" s="249" t="n"/>
      <c r="F507" s="249" t="n"/>
      <c r="G507" s="249" t="n"/>
      <c r="H507" s="285" t="inlineStr">
        <is>
          <t>ПЕРЕНЕСЕНО в анкету, блок 15 «Запас прочности»</t>
        </is>
      </c>
    </row>
    <row r="508">
      <c r="A508" s="121" t="inlineStr">
        <is>
          <t>rrc_06</t>
        </is>
      </c>
      <c r="B508" s="284" t="inlineStr">
        <is>
          <t>Полный отчёт</t>
        </is>
      </c>
      <c r="C508" s="113" t="inlineStr">
        <is>
          <t>Малый бизнес реинвестирует 20–30% чистой прибыли. Для соло-специалиста это неприменимо: прибыль здесь и есть ваша зарплата. Поэтому считаем от выручки — как рекламу.</t>
        </is>
      </c>
      <c r="D508" s="249" t="n"/>
      <c r="E508" s="249" t="n"/>
      <c r="F508" s="249" t="n"/>
      <c r="G508" s="249" t="n"/>
      <c r="H508" s="285" t="inlineStr">
        <is>
          <t>ПЕРЕНЕСЕНО в анкету, блок 15 «Запас прочности»</t>
        </is>
      </c>
    </row>
    <row r="509">
      <c r="A509" s="121" t="inlineStr">
        <is>
          <t>rrc_07</t>
        </is>
      </c>
      <c r="B509" s="284" t="inlineStr">
        <is>
          <t>Полный отчёт</t>
        </is>
      </c>
      <c r="C509" s="113" t="inlineStr">
        <is>
          <t>Сколько откладывать, % от выручки</t>
        </is>
      </c>
      <c r="D509" s="249" t="n"/>
      <c r="E509" s="249" t="n"/>
      <c r="F509" s="249" t="n"/>
      <c r="G509" s="249" t="n"/>
      <c r="H509" s="285" t="inlineStr">
        <is>
          <t>ПЕРЕНЕСЕНО в анкету, блок 15 «Запас прочности»</t>
        </is>
      </c>
    </row>
    <row r="510">
      <c r="A510" s="121" t="inlineStr">
        <is>
          <t>rrc_08</t>
        </is>
      </c>
      <c r="B510" s="284" t="inlineStr">
        <is>
          <t>Полный отчёт</t>
        </is>
      </c>
      <c r="C510" s="113" t="inlineStr">
        <is>
          <t>Запас 2</t>
        </is>
      </c>
      <c r="D510" s="249" t="n"/>
      <c r="E510" s="249" t="n"/>
      <c r="F510" s="249" t="n"/>
      <c r="G510" s="249" t="n"/>
      <c r="H510" s="285" t="inlineStr">
        <is>
          <t>ПЕРЕНЕСЕНО в анкету, блок 15 «Запас прочности»</t>
        </is>
      </c>
    </row>
    <row r="511">
      <c r="A511" s="121" t="inlineStr">
        <is>
          <t>rrc_09</t>
        </is>
      </c>
      <c r="B511" s="284" t="inlineStr">
        <is>
          <t>Полный отчёт</t>
        </is>
      </c>
      <c r="C511" s="113" t="inlineStr">
        <is>
          <t>Запас на скидку</t>
        </is>
      </c>
      <c r="D511" s="249" t="n"/>
      <c r="E511" s="249" t="n"/>
      <c r="F511" s="249" t="n"/>
      <c r="G511" s="249" t="n"/>
      <c r="H511" s="285" t="inlineStr">
        <is>
          <t>ПЕРЕНЕСЕНО в анкету, блок 15 «Запас прочности»</t>
        </is>
      </c>
    </row>
    <row r="512">
      <c r="A512" s="121" t="inlineStr">
        <is>
          <t>rrc_10</t>
        </is>
      </c>
      <c r="B512" s="284" t="inlineStr">
        <is>
          <t>Полный отчёт</t>
        </is>
      </c>
      <c r="C512" s="113" t="inlineStr">
        <is>
          <t>Скидка за объём выше уже посчитана — она берётся из накладных и ваш доход не трогает. Но если вы хотите иметь право дать скидку просто так, её нужно заложить в цену заранее. Внимание: чтобы после скидки 10% остаться при своих, поднять цену надо на 11,1%, а не на 10%.</t>
        </is>
      </c>
      <c r="D512" s="249" t="n"/>
      <c r="E512" s="249" t="n"/>
      <c r="F512" s="249" t="n"/>
      <c r="G512" s="249" t="n"/>
      <c r="H512" s="285" t="inlineStr">
        <is>
          <t>ПЕРЕНЕСЕНО в анкету, блок 15 «Запас прочности»</t>
        </is>
      </c>
    </row>
    <row r="513">
      <c r="A513" s="121" t="inlineStr">
        <is>
          <t>rrc_11</t>
        </is>
      </c>
      <c r="B513" s="284" t="inlineStr">
        <is>
          <t>Полный отчёт</t>
        </is>
      </c>
      <c r="C513" s="113" t="inlineStr">
        <is>
          <t>Формула: новая цена = базовая ÷ (1 − скидка). Делить, а не умножать — в этом вся разница.</t>
        </is>
      </c>
      <c r="D513" s="249" t="n"/>
      <c r="E513" s="249" t="n"/>
      <c r="F513" s="249" t="n"/>
      <c r="G513" s="249" t="n"/>
      <c r="H513" s="285" t="inlineStr">
        <is>
          <t>ПЕРЕНЕСЕНО в анкету, блок 15 «Запас прочности»</t>
        </is>
      </c>
    </row>
    <row r="514">
      <c r="A514" s="121" t="inlineStr">
        <is>
          <t>rrc_12</t>
        </is>
      </c>
      <c r="B514" s="284" t="inlineStr">
        <is>
          <t>Полный отчёт</t>
        </is>
      </c>
      <c r="C514" s="113" t="inlineStr">
        <is>
          <t>Максимальная скидка, которую хотите давать</t>
        </is>
      </c>
      <c r="D514" s="249" t="n"/>
      <c r="E514" s="249" t="n"/>
      <c r="F514" s="249" t="n"/>
      <c r="G514" s="249" t="n"/>
      <c r="H514" s="285" t="inlineStr">
        <is>
          <t>ПЕРЕНЕСЕНО в анкету, блок 15 «Запас прочности»</t>
        </is>
      </c>
    </row>
    <row r="515">
      <c r="A515" s="27" t="inlineStr">
        <is>
          <t>bt_02</t>
        </is>
      </c>
      <c r="B515" s="112" t="inlineStr">
        <is>
          <t>Форма · шапка</t>
        </is>
      </c>
      <c r="C515" s="113" t="inlineStr">
        <is>
          <t>твоя юнит-экономика</t>
        </is>
      </c>
    </row>
    <row r="516">
      <c r="A516" s="27" t="inlineStr">
        <is>
          <t>rlb_03</t>
        </is>
      </c>
      <c r="B516" s="112" t="inlineStr">
        <is>
          <t>Полный отчёт</t>
        </is>
      </c>
      <c r="C516" s="113" t="inlineStr">
        <is>
          <t>Фактическая стоимость вашего часа работы — {747 ₽/ч}</t>
        </is>
      </c>
    </row>
    <row r="517">
      <c r="A517" s="27" t="inlineStr">
        <is>
          <t>rsc_h1</t>
        </is>
      </c>
      <c r="B517" s="112" t="inlineStr">
        <is>
          <t>Полный отчёт</t>
        </is>
      </c>
      <c r="C517" s="143" t="inlineStr">
        <is>
          <t>УДАЛЕНО из HTML: блок «Как мы считаем» убран, плашки объединены с условиями труда — Как мы считаем</t>
        </is>
      </c>
    </row>
    <row r="518">
      <c r="A518" s="27" t="inlineStr">
        <is>
          <t>rsc_p1</t>
        </is>
      </c>
      <c r="B518" s="112" t="inlineStr">
        <is>
          <t>Полный отчёт</t>
        </is>
      </c>
      <c r="C518" s="143" t="inlineStr">
        <is>
          <t>УДАЛЕНО из HTML: блок «Как мы считаем» убран, плашки объединены с условиями труда — Мы опираемся на производственный календарь и нормы Трудового кодекса — те же условия, на которые имеет право любой наёмный сотрудник.</t>
        </is>
      </c>
    </row>
    <row r="519">
      <c r="A519" s="27" t="inlineStr">
        <is>
          <t>rtp_01</t>
        </is>
      </c>
      <c r="B519" s="112" t="inlineStr">
        <is>
          <t>Полный отчёт</t>
        </is>
      </c>
      <c r="C519" s="143" t="inlineStr">
        <is>
          <t>УДАЛЕНО из HTML: блок «Как мы считаем» убран, плашки объединены с условиями труда — Мы считаем по норме</t>
        </is>
      </c>
    </row>
    <row r="520">
      <c r="A520" s="27" t="inlineStr">
        <is>
          <t>rsm_01</t>
        </is>
      </c>
      <c r="B520" s="112" t="inlineStr">
        <is>
          <t>Полный отчёт</t>
        </is>
      </c>
      <c r="C520" s="143" t="inlineStr">
        <is>
          <t>УДАЛЕНО из HTML: блок «Как мы считаем» убран, плашки объединены с условиями труда — официальные условия труда, признанные государством нормой</t>
        </is>
      </c>
    </row>
    <row r="521">
      <c r="A521" s="27" t="inlineStr">
        <is>
          <t>rtp_02</t>
        </is>
      </c>
      <c r="B521" s="112" t="inlineStr">
        <is>
          <t>Полный отчёт</t>
        </is>
      </c>
      <c r="C521" s="143" t="inlineStr">
        <is>
          <t>УДАЛЕНО из HTML: блок «Как мы считаем» убран, плашки объединены с условиями труда — Право на отдых</t>
        </is>
      </c>
    </row>
    <row r="522">
      <c r="A522" s="27" t="inlineStr">
        <is>
          <t>rsm_02</t>
        </is>
      </c>
      <c r="B522" s="112" t="inlineStr">
        <is>
          <t>Полный отчёт</t>
        </is>
      </c>
      <c r="C522" s="143" t="inlineStr">
        <is>
          <t>УДАЛЕНО из HTML: блок «Как мы считаем» убран, плашки объединены с условиями труда — и один больничный — болеть никто не планирует, но мы заложили</t>
        </is>
      </c>
    </row>
    <row r="523">
      <c r="A523" s="27" t="inlineStr">
        <is>
          <t>rtp_03</t>
        </is>
      </c>
      <c r="B523" s="112" t="inlineStr">
        <is>
          <t>Полный отчёт</t>
        </is>
      </c>
      <c r="C523" s="143" t="inlineStr">
        <is>
          <t>УДАЛЕНО из HTML: блок «Как мы считаем» убран, плашки объединены с условиями труда — Рабочая неделя</t>
        </is>
      </c>
    </row>
    <row r="524">
      <c r="A524" s="27" t="inlineStr">
        <is>
          <t>rsm_03</t>
        </is>
      </c>
      <c r="B524" s="112" t="inlineStr">
        <is>
          <t>Полный отчёт</t>
        </is>
      </c>
      <c r="C524" s="143" t="inlineStr">
        <is>
          <t>УДАЛЕНО из HTML: блок «Как мы считаем» убран, плашки объединены с условиями труда — восемь часов в день, как у всех</t>
        </is>
      </c>
    </row>
    <row r="525">
      <c r="A525" s="27" t="inlineStr">
        <is>
          <t>rcd_t1</t>
        </is>
      </c>
      <c r="B525" s="112" t="inlineStr">
        <is>
          <t>Полный отчёт</t>
        </is>
      </c>
      <c r="C525" s="113" t="inlineStr">
        <is>
          <t>График работы</t>
        </is>
      </c>
    </row>
    <row r="526">
      <c r="A526" s="27" t="inlineStr">
        <is>
          <t>rcd_s1</t>
        </is>
      </c>
      <c r="B526" s="112" t="inlineStr">
        <is>
          <t>Полный отчёт</t>
        </is>
      </c>
      <c r="C526" s="113" t="inlineStr">
        <is>
          <t>Выходные и государственные праздники — вы не работаете</t>
        </is>
      </c>
    </row>
    <row r="527">
      <c r="A527" s="27" t="inlineStr">
        <is>
          <t>rcd_t2</t>
        </is>
      </c>
      <c r="B527" s="112" t="inlineStr">
        <is>
          <t>Полный отчёт</t>
        </is>
      </c>
      <c r="C527" s="113" t="inlineStr">
        <is>
          <t>Право на отдых</t>
        </is>
      </c>
    </row>
    <row r="528">
      <c r="A528" s="27" t="inlineStr">
        <is>
          <t>rcd_s2</t>
        </is>
      </c>
      <c r="B528" s="112" t="inlineStr">
        <is>
          <t>Полный отчёт</t>
        </is>
      </c>
      <c r="C528" s="113" t="inlineStr">
        <is>
          <t>Плюс 10 дней больничного — без потери дохода</t>
        </is>
      </c>
    </row>
    <row r="529">
      <c r="A529" s="27" t="inlineStr">
        <is>
          <t>rcd_t3</t>
        </is>
      </c>
      <c r="B529" s="112" t="inlineStr">
        <is>
          <t>Полный отчёт</t>
        </is>
      </c>
      <c r="C529" s="113" t="inlineStr">
        <is>
          <t>Рабочий день</t>
        </is>
      </c>
    </row>
    <row r="530">
      <c r="A530" s="27" t="inlineStr">
        <is>
          <t>rcd_s3</t>
        </is>
      </c>
      <c r="B530" s="112" t="inlineStr">
        <is>
          <t>Полный отчёт</t>
        </is>
      </c>
      <c r="C530" s="113" t="inlineStr">
        <is>
          <t>С перерывом на обед, а не «сколько получится»</t>
        </is>
      </c>
    </row>
    <row r="531">
      <c r="A531" s="27" t="inlineStr">
        <is>
          <t>rtr_h1</t>
        </is>
      </c>
      <c r="B531" s="112" t="inlineStr">
        <is>
          <t>Полный отчёт</t>
        </is>
      </c>
      <c r="C531" s="143" t="inlineStr">
        <is>
          <t>УДАЛЕНО из HTML: блок «Почему этому расчёту можно верить» убран — Почему этому расчёту можно верить</t>
        </is>
      </c>
    </row>
    <row r="532">
      <c r="A532" s="27" t="inlineStr">
        <is>
          <t>rtr_h2</t>
        </is>
      </c>
      <c r="B532" s="112" t="inlineStr">
        <is>
          <t>Полный отчёт</t>
        </is>
      </c>
      <c r="C532" s="143" t="inlineStr">
        <is>
          <t>УДАЛЕНО из HTML: блок «Почему этому расчёту можно верить» убран — Мы не сравнивали вас с рынком и не спрашивали, сколько берут коллеги. Всё посчитано из ваших ответов</t>
        </is>
      </c>
    </row>
    <row r="533">
      <c r="A533" s="27" t="inlineStr">
        <is>
          <t>rtr_t1</t>
        </is>
      </c>
      <c r="B533" s="112" t="inlineStr">
        <is>
          <t>Полный отчёт</t>
        </is>
      </c>
      <c r="C533" s="143" t="inlineStr">
        <is>
          <t>УДАЛЕНО из HTML: блок «Почему этому расчёту можно верить» убран — Считали от вашего дохода, а не от чужих цен</t>
        </is>
      </c>
    </row>
    <row r="534">
      <c r="A534" s="27" t="inlineStr">
        <is>
          <t>rtr_s1</t>
        </is>
      </c>
      <c r="B534" s="112" t="inlineStr">
        <is>
          <t>Полный отчёт</t>
        </is>
      </c>
      <c r="C534" s="143" t="inlineStr">
        <is>
          <t>УДАЛЕНО из HTML: блок «Почему этому расчёту можно верить» убран — Вы назвали сумму, которую хотите получать на руки. Дальше расчёт идёт назад: прибавили расходы, налоги и комиссию банка — и вышли на выручку, при которой эта сумма действительно останется у вас.</t>
        </is>
      </c>
    </row>
    <row r="535">
      <c r="A535" s="27" t="inlineStr">
        <is>
          <t>rtr_t2</t>
        </is>
      </c>
      <c r="B535" s="112" t="inlineStr">
        <is>
          <t>Полный отчёт</t>
        </is>
      </c>
      <c r="C535" s="143" t="inlineStr">
        <is>
          <t>УДАЛЕНО из HTML: блок «Почему этому расчёту можно верить» убран — Учли всё время, а не только съёмку</t>
        </is>
      </c>
    </row>
    <row r="536">
      <c r="A536" s="27" t="inlineStr">
        <is>
          <t>rtr_s2</t>
        </is>
      </c>
      <c r="B536" s="112" t="inlineStr">
        <is>
          <t>Полный отчёт</t>
        </is>
      </c>
      <c r="C536" s="143" t="inlineStr">
        <is>
          <t>УДАЛЕНО из HTML: блок «Почему этому расчёту можно верить» убран — В году 1 752 рабочих часа, а клиент оплачивает 229 — это 13%. Обработка, переписка, продвижение и учёт заложены в цену часа, потому что иначе их не оплатит никто.</t>
        </is>
      </c>
    </row>
    <row r="537">
      <c r="A537" s="27" t="inlineStr">
        <is>
          <t>rtr_t3</t>
        </is>
      </c>
      <c r="B537" s="112" t="inlineStr">
        <is>
          <t>Полный отчёт</t>
        </is>
      </c>
      <c r="C537" s="143" t="inlineStr">
        <is>
          <t>УДАЛЕНО из HTML: блок «Почему этому расчёту можно верить» убран — Взяли нормы закона, а не «сколько получится»</t>
        </is>
      </c>
    </row>
    <row r="538">
      <c r="A538" s="27" t="inlineStr">
        <is>
          <t>rtr_s3</t>
        </is>
      </c>
      <c r="B538" s="112" t="inlineStr">
        <is>
          <t>Полный отчёт</t>
        </is>
      </c>
      <c r="C538" s="143" t="inlineStr">
        <is>
          <t>УДАЛЕНО из HTML: блок «Почему этому расчёту можно верить» убран — Отпуск, больничный, выходные и восьмичасовой день — по Трудовому кодексу. В найме за них платит работодатель, у вас их стоимость должна быть в ставке.</t>
        </is>
      </c>
    </row>
    <row r="539">
      <c r="A539" s="27" t="inlineStr">
        <is>
          <t>rtr_t4</t>
        </is>
      </c>
      <c r="B539" s="112" t="inlineStr">
        <is>
          <t>Полный отчёт</t>
        </is>
      </c>
      <c r="C539" s="143" t="inlineStr">
        <is>
          <t>УДАЛЕНО из HTML: блок «Почему этому расчёту можно верить» убран — Проверили все семь налоговых режимов</t>
        </is>
      </c>
    </row>
    <row r="540">
      <c r="A540" s="27" t="inlineStr">
        <is>
          <t>rtr_s4</t>
        </is>
      </c>
      <c r="B540" s="112" t="inlineStr">
        <is>
          <t>Полный отчёт</t>
        </is>
      </c>
      <c r="C540" s="143" t="inlineStr">
        <is>
          <t>УДАЛЕНО из HTML: блок «Почему этому расчёту можно верить» убран — Ставки и лимиты 2026 года, взносы ИП, вычет взносов из налога. Каждый режим посчитан на вашей реальной выручке — разница между лучшим и худшим бывает в сотни тысяч за год.</t>
        </is>
      </c>
    </row>
    <row r="541">
      <c r="A541" s="27" t="inlineStr">
        <is>
          <t>rtr_f1</t>
        </is>
      </c>
      <c r="B541" s="112" t="inlineStr">
        <is>
          <t>Полный отчёт</t>
        </is>
      </c>
      <c r="C541" s="143" t="inlineStr">
        <is>
          <t>УДАЛЕНО из HTML: блок «Почему этому расчёту можно верить» убран — Каждая цифра в отчёте раскладывается на составные части — вы можете проверить любую и объяснить её клиенту.</t>
        </is>
      </c>
    </row>
    <row r="542">
      <c r="A542" s="27" t="inlineStr">
        <is>
          <t>rcw_h1</t>
        </is>
      </c>
      <c r="B542" s="112" t="inlineStr">
        <is>
          <t>Полный отчёт</t>
        </is>
      </c>
      <c r="C542" s="143" t="inlineStr">
        <is>
          <t>УДАЛЕНО из HTML: блок «А можно ли работать больше?» убран — дублировал блок 04 — А можно ли работать больше?</t>
        </is>
      </c>
    </row>
    <row r="543">
      <c r="A543" s="27" t="inlineStr">
        <is>
          <t>rcw_h2</t>
        </is>
      </c>
      <c r="B543" s="112" t="inlineStr">
        <is>
          <t>Полный отчёт</t>
        </is>
      </c>
      <c r="C543" s="143" t="inlineStr">
        <is>
          <t>УДАЛЕНО из HTML: блок «А можно ли работать больше?» убран — дублировал блок 04 — Конечно. Только сначала посмотрите, во что это обойдётся</t>
        </is>
      </c>
    </row>
    <row r="544">
      <c r="A544" s="27" t="inlineStr">
        <is>
          <t>rcw_t1</t>
        </is>
      </c>
      <c r="B544" s="112" t="inlineStr">
        <is>
          <t>Полный отчёт</t>
        </is>
      </c>
      <c r="C544" s="143" t="inlineStr">
        <is>
          <t>УДАЛЕНО из HTML: блок «А можно ли работать больше?» убран — дублировал блок 04 — Сколько придётся работать</t>
        </is>
      </c>
    </row>
    <row r="545">
      <c r="A545" s="27" t="inlineStr">
        <is>
          <t>rcw_s1</t>
        </is>
      </c>
      <c r="B545" s="112" t="inlineStr">
        <is>
          <t>Полный отчёт</t>
        </is>
      </c>
      <c r="C545" s="143" t="inlineStr">
        <is>
          <t>УДАЛЕНО из HTML: блок «А можно ли работать больше?» убран — дублировал блок 04 — рабочих дней в году вместо 219, чтобы выйти на тот же доход по текущей ставке</t>
        </is>
      </c>
    </row>
    <row r="546">
      <c r="A546" s="27" t="inlineStr">
        <is>
          <t>rcw_t2</t>
        </is>
      </c>
      <c r="B546" s="112" t="inlineStr">
        <is>
          <t>Полный отчёт</t>
        </is>
      </c>
      <c r="C546" s="143" t="inlineStr">
        <is>
          <t>УДАЛЕНО из HTML: блок «А можно ли работать больше?» убран — дублировал блок 04 — Что останется на отдых</t>
        </is>
      </c>
    </row>
    <row r="547">
      <c r="A547" s="27" t="inlineStr">
        <is>
          <t>rcw_s2</t>
        </is>
      </c>
      <c r="B547" s="112" t="inlineStr">
        <is>
          <t>Полный отчёт</t>
        </is>
      </c>
      <c r="C547" s="143" t="inlineStr">
        <is>
          <t>УДАЛЕНО из HTML: блок «А можно ли работать больше?» убран — дублировал блок 04 — выходных за весь год вместо 146 — без отпуска и без права заболеть</t>
        </is>
      </c>
    </row>
    <row r="548">
      <c r="A548" s="27" t="inlineStr">
        <is>
          <t>rcw_t3</t>
        </is>
      </c>
      <c r="B548" s="112" t="inlineStr">
        <is>
          <t>Полный отчёт</t>
        </is>
      </c>
      <c r="C548" s="143" t="inlineStr">
        <is>
          <t>УДАЛЕНО из HTML: блок «А можно ли работать больше?» убран — дублировал блок 04 — Длина рабочего дня</t>
        </is>
      </c>
    </row>
    <row r="549">
      <c r="A549" s="27" t="inlineStr">
        <is>
          <t>rcw_s3</t>
        </is>
      </c>
      <c r="B549" s="112" t="inlineStr">
        <is>
          <t>Полный отчёт</t>
        </is>
      </c>
      <c r="C549" s="143" t="inlineStr">
        <is>
          <t>УДАЛЕНО из HTML: блок «А можно ли работать больше?» убран — дублировал блок 04 — часов в день вместо восьми, если сохранить нынешний график</t>
        </is>
      </c>
    </row>
    <row r="550">
      <c r="A550" s="27" t="inlineStr">
        <is>
          <t>rcw_note</t>
        </is>
      </c>
      <c r="B550" s="112" t="inlineStr">
        <is>
          <t>Полный отчёт</t>
        </is>
      </c>
      <c r="C550" s="143" t="inlineStr">
        <is>
          <t>УДАЛЕНО из HTML: блок «А можно ли работать больше?» убран — дублировал блок 04 — Объём упирается в календарь: в сутках 24 часа, и это единственный ресурс, который нельзя купить. Цена такого графика — здоровье, отношения и запас прочности. Ставку поднять можно в любой момент, количество часов — нет.</t>
        </is>
      </c>
    </row>
    <row r="551">
      <c r="A551" s="27" t="inlineStr">
        <is>
          <t>rbd_h1</t>
        </is>
      </c>
      <c r="B551" s="112" t="inlineStr">
        <is>
          <t>Полный отчёт</t>
        </is>
      </c>
      <c r="C551" s="143" t="inlineStr">
        <is>
          <t>УДАЛЕНО из HTML: блок «Как распределяется бюджет» со столбцами убран, название перешло блоку 01 — Как распределяется бюджет</t>
        </is>
      </c>
    </row>
    <row r="552">
      <c r="A552" s="27" t="inlineStr">
        <is>
          <t>rbd_h2</t>
        </is>
      </c>
      <c r="B552" s="112" t="inlineStr">
        <is>
          <t>Полный отчёт</t>
        </is>
      </c>
      <c r="C552" s="143" t="inlineStr">
        <is>
          <t>УДАЛЕНО из HTML: блок «Как распределяется бюджет» со столбцами убран, название перешло блоку 01 — Всё, что стоит за одной съёмкой, делится на две части. Временные затраты — часы на сам заказ и на работу, без которой заказов просто не будет: поиск клиентов, переписка, отчётность. Финансовые затраты — вложения в дело: техника, обучение, реклама, налоги. Ниже видно, сколько занимает каждая часть.</t>
        </is>
      </c>
    </row>
    <row r="553">
      <c r="A553" s="27" t="inlineStr">
        <is>
          <t>rbd_t1</t>
        </is>
      </c>
      <c r="B553" s="112" t="inlineStr">
        <is>
          <t>Полный отчёт</t>
        </is>
      </c>
      <c r="C553" s="143" t="inlineStr">
        <is>
          <t>УДАЛЕНО из HTML: блок «Как распределяется бюджет» со столбцами убран, название перешло блоку 01 — Ваши временные затраты</t>
        </is>
      </c>
    </row>
    <row r="554">
      <c r="A554" s="27" t="inlineStr">
        <is>
          <t>rbd_d1</t>
        </is>
      </c>
      <c r="B554" s="112" t="inlineStr">
        <is>
          <t>Полный отчёт</t>
        </is>
      </c>
      <c r="C554" s="143" t="inlineStr">
        <is>
          <t>УДАЛЕНО из HTML: подзаголовки групп убраны — Сколько часов в неделю уходит на каждый вид работы</t>
        </is>
      </c>
    </row>
    <row r="555">
      <c r="A555" s="27" t="inlineStr">
        <is>
          <t>rbd_t2</t>
        </is>
      </c>
      <c r="B555" s="112" t="inlineStr">
        <is>
          <t>Полный отчёт</t>
        </is>
      </c>
      <c r="C555" s="143" t="inlineStr">
        <is>
          <t>УДАЛЕНО из HTML: блок «Как распределяется бюджет» со столбцами убран, название перешло блоку 01 — Ваши финансовые затраты</t>
        </is>
      </c>
    </row>
    <row r="556">
      <c r="A556" s="27" t="inlineStr">
        <is>
          <t>rbd_d2</t>
        </is>
      </c>
      <c r="B556" s="112" t="inlineStr">
        <is>
          <t>Полный отчёт</t>
        </is>
      </c>
      <c r="C556" s="143" t="inlineStr">
        <is>
          <t>УДАЛЕНО из HTML: подзаголовки групп убраны — Сколько денег в месяц уходит помимо вашего дохода</t>
        </is>
      </c>
    </row>
    <row r="557">
      <c r="A557" s="27" t="inlineStr">
        <is>
          <t>rbd_v1</t>
        </is>
      </c>
      <c r="B557" s="112" t="inlineStr">
        <is>
          <t>Полный отчёт</t>
        </is>
      </c>
      <c r="C557" s="143" t="inlineStr">
        <is>
          <t>ЗАМЕНЕНО: статичные плашки стали интерактивными полосами (тексты в JS) — Продвижение и поиск заказов</t>
        </is>
      </c>
    </row>
    <row r="558">
      <c r="A558" s="27" t="inlineStr">
        <is>
          <t>rbd_w1</t>
        </is>
      </c>
      <c r="B558" s="112" t="inlineStr">
        <is>
          <t>Полный отчёт</t>
        </is>
      </c>
      <c r="C558" s="143" t="inlineStr">
        <is>
          <t>ЗАМЕНЕНО: статичные плашки стали интерактивными полосами (тексты в JS) — контент, рилсы, тексты, реклама, ответы в директ, портфолио, работа с отзывами</t>
        </is>
      </c>
    </row>
    <row r="559">
      <c r="A559" s="27" t="inlineStr">
        <is>
          <t>rbd_v2</t>
        </is>
      </c>
      <c r="B559" s="112" t="inlineStr">
        <is>
          <t>Полный отчёт</t>
        </is>
      </c>
      <c r="C559" s="143" t="inlineStr">
        <is>
          <t>ЗАМЕНЕНО: статичные плашки стали интерактивными полосами (тексты в JS) — Учёт и отчётность</t>
        </is>
      </c>
    </row>
    <row r="560">
      <c r="A560" s="27" t="inlineStr">
        <is>
          <t>rbd_w2</t>
        </is>
      </c>
      <c r="B560" s="112" t="inlineStr">
        <is>
          <t>Полный отчёт</t>
        </is>
      </c>
      <c r="C560" s="143" t="inlineStr">
        <is>
          <t>ЗАМЕНЕНО: статичные плашки стали интерактивными полосами (тексты в JS) — чеки по каждому поступлению, декларации, взносы по срокам, сверки, книга учёта</t>
        </is>
      </c>
    </row>
    <row r="561">
      <c r="A561" s="27" t="inlineStr">
        <is>
          <t>rbd_v3</t>
        </is>
      </c>
      <c r="B561" s="112" t="inlineStr">
        <is>
          <t>Полный отчёт</t>
        </is>
      </c>
      <c r="C561" s="143" t="inlineStr">
        <is>
          <t>ЗАМЕНЕНО: статичные плашки стали интерактивными полосами (тексты в JS) — Работа с клиентом</t>
        </is>
      </c>
    </row>
    <row r="562">
      <c r="A562" s="27" t="inlineStr">
        <is>
          <t>rbd_w3</t>
        </is>
      </c>
      <c r="B562" s="112" t="inlineStr">
        <is>
          <t>Полный отчёт</t>
        </is>
      </c>
      <c r="C562" s="143" t="inlineStr">
        <is>
          <t>ЗАМЕНЕНО: статичные плашки стали интерактивными полосами (тексты в JS) — ответы на заявки, согласование даты и референсов, договор, предоплата, напоминания</t>
        </is>
      </c>
    </row>
    <row r="563">
      <c r="A563" s="27" t="inlineStr">
        <is>
          <t>rbd_v4</t>
        </is>
      </c>
      <c r="B563" s="112" t="inlineStr">
        <is>
          <t>Полный отчёт</t>
        </is>
      </c>
      <c r="C563" s="143" t="inlineStr">
        <is>
          <t>ЗАМЕНЕНО: статичные плашки стали интерактивными полосами (тексты в JS) — Съёмка и обработка материала</t>
        </is>
      </c>
    </row>
    <row r="564">
      <c r="A564" s="27" t="inlineStr">
        <is>
          <t>rbd_w4</t>
        </is>
      </c>
      <c r="B564" s="112" t="inlineStr">
        <is>
          <t>Полный отчёт</t>
        </is>
      </c>
      <c r="C564" s="143" t="inlineStr">
        <is>
          <t>ЗАМЕНЕНО: статичные плашки стали интерактивными полосами (тексты в JS) — часы на площадке, отбор кадров, цвет, ретушь, экспорт, передача клиенту, правки</t>
        </is>
      </c>
    </row>
    <row r="565">
      <c r="A565" s="27" t="inlineStr">
        <is>
          <t>rbd_v5</t>
        </is>
      </c>
      <c r="B565" s="112" t="inlineStr">
        <is>
          <t>Полный отчёт</t>
        </is>
      </c>
      <c r="C565" s="143" t="inlineStr">
        <is>
          <t>ЗАМЕНЕНО: статичные плашки стали интерактивными полосами (тексты в JS) — Оборудование и ПО</t>
        </is>
      </c>
    </row>
    <row r="566">
      <c r="A566" s="27" t="inlineStr">
        <is>
          <t>rbd_w5</t>
        </is>
      </c>
      <c r="B566" s="112" t="inlineStr">
        <is>
          <t>Полный отчёт</t>
        </is>
      </c>
      <c r="C566" s="143" t="inlineStr">
        <is>
          <t>ЗАМЕНЕНО: статичные плашки стали интерактивными полосами (тексты в JS) — камера, оптика, свет, компьютер, плагины и подписки</t>
        </is>
      </c>
    </row>
    <row r="567">
      <c r="A567" s="27" t="inlineStr">
        <is>
          <t>rbd_v6</t>
        </is>
      </c>
      <c r="B567" s="112" t="inlineStr">
        <is>
          <t>Полный отчёт</t>
        </is>
      </c>
      <c r="C567" s="143" t="inlineStr">
        <is>
          <t>ЗАМЕНЕНО: статичные плашки стали интерактивными полосами (тексты в JS) — Содержание рабочего места</t>
        </is>
      </c>
    </row>
    <row r="568">
      <c r="A568" s="27" t="inlineStr">
        <is>
          <t>rbd_w6</t>
        </is>
      </c>
      <c r="B568" s="112" t="inlineStr">
        <is>
          <t>Полный отчёт</t>
        </is>
      </c>
      <c r="C568" s="143" t="inlineStr">
        <is>
          <t>ЗАМЕНЕНО: статичные плашки стали интерактивными полосами (тексты в JS) — аренда или доля квартиры, коммунальные, связь, мебель, ремонт</t>
        </is>
      </c>
    </row>
    <row r="569">
      <c r="A569" s="27" t="inlineStr">
        <is>
          <t>rbd_v7</t>
        </is>
      </c>
      <c r="B569" s="112" t="inlineStr">
        <is>
          <t>Полный отчёт</t>
        </is>
      </c>
      <c r="C569" s="143" t="inlineStr">
        <is>
          <t>ЗАМЕНЕНО: статичные плашки стали интерактивными полосами (тексты в JS) — Обучение и опыт</t>
        </is>
      </c>
    </row>
    <row r="570">
      <c r="A570" s="27" t="inlineStr">
        <is>
          <t>rbd_w7</t>
        </is>
      </c>
      <c r="B570" s="112" t="inlineStr">
        <is>
          <t>Полный отчёт</t>
        </is>
      </c>
      <c r="C570" s="143" t="inlineStr">
        <is>
          <t>ЗАМЕНЕНО: статичные плашки стали интерактивными полосами (тексты в JS) — курсы и сайт, разложенные по годам, — вложения, которые уже сделаны</t>
        </is>
      </c>
    </row>
    <row r="571">
      <c r="A571" s="27" t="inlineStr">
        <is>
          <t>rbd_v8</t>
        </is>
      </c>
      <c r="B571" s="112" t="inlineStr">
        <is>
          <t>Полный отчёт</t>
        </is>
      </c>
      <c r="C571" s="143" t="inlineStr">
        <is>
          <t>ЗАМЕНЕНО: статичные плашки стали интерактивными полосами (тексты в JS) — Реклама и продвижение</t>
        </is>
      </c>
    </row>
    <row r="572">
      <c r="A572" s="27" t="inlineStr">
        <is>
          <t>rbd_w8</t>
        </is>
      </c>
      <c r="B572" s="112" t="inlineStr">
        <is>
          <t>Полный отчёт</t>
        </is>
      </c>
      <c r="C572" s="143" t="inlineStr">
        <is>
          <t>ЗАМЕНЕНО: статичные плашки стали интерактивными полосами (тексты в JS) — директ, таргет, размещения, домен и хостинг сайта</t>
        </is>
      </c>
    </row>
    <row r="573">
      <c r="A573" s="27" t="inlineStr">
        <is>
          <t>rbd_v9</t>
        </is>
      </c>
      <c r="B573" s="112" t="inlineStr">
        <is>
          <t>Полный отчёт</t>
        </is>
      </c>
      <c r="C573" s="143" t="inlineStr">
        <is>
          <t>ЗАМЕНЕНО: статичные плашки стали интерактивными полосами (тексты в JS) — Налоги и банк</t>
        </is>
      </c>
    </row>
    <row r="574">
      <c r="A574" s="27" t="inlineStr">
        <is>
          <t>rbd_w9</t>
        </is>
      </c>
      <c r="B574" s="112" t="inlineStr">
        <is>
          <t>Полный отчёт</t>
        </is>
      </c>
      <c r="C574" s="143" t="inlineStr">
        <is>
          <t>ЗАМЕНЕНО: статичные плашки стали интерактивными полосами (тексты в JS) — налог по вашему режиму, страховые взносы, эквайринг с каждого платежа</t>
        </is>
      </c>
    </row>
    <row r="575">
      <c r="A575" s="27" t="inlineStr">
        <is>
          <t>rbd_hint</t>
        </is>
      </c>
      <c r="B575" s="112" t="inlineStr">
        <is>
          <t>Полный отчёт</t>
        </is>
      </c>
      <c r="C575" s="143" t="inlineStr">
        <is>
          <t>УДАЛЕНО из HTML: блок «Как распределяется бюджет» со столбцами убран, название перешло блоку 01 — Наведите на столбец — он раскроется и покажет, что входит</t>
        </is>
      </c>
    </row>
    <row r="576">
      <c r="A576" s="27" t="inlineStr">
        <is>
          <t>rbd_l1</t>
        </is>
      </c>
      <c r="B576" s="112" t="inlineStr">
        <is>
          <t>Полный отчёт</t>
        </is>
      </c>
      <c r="C576" s="143" t="inlineStr">
        <is>
          <t>УДАЛЕНО из HTML: блок «Как распределяется бюджет» со столбцами убран, название перешло блоку 01 — Временные затраты</t>
        </is>
      </c>
    </row>
    <row r="577">
      <c r="A577" s="27" t="inlineStr">
        <is>
          <t>rbd_l2</t>
        </is>
      </c>
      <c r="B577" s="112" t="inlineStr">
        <is>
          <t>Полный отчёт</t>
        </is>
      </c>
      <c r="C577" s="143" t="inlineStr">
        <is>
          <t>УДАЛЕНО из HTML: блок «Как распределяется бюджет» со столбцами убран, название перешло блоку 01 — Финансовые затраты</t>
        </is>
      </c>
    </row>
    <row r="578">
      <c r="A578" s="27" t="inlineStr">
        <is>
          <t>rbd_h2a</t>
        </is>
      </c>
      <c r="B578" s="112" t="inlineStr">
        <is>
          <t>Полный отчёт</t>
        </is>
      </c>
      <c r="C578" s="113" t="inlineStr">
        <is>
          <t>Клиент готов оплачивать только время, проведённое вами на съёмочной площадке, зачастую не подозревая о колоссальном объёме закулисной работы</t>
        </is>
      </c>
    </row>
    <row r="579">
      <c r="A579" s="27" t="inlineStr">
        <is>
          <t>rbd_h2b</t>
        </is>
      </c>
      <c r="B579" s="112" t="inlineStr">
        <is>
          <t>Полный отчёт</t>
        </is>
      </c>
      <c r="C579" s="143" t="inlineStr">
        <is>
          <t>Именно поэтому в стоимость съёмочного часа необходимо закладывать абсолютно все сопутствующие затраты</t>
        </is>
      </c>
    </row>
    <row r="580">
      <c r="A580" s="27" t="inlineStr">
        <is>
          <t>rbd_nh</t>
        </is>
      </c>
      <c r="B580" s="112" t="inlineStr">
        <is>
          <t>Полный отчёт</t>
        </is>
      </c>
      <c r="C580" s="113" t="inlineStr">
        <is>
          <t>Из чего складывается ваша цена</t>
        </is>
      </c>
    </row>
    <row r="581">
      <c r="A581" s="27" t="inlineStr">
        <is>
          <t>rbd_h2c</t>
        </is>
      </c>
      <c r="B581" s="112" t="inlineStr">
        <is>
          <t>Полный отчёт</t>
        </is>
      </c>
      <c r="C581" s="113" t="inlineStr">
        <is>
          <t>Часы на сам заказ и на работу, без которой заказов просто не будет: съёмка, обработка, переписка, продвижение, отчётность</t>
        </is>
      </c>
    </row>
    <row r="582">
      <c r="A582" s="27" t="inlineStr">
        <is>
          <t>rbd_h2d</t>
        </is>
      </c>
      <c r="B582" s="112" t="inlineStr">
        <is>
          <t>Полный отчёт</t>
        </is>
      </c>
      <c r="C582" s="113" t="inlineStr">
        <is>
          <t>Вложения в дело: техника и программы, обучение и опыт, реклама, аренда, налоги — уже потраченные или уходящие каждый месяц</t>
        </is>
      </c>
    </row>
    <row r="583">
      <c r="A583" s="27" t="inlineStr">
        <is>
          <t>rh_03</t>
        </is>
      </c>
      <c r="B583" s="112" t="inlineStr">
        <is>
          <t>Полный отчёт · шапка</t>
        </is>
      </c>
      <c r="C583" s="113" t="inlineStr">
        <is>
          <t>Мы оцифровали ваше творчество и превратили его в точную математическую модель, которая возвращает ценность каждому часу вашего таланта, времени и опыта — и защищает ваш доход от скрытых издержек и работы себе в убыток.</t>
        </is>
      </c>
    </row>
    <row r="584">
      <c r="A584" s="27" t="inlineStr">
        <is>
          <t>rbd_h2e</t>
        </is>
      </c>
      <c r="B584" s="112" t="inlineStr">
        <is>
          <t>Полный отчёт</t>
        </is>
      </c>
      <c r="C584" s="143" t="inlineStr">
        <is>
          <t>УДАЛЕНО из HTML: строка-связка убрана, роль перешла к подписям половин яблока — Все затраты можно разделить на две основные части:</t>
        </is>
      </c>
    </row>
    <row r="585">
      <c r="A585" s="27" t="inlineStr">
        <is>
          <t>rph_01</t>
        </is>
      </c>
      <c r="B585" s="112" t="inlineStr">
        <is>
          <t>Полный отчёт · опрос</t>
        </is>
      </c>
      <c r="C585" s="143" t="inlineStr">
        <is>
          <t>УДАЛЕНО из HTML: опрос в отчёт не переносим, он остаётся в форме — Расскажите, что вам нужно ещё</t>
        </is>
      </c>
    </row>
    <row r="586">
      <c r="A586" s="27" t="inlineStr">
        <is>
          <t>rph_02</t>
        </is>
      </c>
      <c r="B586" s="112" t="inlineStr">
        <is>
          <t>Полный отчёт · опрос</t>
        </is>
      </c>
      <c r="C586" s="143" t="inlineStr">
        <is>
          <t>УДАЛЕНО из HTML: опрос в отчёт не переносим, он остаётся в форме — Мы только начинаем и хотим делать то, что действительно пригодится. Отметьте сердечком, какое направление доработать в первую очередь — ваш совет решает.</t>
        </is>
      </c>
    </row>
    <row r="587">
      <c r="A587" s="27" t="inlineStr">
        <is>
          <t>rbd_h2c1</t>
        </is>
      </c>
      <c r="B587" s="112" t="inlineStr">
        <is>
          <t>Полный отчёт</t>
        </is>
      </c>
      <c r="C587" s="113" t="inlineStr">
        <is>
          <t>Ваше время</t>
        </is>
      </c>
    </row>
    <row r="588">
      <c r="A588" s="27" t="inlineStr">
        <is>
          <t>rbd_h2d1</t>
        </is>
      </c>
      <c r="B588" s="112" t="inlineStr">
        <is>
          <t>Полный отчёт</t>
        </is>
      </c>
      <c r="C588" s="113" t="inlineStr">
        <is>
          <t>Ваши деньги</t>
        </is>
      </c>
    </row>
    <row r="590">
      <c r="A590" s="279" t="inlineStr">
        <is>
          <t>—</t>
        </is>
      </c>
      <c r="B590" s="279" t="inlineStr">
        <is>
          <t>Полный отчёт, блок 02</t>
        </is>
      </c>
      <c r="C590" s="287" t="inlineStr">
        <is>
          <t>Расшифровка недели: «Вы работаете как фотограф», «Вы работаете как владелец бизнеса», «Не оплачивается», «За эти часы вам никто не платит, но они есть всегда»</t>
        </is>
      </c>
      <c r="D590" s="279" t="n"/>
      <c r="E590" s="279" t="n"/>
      <c r="F590" s="279" t="n"/>
      <c r="G590" s="279" t="n"/>
      <c r="H590" s="280" t="inlineStr">
        <is>
          <t>УДАЛЕНО из HTML 06.08.2026: дублировало легенду блока 01. Текстов не было в книге — жили только в JS</t>
        </is>
      </c>
    </row>
    <row r="592">
      <c r="A592" s="249" t="inlineStr">
        <is>
          <t>rlg_01</t>
        </is>
      </c>
      <c r="B592" s="249" t="inlineStr">
        <is>
          <t>Полный отчёт, блок «Логистика»</t>
        </is>
      </c>
      <c r="C592" s="275" t="inlineStr">
        <is>
          <t>Логистика в расчёт не входит</t>
        </is>
      </c>
    </row>
    <row r="593">
      <c r="A593" s="249" t="inlineStr">
        <is>
          <t>rlg_02</t>
        </is>
      </c>
      <c r="B593" s="249" t="inlineStr">
        <is>
          <t>Полный отчёт, блок «Логистика»</t>
        </is>
      </c>
      <c r="C593" s="275" t="inlineStr">
        <is>
          <t>Дорога, бензин, такси и парковка по закону ложатся на исполнителя. Определите зону, куда выезжаете по базовой цене, например в пределах города. За её границы добавляйте к смете стоимость дороги в обе стороны и время в пути. Час за рулём — это тоже рабочий час.</t>
        </is>
      </c>
    </row>
    <row r="594">
      <c r="A594" s="279" t="inlineStr">
        <is>
          <t>rlg_03</t>
        </is>
      </c>
      <c r="B594" s="279" t="inlineStr">
        <is>
          <t>Полный отчёт, блок «Логистика»</t>
        </is>
      </c>
      <c r="C594" s="287" t="inlineStr">
        <is>
          <t>Съёмка на другом конце города или выезд за город съедают часы и деньги, которых нет ни в одном расчёте. Либо считайте логистику отдельной строкой в счёте, либо закладывайте её в цену конкретного заказа — иначе она вычитается прямо из вашего дохода.</t>
        </is>
      </c>
      <c r="D594" s="279" t="n"/>
      <c r="E594" s="279" t="n"/>
      <c r="F594" s="279" t="n"/>
      <c r="G594" s="279" t="n"/>
      <c r="H594" s="280" t="inlineStr">
        <is>
          <t>УДАЛЕНО из HTML 06.08.2026: блок сокращён до короткого уведомления</t>
        </is>
      </c>
    </row>
    <row r="596">
      <c r="A596" s="249" t="inlineStr">
        <is>
          <t>rrf_01</t>
        </is>
      </c>
      <c r="B596" s="249" t="inlineStr">
        <is>
          <t>Полный отчёт, справочник</t>
        </is>
      </c>
      <c r="C596" s="249" t="inlineStr">
        <is>
          <t>Справочник: что означает каждое понятие</t>
        </is>
      </c>
    </row>
    <row r="597">
      <c r="A597" s="249" t="inlineStr">
        <is>
          <t>rrf_02</t>
        </is>
      </c>
      <c r="B597" s="249" t="inlineStr">
        <is>
          <t>Полный отчёт, справочник</t>
        </is>
      </c>
      <c r="C597" s="249" t="inlineStr">
        <is>
          <t>Эти же пояснения есть в форме под каждым вопросом — разверните «что сюда входит», если захотите пересчитать точнее.</t>
        </is>
      </c>
    </row>
    <row r="598">
      <c r="A598" s="249" t="inlineStr">
        <is>
          <t>rtb_01</t>
        </is>
      </c>
      <c r="B598" s="249" t="inlineStr">
        <is>
          <t>Полный отчёт, таблица</t>
        </is>
      </c>
      <c r="C598" s="249" t="inlineStr">
        <is>
          <t>Все цифры расчёта в одной таблице</t>
        </is>
      </c>
    </row>
    <row r="599">
      <c r="A599" s="249" t="inlineStr">
        <is>
          <t>rtb_02</t>
        </is>
      </c>
      <c r="B599" s="249" t="inlineStr">
        <is>
          <t>Полный отчёт, таблица</t>
        </is>
      </c>
      <c r="C599" s="249" t="inlineStr">
        <is>
          <t>Полная выгрузка: время, проект, доход, расходы, налоги и ставки</t>
        </is>
      </c>
    </row>
    <row r="601">
      <c r="A601" s="249" t="inlineStr">
        <is>
          <t>rpm_16</t>
        </is>
      </c>
      <c r="B601" s="249" t="inlineStr">
        <is>
          <t>Полный отчёт, блок 08</t>
        </is>
      </c>
      <c r="C601" s="275" t="inlineStr">
        <is>
          <t>Когда за ценой виден расчёт, торг сменяется пониманием. Это не мнение — это измеренный эффект</t>
        </is>
      </c>
    </row>
    <row r="602">
      <c r="A602" s="249" t="inlineStr">
        <is>
          <t>rpm_18</t>
        </is>
      </c>
      <c r="B602" s="249" t="inlineStr">
        <is>
          <t>Полный отчёт, блок 08</t>
        </is>
      </c>
      <c r="C602" s="275" t="inlineStr">
        <is>
          <t>+21% чаще покупают, когда видят, из чего складывается цена</t>
        </is>
      </c>
    </row>
    <row r="603">
      <c r="A603" s="249" t="inlineStr">
        <is>
          <t>rpm_20</t>
        </is>
      </c>
      <c r="B603" s="249" t="inlineStr">
        <is>
          <t>Полный отчёт, блок 08</t>
        </is>
      </c>
      <c r="C603" s="275" t="inlineStr">
        <is>
          <t>+34% чаще соглашаются, когда названа причина цены</t>
        </is>
      </c>
    </row>
    <row r="604">
      <c r="A604" s="249" t="inlineStr">
        <is>
          <t>rpm_22</t>
        </is>
      </c>
      <c r="B604" s="249" t="inlineStr">
        <is>
          <t>Полный отчёт, блок 08</t>
        </is>
      </c>
      <c r="C604" s="275" t="inlineStr">
        <is>
          <t>87% покупателей готовы платить больше тем, кому доверяют</t>
        </is>
      </c>
    </row>
    <row r="605">
      <c r="A605" s="249" t="inlineStr">
        <is>
          <t>rpm_24</t>
        </is>
      </c>
      <c r="B605" s="249" t="inlineStr">
        <is>
          <t>Полный отчёт, блок 08</t>
        </is>
      </c>
      <c r="C605" s="275" t="inlineStr">
        <is>
          <t>Источники: Гарвардская школа бизнеса и Университет Сан-Франциско, шесть экспериментов с раскрытием себестоимости, Marketing Science, 2020 · эксперимент Эллен Лангер, Гарвард, 1978 · исследование доверия к брендам Salsify</t>
        </is>
      </c>
    </row>
    <row r="606">
      <c r="A606" s="249" t="inlineStr">
        <is>
          <t>rpm_25</t>
        </is>
      </c>
      <c r="B606" s="249" t="inlineStr">
        <is>
          <t>Полный отчёт, блок 08</t>
        </is>
      </c>
      <c r="C606" s="275" t="inlineStr">
        <is>
          <t>Вы посчитали свою юнит-экономику! Теперь у вас есть железобетонные цифры, которых нет у большинства коллег, — и полный карт-бланш говорить о стоимости без оправданий.</t>
        </is>
      </c>
    </row>
    <row r="607">
      <c r="A607" s="249" t="inlineStr">
        <is>
          <t>rpm_17</t>
        </is>
      </c>
      <c r="B607" s="249" t="inlineStr">
        <is>
          <t>Полный отчёт, блок 08</t>
        </is>
      </c>
      <c r="C607" s="275" t="inlineStr">
        <is>
          <t>Больше клиентов</t>
        </is>
      </c>
    </row>
    <row r="608">
      <c r="A608" s="249" t="inlineStr">
        <is>
          <t>rpm_20b</t>
        </is>
      </c>
      <c r="B608" s="249" t="inlineStr">
        <is>
          <t>Полный отчёт, блок 08</t>
        </is>
      </c>
      <c r="C608" s="249" t="inlineStr">
        <is>
          <t>Покупки</t>
        </is>
      </c>
    </row>
    <row r="609">
      <c r="A609" s="249" t="inlineStr">
        <is>
          <t>rpm_22b</t>
        </is>
      </c>
      <c r="B609" s="249" t="inlineStr">
        <is>
          <t>Полный отчёт, блок 08</t>
        </is>
      </c>
      <c r="C609" s="275" t="inlineStr">
        <is>
          <t>Выше ценник</t>
        </is>
      </c>
    </row>
    <row r="610">
      <c r="A610" s="249" t="inlineStr">
        <is>
          <t>rpm_20b</t>
        </is>
      </c>
      <c r="B610" s="249" t="inlineStr">
        <is>
          <t>Полный отчёт, блок 08</t>
        </is>
      </c>
      <c r="C610" s="249" t="inlineStr">
        <is>
          <t>Покупают</t>
        </is>
      </c>
    </row>
    <row r="611">
      <c r="A611" s="249" t="inlineStr">
        <is>
          <t>rpm_22b</t>
        </is>
      </c>
      <c r="B611" s="249" t="inlineStr">
        <is>
          <t>Полный отчёт, блок 08</t>
        </is>
      </c>
      <c r="C611" s="275" t="inlineStr">
        <is>
          <t>Выше ценник</t>
        </is>
      </c>
    </row>
    <row r="612">
      <c r="A612" s="249" t="inlineStr">
        <is>
          <t>rpm_19b</t>
        </is>
      </c>
      <c r="B612" s="249" t="inlineStr">
        <is>
          <t>Полный отчёт, блок 08</t>
        </is>
      </c>
      <c r="C612" s="249" t="inlineStr">
        <is>
          <t>Меньше торга</t>
        </is>
      </c>
    </row>
  </sheetData>
  <autoFilter ref="A4:C514"/>
  <mergeCells count="152">
    <mergeCell ref="A193:C193"/>
    <mergeCell ref="A255:C255"/>
    <mergeCell ref="A233:C233"/>
    <mergeCell ref="A37:C37"/>
    <mergeCell ref="A89:C89"/>
    <mergeCell ref="A282:C282"/>
    <mergeCell ref="A21:C21"/>
    <mergeCell ref="A105:C105"/>
    <mergeCell ref="A57:C57"/>
    <mergeCell ref="A272:C272"/>
    <mergeCell ref="A235:C235"/>
    <mergeCell ref="A179:C179"/>
    <mergeCell ref="A247:C247"/>
    <mergeCell ref="A71:C71"/>
    <mergeCell ref="A185:C185"/>
    <mergeCell ref="A23:C23"/>
    <mergeCell ref="A181:C181"/>
    <mergeCell ref="A43:C43"/>
    <mergeCell ref="A171:C171"/>
    <mergeCell ref="A165:C165"/>
    <mergeCell ref="A63:C63"/>
    <mergeCell ref="A155:C155"/>
    <mergeCell ref="A293:C293"/>
    <mergeCell ref="A93:C93"/>
    <mergeCell ref="A229:C229"/>
    <mergeCell ref="A77:C77"/>
    <mergeCell ref="A83:C83"/>
    <mergeCell ref="A157:C157"/>
    <mergeCell ref="A270:C270"/>
    <mergeCell ref="A284:C284"/>
    <mergeCell ref="A49:C49"/>
    <mergeCell ref="A119:C119"/>
    <mergeCell ref="A69:C69"/>
    <mergeCell ref="A205:C205"/>
    <mergeCell ref="A183:C183"/>
    <mergeCell ref="A75:C75"/>
    <mergeCell ref="A133:C133"/>
    <mergeCell ref="A264:C264"/>
    <mergeCell ref="A55:C55"/>
    <mergeCell ref="A239:C239"/>
    <mergeCell ref="A95:C95"/>
    <mergeCell ref="A175:C175"/>
    <mergeCell ref="A5:C5"/>
    <mergeCell ref="A321:C321"/>
    <mergeCell ref="A159:C159"/>
    <mergeCell ref="A97:C97"/>
    <mergeCell ref="A219:C219"/>
    <mergeCell ref="A290:C290"/>
    <mergeCell ref="A312:C312"/>
    <mergeCell ref="A29:C29"/>
    <mergeCell ref="A323:C323"/>
    <mergeCell ref="A147:C147"/>
    <mergeCell ref="A121:C121"/>
    <mergeCell ref="A280:C280"/>
    <mergeCell ref="A274:C274"/>
    <mergeCell ref="A13:C13"/>
    <mergeCell ref="A288:C288"/>
    <mergeCell ref="A249:C249"/>
    <mergeCell ref="A31:C31"/>
    <mergeCell ref="A211:C211"/>
    <mergeCell ref="A67:C67"/>
    <mergeCell ref="A15:C15"/>
    <mergeCell ref="A257:C257"/>
    <mergeCell ref="A73:C73"/>
    <mergeCell ref="A201:C201"/>
    <mergeCell ref="A51:C51"/>
    <mergeCell ref="A266:C266"/>
    <mergeCell ref="A241:C241"/>
    <mergeCell ref="A123:C123"/>
    <mergeCell ref="A197:C197"/>
    <mergeCell ref="A237:C237"/>
    <mergeCell ref="A7:C7"/>
    <mergeCell ref="A187:C187"/>
    <mergeCell ref="A243:C243"/>
    <mergeCell ref="A99:C99"/>
    <mergeCell ref="A25:C25"/>
    <mergeCell ref="A286:C286"/>
    <mergeCell ref="A149:C149"/>
    <mergeCell ref="A189:C189"/>
    <mergeCell ref="A163:C163"/>
    <mergeCell ref="A101:C101"/>
    <mergeCell ref="A223:C223"/>
    <mergeCell ref="A306:C306"/>
    <mergeCell ref="A2:C2"/>
    <mergeCell ref="A213:C213"/>
    <mergeCell ref="A278:C278"/>
    <mergeCell ref="A151:C151"/>
    <mergeCell ref="A47:C47"/>
    <mergeCell ref="A141:C141"/>
    <mergeCell ref="A135:C135"/>
    <mergeCell ref="A262:C262"/>
    <mergeCell ref="A215:C215"/>
    <mergeCell ref="A125:C125"/>
    <mergeCell ref="A318:C318"/>
    <mergeCell ref="A199:C199"/>
    <mergeCell ref="A127:C127"/>
    <mergeCell ref="A167:C167"/>
    <mergeCell ref="A347:C347"/>
    <mergeCell ref="A314:C314"/>
    <mergeCell ref="A403:C403"/>
    <mergeCell ref="A59:C59"/>
    <mergeCell ref="A304:C304"/>
    <mergeCell ref="A191:C191"/>
    <mergeCell ref="A169:C169"/>
    <mergeCell ref="A225:C225"/>
    <mergeCell ref="A107:C107"/>
    <mergeCell ref="A79:C79"/>
    <mergeCell ref="A61:C61"/>
    <mergeCell ref="A153:C153"/>
    <mergeCell ref="A227:C227"/>
    <mergeCell ref="A137:C137"/>
    <mergeCell ref="A177:C177"/>
    <mergeCell ref="A41:C41"/>
    <mergeCell ref="A268:C268"/>
    <mergeCell ref="A330:C330"/>
    <mergeCell ref="A217:C217"/>
    <mergeCell ref="A145:C145"/>
    <mergeCell ref="A27:C27"/>
    <mergeCell ref="A139:C139"/>
    <mergeCell ref="A341:C341"/>
    <mergeCell ref="A129:C129"/>
    <mergeCell ref="A195:C195"/>
    <mergeCell ref="A251:C251"/>
    <mergeCell ref="A33:C33"/>
    <mergeCell ref="A203:C203"/>
    <mergeCell ref="A85:C85"/>
    <mergeCell ref="A17:C17"/>
    <mergeCell ref="A131:C131"/>
    <mergeCell ref="A259:C259"/>
    <mergeCell ref="A53:C53"/>
    <mergeCell ref="A109:C109"/>
    <mergeCell ref="A35:C35"/>
    <mergeCell ref="A231:C231"/>
    <mergeCell ref="A333:C333"/>
    <mergeCell ref="A115:C115"/>
    <mergeCell ref="A308:C308"/>
    <mergeCell ref="A19:C19"/>
    <mergeCell ref="A117:C117"/>
    <mergeCell ref="A111:C111"/>
    <mergeCell ref="A9:C9"/>
    <mergeCell ref="A143:C143"/>
    <mergeCell ref="A245:C245"/>
    <mergeCell ref="A276:C276"/>
    <mergeCell ref="A328:C328"/>
    <mergeCell ref="A39:C39"/>
    <mergeCell ref="A310:C310"/>
    <mergeCell ref="A207:C207"/>
    <mergeCell ref="A11:C11"/>
    <mergeCell ref="A1:C1"/>
    <mergeCell ref="A45:C45"/>
    <mergeCell ref="A87:C87"/>
    <mergeCell ref="A65:C6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5" customWidth="1" min="3" max="3"/>
    <col width="46" customWidth="1" min="4" max="4"/>
    <col width="52" customWidth="1" min="5" max="5"/>
  </cols>
  <sheetData>
    <row r="1">
      <c r="A1" s="144" t="inlineStr">
        <is>
          <t>09b · МЕТОДИКА — как посчитана каждая цифра отчёта</t>
        </is>
      </c>
    </row>
    <row r="2">
      <c r="A2" s="145" t="inlineStr">
        <is>
          <t>Столбец «Формула» записан через ID из 02_Параметры. Правите параметр — меняется цифра в отчёте.</t>
        </is>
      </c>
    </row>
    <row r="4">
      <c r="A4" s="146" t="inlineStr">
        <is>
          <t>БЛОК 09 · ЧЕТЫРЕ ЦИФРЫ, КОТОРЫЕ СТОИТ ЗАПОМНИТЬ</t>
        </is>
      </c>
      <c r="B4" s="147" t="n"/>
      <c r="C4" s="147" t="n"/>
      <c r="D4" s="147" t="n"/>
      <c r="E4" s="147" t="n"/>
    </row>
    <row r="5">
      <c r="A5" s="148" t="inlineStr">
        <is>
          <t>№</t>
        </is>
      </c>
      <c r="B5" s="148" t="inlineStr">
        <is>
          <t>Показатель</t>
        </is>
      </c>
      <c r="C5" s="148" t="inlineStr">
        <is>
          <t>Значение</t>
        </is>
      </c>
      <c r="D5" s="148" t="inlineStr">
        <is>
          <t>Формула (через ID)</t>
        </is>
      </c>
      <c r="E5" s="148" t="inlineStr">
        <is>
          <t>Что означает и почему так</t>
        </is>
      </c>
    </row>
    <row r="6" ht="58" customHeight="1">
      <c r="A6" s="149" t="inlineStr">
        <is>
          <t>9.1</t>
        </is>
      </c>
      <c r="B6" s="149" t="inlineStr">
        <is>
          <t>Час вашего времени</t>
        </is>
      </c>
      <c r="C6" s="150" t="inlineStr">
        <is>
          <t>747 ₽/ч</t>
        </is>
      </c>
      <c r="D6" s="151" t="inlineStr">
        <is>
          <t>'=target_income/(net_time+idle_time)</t>
        </is>
      </c>
      <c r="E6" s="152" t="inlineStr">
        <is>
          <t>Желаемый доход за год делится на ВСЁ рабочее время, включая рабочие паузы: 1 307 988 / (1533+219) = 747 ₽. Не путать со ставкой часа съёмки — это то, сколько стоит любой ваш час: и с камерой, и за компьютером.</t>
        </is>
      </c>
    </row>
    <row r="7" ht="58" customHeight="1">
      <c r="A7" s="149" t="inlineStr">
        <is>
          <t>9.2</t>
        </is>
      </c>
      <c r="B7" s="149" t="inlineStr">
        <is>
          <t>Оборудование и ПО</t>
        </is>
      </c>
      <c r="C7" s="150" t="inlineStr">
        <is>
          <t>11,4 съёмок</t>
        </is>
      </c>
      <c r="D7" s="151" t="inlineStr">
        <is>
          <t>'=(dep_shoot+dep_office+dep_software)/(revenue_full/projects_year)</t>
        </is>
      </c>
      <c r="E7" s="152" t="inlineStr">
        <is>
          <t>Амортизация техники и ПО за год (215 126 ₽) делится на цену одной съёмки (18 934 ₽). Показывает, сколько съёмок уходит ТОЛЬКО на окупаемость техники — без налогов, рекламы и вашего дохода. Обучение и сайт сюда НЕ входят, только железо и ПО.</t>
        </is>
      </c>
    </row>
    <row r="8" ht="58" customHeight="1">
      <c r="A8" s="149" t="inlineStr">
        <is>
          <t>9.3</t>
        </is>
      </c>
      <c r="B8" s="149" t="inlineStr">
        <is>
          <t>Времени на одну съёмку</t>
        </is>
      </c>
      <c r="C8" s="150" t="inlineStr">
        <is>
          <t>9,0 ч</t>
        </is>
      </c>
      <c r="D8" s="151" t="inlineStr">
        <is>
          <t>'=project_time = shoot_duration*(1+post_ratio)+client_time</t>
        </is>
      </c>
      <c r="E8" s="152" t="inlineStr">
        <is>
          <t>2 ч съёмки × (1+3 обработка) + 1 ч на клиента = 9 ч. Это полный цикл одного заказа: переписка и согласование, съёмка, отбор, цветокоррекция, ретушь, экспорт и передача.</t>
        </is>
      </c>
    </row>
    <row r="9" ht="58" customHeight="1">
      <c r="A9" s="149" t="inlineStr">
        <is>
          <t>9.4</t>
        </is>
      </c>
      <c r="B9" s="149" t="inlineStr">
        <is>
          <t>Цена одного кадра</t>
        </is>
      </c>
      <c r="C9" s="150" t="inlineStr">
        <is>
          <t>118 ₽</t>
        </is>
      </c>
      <c r="D9" s="151" t="inlineStr">
        <is>
          <t>'=(revenue_full/projects_year)/(frames_out*shoot_duration)</t>
        </is>
      </c>
      <c r="E9" s="152" t="inlineStr">
        <is>
          <t>Цена съёмки (18 934 ₽) делится на количество отданных кадров (80 кадров/час × 2 ч = 160). frames_out задаёт пользователь в форме.</t>
        </is>
      </c>
    </row>
    <row r="11">
      <c r="A11" s="146" t="inlineStr">
        <is>
          <t>БЛОК 04 · КУДА УХОДИТ ВАШЕ ВРЕМЯ — откуда берутся рабочие паузы</t>
        </is>
      </c>
      <c r="B11" s="147" t="n"/>
      <c r="C11" s="147" t="n"/>
      <c r="D11" s="147" t="n"/>
      <c r="E11" s="147" t="n"/>
    </row>
    <row r="12">
      <c r="A12" s="148" t="inlineStr">
        <is>
          <t>№</t>
        </is>
      </c>
      <c r="B12" s="148" t="inlineStr">
        <is>
          <t>Показатель</t>
        </is>
      </c>
      <c r="C12" s="148" t="inlineStr">
        <is>
          <t>Значение</t>
        </is>
      </c>
      <c r="D12" s="148" t="inlineStr">
        <is>
          <t>Формула (через ID)</t>
        </is>
      </c>
      <c r="E12" s="148" t="inlineStr">
        <is>
          <t>Что означает и почему так</t>
        </is>
      </c>
    </row>
    <row r="13" ht="58" customHeight="1">
      <c r="A13" s="149" t="inlineStr">
        <is>
          <t>4.1</t>
        </is>
      </c>
      <c r="B13" s="149" t="inlineStr">
        <is>
          <t>Рабочее время по календарю</t>
        </is>
      </c>
      <c r="C13" s="150" t="inlineStr">
        <is>
          <t>1 976 ч/год</t>
        </is>
      </c>
      <c r="D13" s="151" t="inlineStr">
        <is>
          <t>'=work_days*nominal_hours = 247*8</t>
        </is>
      </c>
      <c r="E13" s="152" t="inlineStr">
        <is>
          <t>Производственный календарь: 247 рабочих дней по 8 часов.</t>
        </is>
      </c>
    </row>
    <row r="14" ht="58" customHeight="1">
      <c r="A14" s="149" t="inlineStr">
        <is>
          <t>4.2</t>
        </is>
      </c>
      <c r="B14" s="149" t="inlineStr">
        <is>
          <t>Чистое время</t>
        </is>
      </c>
      <c r="C14" s="150" t="inlineStr">
        <is>
          <t>1 533 ч/год</t>
        </is>
      </c>
      <c r="D14" s="151" t="inlineStr">
        <is>
          <t>'=net_days*eff_hours = (247-20-8)*7</t>
        </is>
      </c>
      <c r="E14" s="152" t="inlineStr">
        <is>
          <t>Минус отпуск 20 раб. дней и больничный 8 раб. дней = 219 дней. По 7 продуктивных часов.</t>
        </is>
      </c>
    </row>
    <row r="15" ht="58" customHeight="1">
      <c r="A15" s="149" t="inlineStr">
        <is>
          <t>4.3</t>
        </is>
      </c>
      <c r="B15" s="149" t="inlineStr">
        <is>
          <t>РАБОЧИЕ ПАУЗЫ (idle)</t>
        </is>
      </c>
      <c r="C15" s="150" t="inlineStr">
        <is>
          <t>219 ч/год = 5,0 ч/нед</t>
        </is>
      </c>
      <c r="D15" s="151" t="inlineStr">
        <is>
          <t>'=net_days*(nominal_hours-eff_hours) = 219*(8-7)</t>
        </is>
      </c>
      <c r="E15" s="152" t="inlineStr">
        <is>
          <t>РОВНО 1 ЧАС В ДЕНЬ. Это НЕ дорога и НЕ простой. Это подготовка и уборка рабочего места, зарядка и проверка техники, размяться, отойти — разбросано по всему рабочему дню. Нормальная часть рабочего процесса, поэтому включена в базу распределения дохода.</t>
        </is>
      </c>
    </row>
    <row r="16" ht="58" customHeight="1">
      <c r="A16" s="149" t="inlineStr">
        <is>
          <t>4.4</t>
        </is>
      </c>
      <c r="B16" s="149" t="inlineStr">
        <is>
          <t>База распределения дохода</t>
        </is>
      </c>
      <c r="C16" s="150" t="inlineStr">
        <is>
          <t>1 752 ч/год</t>
        </is>
      </c>
      <c r="D16" s="151" t="inlineStr">
        <is>
          <t>'=net_time+idle_time = 1533+219</t>
        </is>
      </c>
      <c r="E16" s="152" t="inlineStr">
        <is>
          <t>Доход раскладывается на чистое время ПЛЮС рабочие паузы — потому что паузы оплачиваются так же, как в найме: работодатель платит за 8 часов, а не за 7.</t>
        </is>
      </c>
    </row>
    <row r="18">
      <c r="A18" s="146" t="inlineStr">
        <is>
          <t>ПРОВЕРКА · сходимость</t>
        </is>
      </c>
      <c r="B18" s="147" t="n"/>
      <c r="C18" s="147" t="n"/>
      <c r="D18" s="147" t="n"/>
      <c r="E18" s="147" t="n"/>
    </row>
    <row r="19">
      <c r="A19" s="148" t="inlineStr">
        <is>
          <t>№</t>
        </is>
      </c>
      <c r="B19" s="148" t="inlineStr">
        <is>
          <t>Показатель</t>
        </is>
      </c>
      <c r="C19" s="148" t="inlineStr">
        <is>
          <t>Значение</t>
        </is>
      </c>
      <c r="D19" s="148" t="inlineStr">
        <is>
          <t>Формула (через ID)</t>
        </is>
      </c>
      <c r="E19" s="148" t="inlineStr">
        <is>
          <t>Что означает и почему так</t>
        </is>
      </c>
    </row>
    <row r="20" ht="58" customHeight="1">
      <c r="A20" s="149" t="inlineStr">
        <is>
          <t>П1</t>
        </is>
      </c>
      <c r="B20" s="149" t="inlineStr">
        <is>
          <t>Сумма недели</t>
        </is>
      </c>
      <c r="C20" s="150" t="inlineStr">
        <is>
          <t>40,00 ч</t>
        </is>
      </c>
      <c r="D20" s="151" t="inlineStr">
        <is>
          <t>'=(shooting_time+post_time+promo_time+client_total+accounting_time+fm_time+idle_time)/net_weeks</t>
        </is>
      </c>
      <c r="E20" s="152" t="inlineStr">
        <is>
          <t>Съёмка 5,2 + обработка 15,7 + продвижение 10,0 + клиент 2,6 + учёт 0,3 + форс-мажор 1,2 + паузы 5,0 = 40,00 ч. Совпадает с 5-дневной 40-часовой неделей по ТК РФ.</t>
        </is>
      </c>
    </row>
    <row r="22">
      <c r="A22" s="154" t="inlineStr">
        <is>
          <t>БЛОК «ДВА ЗАПАСА» · РЕКОМЕНДАЦИИ (в основной расчёт НЕ входят)</t>
        </is>
      </c>
    </row>
    <row r="23">
      <c r="A23" s="149" t="inlineStr">
        <is>
          <t>№</t>
        </is>
      </c>
      <c r="B23" s="149" t="inlineStr">
        <is>
          <t>Показатель</t>
        </is>
      </c>
      <c r="C23" s="150" t="inlineStr">
        <is>
          <t>Значение</t>
        </is>
      </c>
      <c r="D23" s="151" t="inlineStr">
        <is>
          <t>Формула (через ID)</t>
        </is>
      </c>
      <c r="E23" s="152" t="inlineStr">
        <is>
          <t>Что означает и почему так</t>
        </is>
      </c>
    </row>
    <row r="24" ht="58" customHeight="1">
      <c r="A24" s="149" t="inlineStr">
        <is>
          <t>Р.1</t>
        </is>
      </c>
      <c r="B24" s="149" t="inlineStr">
        <is>
          <t>Фонд развития, % выручки</t>
        </is>
      </c>
      <c r="C24" s="150" t="inlineStr">
        <is>
          <t>5% (ползунок 0–15)</t>
        </is>
      </c>
      <c r="D24" s="151" t="inlineStr">
        <is>
          <t>'задаёт пользователь в отчёте</t>
        </is>
      </c>
      <c r="E24" s="152" t="inlineStr">
        <is>
          <t>Считается от ВЫРУЧКИ, а не от прибыли. Норма реинвестирования 20–30% прибыли для соло-специалиста неприменима: прибыль здесь и есть зарплата.</t>
        </is>
      </c>
    </row>
    <row r="25" ht="58" customHeight="1">
      <c r="A25" s="149" t="inlineStr">
        <is>
          <t>Р.2</t>
        </is>
      </c>
      <c r="B25" s="149" t="inlineStr">
        <is>
          <t>Выручка с фондом</t>
        </is>
      </c>
      <c r="C25" s="150" t="inlineStr">
        <is>
          <t>2 290 039 ₽</t>
        </is>
      </c>
      <c r="D25" s="151" t="inlineStr">
        <is>
          <t>'=(target_income+total_costs)/(1-налог-эквайринг-g)</t>
        </is>
      </c>
      <c r="E25" s="152" t="inlineStr">
        <is>
          <t>g — доля фонда. При 5%: ставка 10 016 ₽ вместо 9 467 ₽, рост 5,8%.</t>
        </is>
      </c>
    </row>
    <row r="26" ht="58" customHeight="1">
      <c r="A26" s="149" t="inlineStr">
        <is>
          <t>Р.3</t>
        </is>
      </c>
      <c r="B26" s="149" t="inlineStr">
        <is>
          <t>Сумма фонда за год</t>
        </is>
      </c>
      <c r="C26" s="150" t="inlineStr">
        <is>
          <t>114 502 ₽</t>
        </is>
      </c>
      <c r="D26" s="151" t="inlineStr">
        <is>
          <t>'=выручка_с_фондом*g</t>
        </is>
      </c>
      <c r="E26" s="152" t="inlineStr">
        <is>
          <t>9 542 ₽/мес. Это 53% годовой амортизации техники — за два года накапливается стоимость всего парка оборудования.</t>
        </is>
      </c>
    </row>
    <row r="27" ht="58" customHeight="1">
      <c r="A27" s="149" t="inlineStr">
        <is>
          <t>Р.4</t>
        </is>
      </c>
      <c r="B27" s="149" t="inlineStr">
        <is>
          <t>Запас на скидку, %</t>
        </is>
      </c>
      <c r="C27" s="150" t="inlineStr">
        <is>
          <t>10% (ползунок 0–25)</t>
        </is>
      </c>
      <c r="D27" s="151" t="inlineStr">
        <is>
          <t>'задаёт пользователь в отчёте</t>
        </is>
      </c>
      <c r="E27" s="152" t="inlineStr">
        <is>
          <t>Максимальная скидка, которую хочется давать «просто так», вне объёмной сетки блока 06.</t>
        </is>
      </c>
    </row>
    <row r="28" ht="58" customHeight="1">
      <c r="A28" s="149" t="inlineStr">
        <is>
          <t>Р.5</t>
        </is>
      </c>
      <c r="B28" s="149" t="inlineStr">
        <is>
          <t>Наценка под скидку</t>
        </is>
      </c>
      <c r="C28" s="150" t="inlineStr">
        <is>
          <t>+11,1% при скидке 10%</t>
        </is>
      </c>
      <c r="D28" s="151" t="inlineStr">
        <is>
          <t>'=1/(1-D)-1</t>
        </is>
      </c>
      <c r="E28" s="152" t="inlineStr">
        <is>
          <t>ДЕЛИТЬ, а не умножать. Чтобы после скидки 10% остаться при своих, поднять надо на 11,1%. При 15% → +17,6%, при 20% → +25%.</t>
        </is>
      </c>
    </row>
    <row r="29" ht="58" customHeight="1">
      <c r="A29" s="149" t="inlineStr">
        <is>
          <t>Р.6</t>
        </is>
      </c>
      <c r="B29" s="149" t="inlineStr">
        <is>
          <t>Итоговая ставка</t>
        </is>
      </c>
      <c r="C29" s="150" t="inlineStr">
        <is>
          <t>11 129 ₽</t>
        </is>
      </c>
      <c r="D29" s="151" t="inlineStr">
        <is>
          <t>'=выручка_с_фондом/(1-D)/shooting_time</t>
        </is>
      </c>
      <c r="E29" s="152" t="inlineStr">
        <is>
          <t>Фонд 5% + скидка 10% дают рост цены на 17,6% относительно базовой 9 467 ₽.</t>
        </is>
      </c>
    </row>
    <row r="30" ht="58" customHeight="1">
      <c r="A30" s="149" t="inlineStr">
        <is>
          <t>Р.7</t>
        </is>
      </c>
      <c r="B30" s="149" t="inlineStr">
        <is>
          <t>Проверка лимита НПД</t>
        </is>
      </c>
      <c r="C30" s="150" t="inlineStr">
        <is>
          <t>2 544 488 ₽ &gt; 2 400 000 ₽</t>
        </is>
      </c>
      <c r="D30" s="151" t="inlineStr">
        <is>
          <t>'=итоговая_выручка&gt;limit_npd</t>
        </is>
      </c>
      <c r="E30" s="152" t="inlineStr">
        <is>
          <t>ВАЖНО: с обоими запасами выручка вылетает за лимит самозанятости. Блок показывает предупреждение, что режим из блока 07 перестаёт подходить.</t>
        </is>
      </c>
    </row>
    <row r="32">
      <c r="A32" s="154" t="inlineStr">
        <is>
          <t>ОКРУГЛЕНИЕ · только крупная цифра в шапке</t>
        </is>
      </c>
    </row>
    <row r="33">
      <c r="A33" s="149" t="inlineStr">
        <is>
          <t>№</t>
        </is>
      </c>
      <c r="B33" s="149" t="inlineStr">
        <is>
          <t>Показатель</t>
        </is>
      </c>
      <c r="C33" s="150" t="inlineStr">
        <is>
          <t>Значение</t>
        </is>
      </c>
      <c r="D33" s="151" t="inlineStr">
        <is>
          <t>Формула (через ID)</t>
        </is>
      </c>
      <c r="E33" s="152" t="inlineStr">
        <is>
          <t>Что означает и почему так</t>
        </is>
      </c>
    </row>
    <row r="34" ht="58" customHeight="1">
      <c r="A34" s="149" t="inlineStr">
        <is>
          <t>О.1</t>
        </is>
      </c>
      <c r="B34" s="149" t="inlineStr">
        <is>
          <t>Ставка в шапке (hero)</t>
        </is>
      </c>
      <c r="C34" s="150" t="inlineStr">
        <is>
          <t>9 500 ₽</t>
        </is>
      </c>
      <c r="D34" s="151" t="inlineStr">
        <is>
          <t>'=ОКРВВЕРХ(ставка;500)</t>
        </is>
      </c>
      <c r="E34" s="152" t="inlineStr">
        <is>
          <t>ЕДИНСТВЕННОЕ округление во всём отчёте. Нужно, чтобы человек воспринимал свой час цельной величиной и мог её запомнить. Только вверх — вниз округлять нельзя, доход просядет.</t>
        </is>
      </c>
    </row>
    <row r="35" ht="58" customHeight="1">
      <c r="A35" s="149" t="inlineStr">
        <is>
          <t>О.2</t>
        </is>
      </c>
      <c r="B35" s="149" t="inlineStr">
        <is>
          <t>Точное значение рядом</t>
        </is>
      </c>
      <c r="C35" s="150" t="inlineStr">
        <is>
          <t>· точно 9 467 ₽</t>
        </is>
      </c>
      <c r="D35" s="151" t="inlineStr">
        <is>
          <t>'=revenue_full/shooting_time</t>
        </is>
      </c>
      <c r="E35" s="152" t="inlineStr">
        <is>
          <t>Выводится в подписи под крупной цифрой, серым. Показывается только если округлённое и точное различаются.</t>
        </is>
      </c>
    </row>
    <row r="36" ht="58" customHeight="1">
      <c r="A36" s="149" t="inlineStr">
        <is>
          <t>О.3</t>
        </is>
      </c>
      <c r="B36" s="149" t="inlineStr">
        <is>
          <t>Все остальные цифры</t>
        </is>
      </c>
      <c r="C36" s="150" t="inlineStr">
        <is>
          <t>без округления</t>
        </is>
      </c>
      <c r="D36" s="151" t="inlineStr">
        <is>
          <t>'—</t>
        </is>
      </c>
      <c r="E36" s="152" t="inlineStr">
        <is>
          <t>Отчёт считает юнит-экономику специалиста, а не формирует прайс для клиента. Точные значения: кольцо блока 01, три сценария, «в ноль», сетка скидок, блок «Два запаса», хук, цена съёмки, выручка, налоги, четыре цифры блока 09.</t>
        </is>
      </c>
    </row>
    <row r="37" ht="58" customHeight="1">
      <c r="A37" s="149" t="inlineStr">
        <is>
          <t>О.4</t>
        </is>
      </c>
      <c r="B37" s="149" t="inlineStr">
        <is>
          <t>Подпись под кнопкой PDF</t>
        </is>
      </c>
      <c r="C37" s="150" t="inlineStr">
        <is>
          <t>rsv_02</t>
        </is>
      </c>
      <c r="D37" s="151" t="inlineStr">
        <is>
          <t>'—</t>
        </is>
      </c>
      <c r="E37" s="152" t="inlineStr">
        <is>
          <t>Объясняет читателю разницу: «В шапке ставка округлена до 500 ₽ — так её проще держать в голове и называть. Все расчёты в отчёте идут по точному значению, без округлений».</t>
        </is>
      </c>
    </row>
    <row r="38" ht="58" customHeight="1">
      <c r="A38" s="149" t="n"/>
      <c r="B38" s="149" t="n"/>
      <c r="C38" s="150" t="n"/>
      <c r="D38" s="151" t="n"/>
      <c r="E38" s="152" t="n"/>
    </row>
    <row r="39" ht="58" customHeight="1">
      <c r="A39" s="149" t="n"/>
      <c r="B39" s="149" t="n"/>
      <c r="C39" s="150" t="n"/>
      <c r="D39" s="151" t="n"/>
      <c r="E39" s="152" t="n"/>
    </row>
    <row r="40" ht="58" customHeight="1">
      <c r="A40" s="149" t="n"/>
      <c r="B40" s="149" t="n"/>
      <c r="C40" s="150" t="n"/>
      <c r="D40" s="151" t="n"/>
      <c r="E40" s="152" t="n"/>
    </row>
    <row r="41" ht="58" customHeight="1">
      <c r="A41" s="149" t="n"/>
      <c r="B41" s="149" t="n"/>
      <c r="C41" s="150" t="n"/>
      <c r="D41" s="151" t="n"/>
      <c r="E41" s="152" t="n"/>
    </row>
    <row r="42" ht="58" customHeight="1">
      <c r="A42" s="149" t="n"/>
      <c r="B42" s="149" t="n"/>
      <c r="C42" s="150" t="n"/>
      <c r="D42" s="151" t="n"/>
      <c r="E42" s="15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46" customWidth="1" min="4" max="4"/>
  </cols>
  <sheetData>
    <row r="1">
      <c r="A1" s="144" t="inlineStr">
        <is>
          <t>09c · ПАЛИТРА — единая для формы, отчёта и всех подсказок</t>
        </is>
      </c>
    </row>
    <row r="2" ht="42" customHeight="1">
      <c r="A2" s="227" t="inlineStr">
        <is>
          <t>Один и тот же набор из 68 токенов объявлен в :root обоих файлов — calc.html (#phc-root) и report.html (#phr-root). Собственных hex в вёрстке нет. Исключение: фирменные цвета Visa / Mastercard / МИР в иконках оплаты — их менять нельзя.</t>
        </is>
      </c>
    </row>
    <row r="4">
      <c r="A4" s="146" t="inlineStr">
        <is>
          <t>Нейтральные · текст и линии</t>
        </is>
      </c>
      <c r="B4" s="147" t="n"/>
      <c r="C4" s="147" t="n"/>
      <c r="D4" s="147" t="n"/>
    </row>
    <row r="5">
      <c r="A5" s="155" t="inlineStr">
        <is>
          <t>Токен CSS</t>
        </is>
      </c>
      <c r="B5" s="155" t="inlineStr">
        <is>
          <t>HEX</t>
        </is>
      </c>
      <c r="C5" s="155" t="inlineStr">
        <is>
          <t>Образец</t>
        </is>
      </c>
      <c r="D5" s="155" t="inlineStr">
        <is>
          <t>Где применяется</t>
        </is>
      </c>
    </row>
    <row r="6" ht="19" customHeight="1">
      <c r="A6" s="156" t="inlineStr">
        <is>
          <t>--c-ink</t>
        </is>
      </c>
      <c r="B6" s="156" t="inlineStr">
        <is>
          <t>#1A1A1A</t>
        </is>
      </c>
      <c r="C6" s="157" t="inlineStr"/>
      <c r="D6" s="158" t="inlineStr">
        <is>
          <t>основной текст</t>
        </is>
      </c>
    </row>
    <row r="7">
      <c r="A7" s="146" t="inlineStr">
        <is>
          <t>Прочее</t>
        </is>
      </c>
      <c r="B7" s="147" t="n"/>
      <c r="C7" s="147" t="n"/>
      <c r="D7" s="147" t="n"/>
    </row>
    <row r="8">
      <c r="A8" s="155" t="inlineStr">
        <is>
          <t>Токен CSS</t>
        </is>
      </c>
      <c r="B8" s="155" t="inlineStr">
        <is>
          <t>HEX</t>
        </is>
      </c>
      <c r="C8" s="155" t="inlineStr">
        <is>
          <t>Образец</t>
        </is>
      </c>
      <c r="D8" s="155" t="inlineStr">
        <is>
          <t>Где применяется</t>
        </is>
      </c>
    </row>
    <row r="9" ht="19" customHeight="1">
      <c r="A9" s="156" t="inlineStr">
        <is>
          <t>--c-ink2</t>
        </is>
      </c>
      <c r="B9" s="156" t="inlineStr">
        <is>
          <t>#374151</t>
        </is>
      </c>
      <c r="C9" s="159" t="inlineStr"/>
      <c r="D9" s="158" t="inlineStr">
        <is>
          <t>заголовки таблиц</t>
        </is>
      </c>
    </row>
    <row r="10" ht="19" customHeight="1">
      <c r="A10" s="156" t="inlineStr">
        <is>
          <t>--c-ink3</t>
        </is>
      </c>
      <c r="B10" s="156" t="inlineStr">
        <is>
          <t>#4B5563</t>
        </is>
      </c>
      <c r="C10" s="160" t="inlineStr"/>
      <c r="D10" s="158" t="inlineStr">
        <is>
          <t>вторичный текст</t>
        </is>
      </c>
    </row>
    <row r="11">
      <c r="A11" s="146" t="inlineStr">
        <is>
          <t>Нейтральные · текст и линии</t>
        </is>
      </c>
      <c r="B11" s="147" t="n"/>
      <c r="C11" s="147" t="n"/>
      <c r="D11" s="147" t="n"/>
    </row>
    <row r="12">
      <c r="A12" s="155" t="inlineStr">
        <is>
          <t>Токен CSS</t>
        </is>
      </c>
      <c r="B12" s="155" t="inlineStr">
        <is>
          <t>HEX</t>
        </is>
      </c>
      <c r="C12" s="155" t="inlineStr">
        <is>
          <t>Образец</t>
        </is>
      </c>
      <c r="D12" s="155" t="inlineStr">
        <is>
          <t>Где применяется</t>
        </is>
      </c>
    </row>
    <row r="13" ht="19" customHeight="1">
      <c r="A13" s="156" t="inlineStr">
        <is>
          <t>--c-gr</t>
        </is>
      </c>
      <c r="B13" s="156" t="inlineStr">
        <is>
          <t>#6B7280</t>
        </is>
      </c>
      <c r="C13" s="161" t="inlineStr"/>
      <c r="D13" s="158" t="inlineStr">
        <is>
          <t>подписи</t>
        </is>
      </c>
    </row>
    <row r="14">
      <c r="A14" s="146" t="inlineStr">
        <is>
          <t>Прочее</t>
        </is>
      </c>
      <c r="B14" s="147" t="n"/>
      <c r="C14" s="147" t="n"/>
      <c r="D14" s="147" t="n"/>
    </row>
    <row r="15">
      <c r="A15" s="155" t="inlineStr">
        <is>
          <t>Токен CSS</t>
        </is>
      </c>
      <c r="B15" s="155" t="inlineStr">
        <is>
          <t>HEX</t>
        </is>
      </c>
      <c r="C15" s="155" t="inlineStr">
        <is>
          <t>Образец</t>
        </is>
      </c>
      <c r="D15" s="155" t="inlineStr">
        <is>
          <t>Где применяется</t>
        </is>
      </c>
    </row>
    <row r="16" ht="19" customHeight="1">
      <c r="A16" s="156" t="inlineStr">
        <is>
          <t>--c-gr2</t>
        </is>
      </c>
      <c r="B16" s="156" t="inlineStr">
        <is>
          <t>#9CA3AF</t>
        </is>
      </c>
      <c r="C16" s="162" t="inlineStr"/>
      <c r="D16" s="158" t="inlineStr">
        <is>
          <t>мелкие подписи, капс</t>
        </is>
      </c>
    </row>
    <row r="17" ht="19" customHeight="1">
      <c r="A17" s="156" t="inlineStr">
        <is>
          <t>--c-gr3</t>
        </is>
      </c>
      <c r="B17" s="156" t="inlineStr">
        <is>
          <t>#B6BCC4</t>
        </is>
      </c>
      <c r="C17" s="163" t="inlineStr"/>
      <c r="D17" s="158" t="inlineStr">
        <is>
          <t>самый светлый текст</t>
        </is>
      </c>
    </row>
    <row r="18">
      <c r="A18" s="146" t="inlineStr">
        <is>
          <t>Нейтральные · текст и линии</t>
        </is>
      </c>
      <c r="B18" s="147" t="n"/>
      <c r="C18" s="147" t="n"/>
      <c r="D18" s="147" t="n"/>
    </row>
    <row r="19">
      <c r="A19" s="155" t="inlineStr">
        <is>
          <t>Токен CSS</t>
        </is>
      </c>
      <c r="B19" s="155" t="inlineStr">
        <is>
          <t>HEX</t>
        </is>
      </c>
      <c r="C19" s="155" t="inlineStr">
        <is>
          <t>Образец</t>
        </is>
      </c>
      <c r="D19" s="155" t="inlineStr">
        <is>
          <t>Где применяется</t>
        </is>
      </c>
    </row>
    <row r="20" ht="19" customHeight="1">
      <c r="A20" s="156" t="inlineStr">
        <is>
          <t>--c-ln</t>
        </is>
      </c>
      <c r="B20" s="156" t="inlineStr">
        <is>
          <t>#E5E7EB</t>
        </is>
      </c>
      <c r="C20" s="164" t="inlineStr"/>
      <c r="D20" s="158" t="inlineStr">
        <is>
          <t>линии и границы</t>
        </is>
      </c>
    </row>
    <row r="21">
      <c r="A21" s="146" t="inlineStr">
        <is>
          <t>Прочее</t>
        </is>
      </c>
      <c r="B21" s="147" t="n"/>
      <c r="C21" s="147" t="n"/>
      <c r="D21" s="147" t="n"/>
    </row>
    <row r="22">
      <c r="A22" s="155" t="inlineStr">
        <is>
          <t>Токен CSS</t>
        </is>
      </c>
      <c r="B22" s="155" t="inlineStr">
        <is>
          <t>HEX</t>
        </is>
      </c>
      <c r="C22" s="155" t="inlineStr">
        <is>
          <t>Образец</t>
        </is>
      </c>
      <c r="D22" s="155" t="inlineStr">
        <is>
          <t>Где применяется</t>
        </is>
      </c>
    </row>
    <row r="23" ht="19" customHeight="1">
      <c r="A23" s="156" t="inlineStr">
        <is>
          <t>--c-ln2</t>
        </is>
      </c>
      <c r="B23" s="156" t="inlineStr">
        <is>
          <t>#F0F2F5</t>
        </is>
      </c>
      <c r="C23" s="165" t="inlineStr"/>
      <c r="D23" s="158" t="inlineStr">
        <is>
          <t>светлые разделители</t>
        </is>
      </c>
    </row>
    <row r="24">
      <c r="A24" s="146" t="inlineStr">
        <is>
          <t>Нейтральные · фоны</t>
        </is>
      </c>
      <c r="B24" s="147" t="n"/>
      <c r="C24" s="147" t="n"/>
      <c r="D24" s="147" t="n"/>
    </row>
    <row r="25">
      <c r="A25" s="155" t="inlineStr">
        <is>
          <t>Токен CSS</t>
        </is>
      </c>
      <c r="B25" s="155" t="inlineStr">
        <is>
          <t>HEX</t>
        </is>
      </c>
      <c r="C25" s="155" t="inlineStr">
        <is>
          <t>Образец</t>
        </is>
      </c>
      <c r="D25" s="155" t="inlineStr">
        <is>
          <t>Где применяется</t>
        </is>
      </c>
    </row>
    <row r="26" ht="19" customHeight="1">
      <c r="A26" s="156" t="inlineStr">
        <is>
          <t>--c-bg</t>
        </is>
      </c>
      <c r="B26" s="156" t="inlineStr">
        <is>
          <t>#F5F6F8</t>
        </is>
      </c>
      <c r="C26" s="166" t="inlineStr"/>
      <c r="D26" s="158" t="inlineStr">
        <is>
          <t>фон страницы</t>
        </is>
      </c>
    </row>
    <row r="27" ht="19" customHeight="1">
      <c r="A27" s="156" t="inlineStr">
        <is>
          <t>--c-surf</t>
        </is>
      </c>
      <c r="B27" s="156" t="inlineStr">
        <is>
          <t>#FAFBFC</t>
        </is>
      </c>
      <c r="C27" s="167" t="inlineStr"/>
      <c r="D27" s="158" t="inlineStr">
        <is>
          <t>фон карточек-подложек</t>
        </is>
      </c>
    </row>
    <row r="28" ht="19" customHeight="1">
      <c r="A28" s="156" t="inlineStr">
        <is>
          <t>--c-white</t>
        </is>
      </c>
      <c r="B28" s="156" t="inlineStr">
        <is>
          <t>#FFFFFF</t>
        </is>
      </c>
      <c r="C28" s="168" t="inlineStr"/>
      <c r="D28" s="158" t="inlineStr">
        <is>
          <t>фон карточек</t>
        </is>
      </c>
    </row>
    <row r="29">
      <c r="A29" s="146" t="inlineStr">
        <is>
          <t>Зелёный · доход, успех, база</t>
        </is>
      </c>
      <c r="B29" s="147" t="n"/>
      <c r="C29" s="147" t="n"/>
      <c r="D29" s="147" t="n"/>
    </row>
    <row r="30">
      <c r="A30" s="155" t="inlineStr">
        <is>
          <t>Токен CSS</t>
        </is>
      </c>
      <c r="B30" s="155" t="inlineStr">
        <is>
          <t>HEX</t>
        </is>
      </c>
      <c r="C30" s="155" t="inlineStr">
        <is>
          <t>Образец</t>
        </is>
      </c>
      <c r="D30" s="155" t="inlineStr">
        <is>
          <t>Где применяется</t>
        </is>
      </c>
    </row>
    <row r="31" ht="19" customHeight="1">
      <c r="A31" s="156" t="inlineStr">
        <is>
          <t>--c-g-50</t>
        </is>
      </c>
      <c r="B31" s="156" t="inlineStr">
        <is>
          <t>#F5FBF7</t>
        </is>
      </c>
      <c r="C31" s="169" t="inlineStr"/>
      <c r="D31" s="158" t="inlineStr">
        <is>
          <t>самый светлый зелёный фон</t>
        </is>
      </c>
    </row>
    <row r="32" ht="19" customHeight="1">
      <c r="A32" s="156" t="inlineStr">
        <is>
          <t>--c-g-100</t>
        </is>
      </c>
      <c r="B32" s="156" t="inlineStr">
        <is>
          <t>#EAF6EE</t>
        </is>
      </c>
      <c r="C32" s="170" t="inlineStr"/>
      <c r="D32" s="158" t="inlineStr">
        <is>
          <t>фон зелёных плашек</t>
        </is>
      </c>
    </row>
    <row r="33" ht="19" customHeight="1">
      <c r="A33" s="156" t="inlineStr">
        <is>
          <t>--c-g-200</t>
        </is>
      </c>
      <c r="B33" s="156" t="inlineStr">
        <is>
          <t>#D8EEDF</t>
        </is>
      </c>
      <c r="C33" s="171" t="inlineStr"/>
      <c r="D33" s="158" t="inlineStr">
        <is>
          <t>кольца, заливки</t>
        </is>
      </c>
    </row>
    <row r="34" ht="19" customHeight="1">
      <c r="A34" s="156" t="inlineStr">
        <is>
          <t>--c-g-300</t>
        </is>
      </c>
      <c r="B34" s="156" t="inlineStr">
        <is>
          <t>#A9DDB8</t>
        </is>
      </c>
      <c r="C34" s="172" t="inlineStr"/>
      <c r="D34" s="158" t="inlineStr">
        <is>
          <t>сегменты диаграмм</t>
        </is>
      </c>
    </row>
    <row r="35" ht="19" customHeight="1">
      <c r="A35" s="156" t="inlineStr">
        <is>
          <t>--c-g-350</t>
        </is>
      </c>
      <c r="B35" s="156" t="inlineStr">
        <is>
          <t>#6FD183</t>
        </is>
      </c>
      <c r="C35" s="173" t="inlineStr"/>
      <c r="D35" s="158" t="inlineStr">
        <is>
          <t>сегменты диаграмм</t>
        </is>
      </c>
    </row>
    <row r="36" ht="19" customHeight="1">
      <c r="A36" s="156" t="inlineStr">
        <is>
          <t>--c-g-400</t>
        </is>
      </c>
      <c r="B36" s="156" t="inlineStr">
        <is>
          <t>#4FC26A</t>
        </is>
      </c>
      <c r="C36" s="174" t="inlineStr"/>
      <c r="D36" s="158" t="inlineStr">
        <is>
          <t>градиенты</t>
        </is>
      </c>
    </row>
    <row r="37" ht="19" customHeight="1">
      <c r="A37" s="156" t="inlineStr">
        <is>
          <t>--c-g-500</t>
        </is>
      </c>
      <c r="B37" s="156" t="inlineStr">
        <is>
          <t>#21A038</t>
        </is>
      </c>
      <c r="C37" s="175" t="inlineStr"/>
      <c r="D37" s="158" t="inlineStr">
        <is>
          <t>основной зелёный бренда</t>
        </is>
      </c>
    </row>
    <row r="38" ht="19" customHeight="1">
      <c r="A38" s="156" t="inlineStr">
        <is>
          <t>--c-g-600</t>
        </is>
      </c>
      <c r="B38" s="156" t="inlineStr">
        <is>
          <t>#1B9331</t>
        </is>
      </c>
      <c r="C38" s="176" t="inlineStr"/>
      <c r="D38" s="158" t="inlineStr">
        <is>
          <t>бейдж ИДЕАЛЬНЫЙ, кнопки</t>
        </is>
      </c>
    </row>
    <row r="39" ht="19" customHeight="1">
      <c r="A39" s="156" t="inlineStr">
        <is>
          <t>--c-g-700</t>
        </is>
      </c>
      <c r="B39" s="156" t="inlineStr">
        <is>
          <t>#158026</t>
        </is>
      </c>
      <c r="C39" s="177" t="inlineStr"/>
      <c r="D39" s="158" t="inlineStr">
        <is>
          <t>акцентные цифры</t>
        </is>
      </c>
    </row>
    <row r="40" ht="19" customHeight="1">
      <c r="A40" s="156" t="inlineStr">
        <is>
          <t>--c-g-800</t>
        </is>
      </c>
      <c r="B40" s="156" t="inlineStr">
        <is>
          <t>#0B6B22</t>
        </is>
      </c>
      <c r="C40" s="178" t="inlineStr"/>
      <c r="D40" s="158" t="inlineStr">
        <is>
          <t>тёмный градиент</t>
        </is>
      </c>
    </row>
    <row r="41" ht="19" customHeight="1">
      <c r="A41" s="156" t="inlineStr">
        <is>
          <t>--c-g-900</t>
        </is>
      </c>
      <c r="B41" s="156" t="inlineStr">
        <is>
          <t>#14532D</t>
        </is>
      </c>
      <c r="C41" s="179" t="inlineStr"/>
      <c r="D41" s="158" t="inlineStr">
        <is>
          <t>текст на зелёном фоне</t>
        </is>
      </c>
    </row>
    <row r="42" ht="19" customHeight="1">
      <c r="A42" s="156" t="inlineStr">
        <is>
          <t>--c-g-mut</t>
        </is>
      </c>
      <c r="B42" s="156" t="inlineStr">
        <is>
          <t>#5C9C6C</t>
        </is>
      </c>
      <c r="C42" s="180" t="inlineStr"/>
      <c r="D42" s="158" t="inlineStr">
        <is>
          <t>приглушённый зелёный</t>
        </is>
      </c>
    </row>
    <row r="43">
      <c r="A43" s="146" t="inlineStr">
        <is>
          <t>Красный · убыток, предупреждение, скидка</t>
        </is>
      </c>
      <c r="B43" s="147" t="n"/>
      <c r="C43" s="147" t="n"/>
      <c r="D43" s="147" t="n"/>
    </row>
    <row r="44">
      <c r="A44" s="155" t="inlineStr">
        <is>
          <t>Токен CSS</t>
        </is>
      </c>
      <c r="B44" s="155" t="inlineStr">
        <is>
          <t>HEX</t>
        </is>
      </c>
      <c r="C44" s="155" t="inlineStr">
        <is>
          <t>Образец</t>
        </is>
      </c>
      <c r="D44" s="155" t="inlineStr">
        <is>
          <t>Где применяется</t>
        </is>
      </c>
    </row>
    <row r="45" ht="19" customHeight="1">
      <c r="A45" s="156" t="inlineStr">
        <is>
          <t>--c-r-50</t>
        </is>
      </c>
      <c r="B45" s="156" t="inlineStr">
        <is>
          <t>#FFF6F6</t>
        </is>
      </c>
      <c r="C45" s="181" t="inlineStr"/>
      <c r="D45" s="158" t="inlineStr">
        <is>
          <t>фон красных плашек</t>
        </is>
      </c>
    </row>
    <row r="46" ht="19" customHeight="1">
      <c r="A46" s="156" t="inlineStr">
        <is>
          <t>--c-r-100</t>
        </is>
      </c>
      <c r="B46" s="156" t="inlineStr">
        <is>
          <t>#FDE8E8</t>
        </is>
      </c>
      <c r="C46" s="182" t="inlineStr"/>
      <c r="D46" s="158" t="inlineStr">
        <is>
          <t>светлая заливка</t>
        </is>
      </c>
    </row>
    <row r="47" ht="19" customHeight="1">
      <c r="A47" s="156" t="inlineStr">
        <is>
          <t>--c-r-200</t>
        </is>
      </c>
      <c r="B47" s="156" t="inlineStr">
        <is>
          <t>#F7D3D3</t>
        </is>
      </c>
      <c r="C47" s="183" t="inlineStr"/>
      <c r="D47" s="158" t="inlineStr">
        <is>
          <t>границы</t>
        </is>
      </c>
    </row>
    <row r="48" ht="19" customHeight="1">
      <c r="A48" s="156" t="inlineStr">
        <is>
          <t>--c-r-300</t>
        </is>
      </c>
      <c r="B48" s="156" t="inlineStr">
        <is>
          <t>#E4A9A9</t>
        </is>
      </c>
      <c r="C48" s="184" t="inlineStr"/>
      <c r="D48" s="158" t="inlineStr">
        <is>
          <t>сегменты</t>
        </is>
      </c>
    </row>
    <row r="49" ht="19" customHeight="1">
      <c r="A49" s="156" t="inlineStr">
        <is>
          <t>--c-r-400</t>
        </is>
      </c>
      <c r="B49" s="156" t="inlineStr">
        <is>
          <t>#E8828E</t>
        </is>
      </c>
      <c r="C49" s="185" t="inlineStr"/>
      <c r="D49" s="158" t="inlineStr">
        <is>
          <t>бейдж, акценты</t>
        </is>
      </c>
    </row>
    <row r="50" ht="19" customHeight="1">
      <c r="A50" s="156" t="inlineStr">
        <is>
          <t>--c-r-500</t>
        </is>
      </c>
      <c r="B50" s="156" t="inlineStr">
        <is>
          <t>#EF4444</t>
        </is>
      </c>
      <c r="C50" s="186" t="inlineStr"/>
      <c r="D50" s="158" t="inlineStr">
        <is>
          <t>сердечки, ошибки</t>
        </is>
      </c>
    </row>
    <row r="51" ht="19" customHeight="1">
      <c r="A51" s="156" t="inlineStr">
        <is>
          <t>--c-r-550</t>
        </is>
      </c>
      <c r="B51" s="156" t="inlineStr">
        <is>
          <t>#D6566A</t>
        </is>
      </c>
      <c r="C51" s="187" t="inlineStr"/>
      <c r="D51" s="158" t="inlineStr">
        <is>
          <t>бейдж В НОЛЬ</t>
        </is>
      </c>
    </row>
    <row r="52" ht="19" customHeight="1">
      <c r="A52" s="156" t="inlineStr">
        <is>
          <t>--c-r-600</t>
        </is>
      </c>
      <c r="B52" s="156" t="inlineStr">
        <is>
          <t>#C43D51</t>
        </is>
      </c>
      <c r="C52" s="188" t="inlineStr"/>
      <c r="D52" s="158" t="inlineStr">
        <is>
          <t>цифры в красном</t>
        </is>
      </c>
    </row>
    <row r="53" ht="19" customHeight="1">
      <c r="A53" s="156" t="inlineStr">
        <is>
          <t>--c-r-650</t>
        </is>
      </c>
      <c r="B53" s="156" t="inlineStr">
        <is>
          <t>#D0342F</t>
        </is>
      </c>
      <c r="C53" s="189" t="inlineStr"/>
      <c r="D53" s="158" t="inlineStr">
        <is>
          <t>плашка «Скидка»</t>
        </is>
      </c>
    </row>
    <row r="54" ht="19" customHeight="1">
      <c r="A54" s="156" t="inlineStr">
        <is>
          <t>--c-r-700</t>
        </is>
      </c>
      <c r="B54" s="156" t="inlineStr">
        <is>
          <t>#B91C1C</t>
        </is>
      </c>
      <c r="C54" s="190" t="inlineStr"/>
      <c r="D54" s="158" t="inlineStr">
        <is>
          <t>текст предупреждений</t>
        </is>
      </c>
    </row>
    <row r="55" ht="19" customHeight="1">
      <c r="A55" s="156" t="inlineStr">
        <is>
          <t>--c-r-800</t>
        </is>
      </c>
      <c r="B55" s="156" t="inlineStr">
        <is>
          <t>#991B1B</t>
        </is>
      </c>
      <c r="C55" s="191" t="inlineStr"/>
      <c r="D55" s="158" t="inlineStr">
        <is>
          <t>заголовки в красном</t>
        </is>
      </c>
    </row>
    <row r="56" ht="19" customHeight="1">
      <c r="A56" s="156" t="inlineStr">
        <is>
          <t>--c-r-900</t>
        </is>
      </c>
      <c r="B56" s="156" t="inlineStr">
        <is>
          <t>#7F1D1D</t>
        </is>
      </c>
      <c r="C56" s="192" t="inlineStr"/>
      <c r="D56" s="158" t="inlineStr">
        <is>
          <t>самый тёмный красный</t>
        </is>
      </c>
    </row>
    <row r="57">
      <c r="A57" s="146" t="inlineStr">
        <is>
          <t>Янтарный · внимание, знак ⚠</t>
        </is>
      </c>
      <c r="B57" s="147" t="n"/>
      <c r="C57" s="147" t="n"/>
      <c r="D57" s="147" t="n"/>
    </row>
    <row r="58">
      <c r="A58" s="155" t="inlineStr">
        <is>
          <t>Токен CSS</t>
        </is>
      </c>
      <c r="B58" s="155" t="inlineStr">
        <is>
          <t>HEX</t>
        </is>
      </c>
      <c r="C58" s="155" t="inlineStr">
        <is>
          <t>Образец</t>
        </is>
      </c>
      <c r="D58" s="155" t="inlineStr">
        <is>
          <t>Где применяется</t>
        </is>
      </c>
    </row>
    <row r="59" ht="19" customHeight="1">
      <c r="A59" s="156" t="inlineStr">
        <is>
          <t>--c-a-50</t>
        </is>
      </c>
      <c r="B59" s="156" t="inlineStr">
        <is>
          <t>#FFFBEF</t>
        </is>
      </c>
      <c r="C59" s="193" t="inlineStr"/>
      <c r="D59" s="158" t="inlineStr">
        <is>
          <t>фон жёлтых плашек</t>
        </is>
      </c>
    </row>
    <row r="60" ht="19" customHeight="1">
      <c r="A60" s="156" t="inlineStr">
        <is>
          <t>--c-a-100</t>
        </is>
      </c>
      <c r="B60" s="156" t="inlineStr">
        <is>
          <t>#FEF3D6</t>
        </is>
      </c>
      <c r="C60" s="194" t="inlineStr"/>
      <c r="D60" s="158" t="inlineStr">
        <is>
          <t>светлая заливка</t>
        </is>
      </c>
    </row>
    <row r="61" ht="19" customHeight="1">
      <c r="A61" s="156" t="inlineStr">
        <is>
          <t>--c-a-200</t>
        </is>
      </c>
      <c r="B61" s="156" t="inlineStr">
        <is>
          <t>#FBE3AE</t>
        </is>
      </c>
      <c r="C61" s="195" t="inlineStr"/>
      <c r="D61" s="158" t="inlineStr">
        <is>
          <t>границы</t>
        </is>
      </c>
    </row>
    <row r="62" ht="19" customHeight="1">
      <c r="A62" s="156" t="inlineStr">
        <is>
          <t>--c-a-300</t>
        </is>
      </c>
      <c r="B62" s="156" t="inlineStr">
        <is>
          <t>#F2C48A</t>
        </is>
      </c>
      <c r="C62" s="196" t="inlineStr"/>
      <c r="D62" s="158" t="inlineStr">
        <is>
          <t>сегменты</t>
        </is>
      </c>
    </row>
    <row r="63" ht="19" customHeight="1">
      <c r="A63" s="156" t="inlineStr">
        <is>
          <t>--c-a-350</t>
        </is>
      </c>
      <c r="B63" s="156" t="inlineStr">
        <is>
          <t>#E8A05C</t>
        </is>
      </c>
      <c r="C63" s="197" t="inlineStr"/>
      <c r="D63" s="158" t="inlineStr">
        <is>
          <t>акценты</t>
        </is>
      </c>
    </row>
    <row r="64" ht="19" customHeight="1">
      <c r="A64" s="156" t="inlineStr">
        <is>
          <t>--c-a-400</t>
        </is>
      </c>
      <c r="B64" s="156" t="inlineStr">
        <is>
          <t>#F5B301</t>
        </is>
      </c>
      <c r="C64" s="198" t="inlineStr"/>
      <c r="D64" s="158" t="inlineStr">
        <is>
          <t>ЗНАК ВОСКЛИЦАНИЯ (треугольник)</t>
        </is>
      </c>
    </row>
    <row r="65" ht="19" customHeight="1">
      <c r="A65" s="156" t="inlineStr">
        <is>
          <t>--c-a-500</t>
        </is>
      </c>
      <c r="B65" s="156" t="inlineStr">
        <is>
          <t>#D9762E</t>
        </is>
      </c>
      <c r="C65" s="199" t="inlineStr"/>
      <c r="D65" s="158" t="inlineStr">
        <is>
          <t>скидка средняя</t>
        </is>
      </c>
    </row>
    <row r="66" ht="19" customHeight="1">
      <c r="A66" s="156" t="inlineStr">
        <is>
          <t>--c-a-600</t>
        </is>
      </c>
      <c r="B66" s="156" t="inlineStr">
        <is>
          <t>#C4551F</t>
        </is>
      </c>
      <c r="C66" s="200" t="inlineStr"/>
      <c r="D66" s="158" t="inlineStr">
        <is>
          <t>скидка крупная</t>
        </is>
      </c>
    </row>
    <row r="67" ht="19" customHeight="1">
      <c r="A67" s="156" t="inlineStr">
        <is>
          <t>--c-a-700</t>
        </is>
      </c>
      <c r="B67" s="156" t="inlineStr">
        <is>
          <t>#B45309</t>
        </is>
      </c>
      <c r="C67" s="201" t="inlineStr"/>
      <c r="D67" s="158" t="inlineStr">
        <is>
          <t>текст</t>
        </is>
      </c>
    </row>
    <row r="68" ht="19" customHeight="1">
      <c r="A68" s="156" t="inlineStr">
        <is>
          <t>--c-a-800</t>
        </is>
      </c>
      <c r="B68" s="156" t="inlineStr">
        <is>
          <t>#92400E</t>
        </is>
      </c>
      <c r="C68" s="202" t="inlineStr"/>
      <c r="D68" s="158" t="inlineStr">
        <is>
          <t>тёмный текст</t>
        </is>
      </c>
    </row>
    <row r="69" ht="19" customHeight="1">
      <c r="A69" s="156" t="inlineStr">
        <is>
          <t>--c-a-900</t>
        </is>
      </c>
      <c r="B69" s="156" t="inlineStr">
        <is>
          <t>#7A5309</t>
        </is>
      </c>
      <c r="C69" s="203" t="inlineStr"/>
      <c r="D69" s="158" t="inlineStr">
        <is>
          <t>текст на жёлтом</t>
        </is>
      </c>
    </row>
    <row r="70" ht="19" customHeight="1">
      <c r="A70" s="156" t="inlineStr">
        <is>
          <t>--c-a-br</t>
        </is>
      </c>
      <c r="B70" s="156" t="inlineStr">
        <is>
          <t>#8A5C4A</t>
        </is>
      </c>
      <c r="C70" s="204" t="inlineStr"/>
      <c r="D70" s="158" t="inlineStr">
        <is>
          <t>коричневый текст</t>
        </is>
      </c>
    </row>
    <row r="71" ht="19" customHeight="1">
      <c r="A71" s="156" t="inlineStr">
        <is>
          <t>--c-a-br2</t>
        </is>
      </c>
      <c r="B71" s="156" t="inlineStr">
        <is>
          <t>#5F3B2E</t>
        </is>
      </c>
      <c r="C71" s="205" t="inlineStr"/>
      <c r="D71" s="158" t="inlineStr">
        <is>
          <t>тёмно-коричневый</t>
        </is>
      </c>
    </row>
    <row r="72">
      <c r="A72" s="146" t="inlineStr">
        <is>
          <t>Синий · нейтральные акценты, реальный сценарий</t>
        </is>
      </c>
      <c r="B72" s="147" t="n"/>
      <c r="C72" s="147" t="n"/>
      <c r="D72" s="147" t="n"/>
    </row>
    <row r="73">
      <c r="A73" s="155" t="inlineStr">
        <is>
          <t>Токен CSS</t>
        </is>
      </c>
      <c r="B73" s="155" t="inlineStr">
        <is>
          <t>HEX</t>
        </is>
      </c>
      <c r="C73" s="155" t="inlineStr">
        <is>
          <t>Образец</t>
        </is>
      </c>
      <c r="D73" s="155" t="inlineStr">
        <is>
          <t>Где применяется</t>
        </is>
      </c>
    </row>
    <row r="74" ht="19" customHeight="1">
      <c r="A74" s="156" t="inlineStr">
        <is>
          <t>--c-b-50</t>
        </is>
      </c>
      <c r="B74" s="156" t="inlineStr">
        <is>
          <t>#F6FAFE</t>
        </is>
      </c>
      <c r="C74" s="206" t="inlineStr"/>
      <c r="D74" s="158" t="inlineStr">
        <is>
          <t>фон синих плашек</t>
        </is>
      </c>
    </row>
    <row r="75" ht="19" customHeight="1">
      <c r="A75" s="156" t="inlineStr">
        <is>
          <t>--c-b-100</t>
        </is>
      </c>
      <c r="B75" s="156" t="inlineStr">
        <is>
          <t>#E7F0FA</t>
        </is>
      </c>
      <c r="C75" s="207" t="inlineStr"/>
      <c r="D75" s="158" t="inlineStr">
        <is>
          <t>светлая заливка</t>
        </is>
      </c>
    </row>
    <row r="76" ht="19" customHeight="1">
      <c r="A76" s="156" t="inlineStr">
        <is>
          <t>--c-b-200</t>
        </is>
      </c>
      <c r="B76" s="156" t="inlineStr">
        <is>
          <t>#CFE0F3</t>
        </is>
      </c>
      <c r="C76" s="208" t="inlineStr"/>
      <c r="D76" s="158" t="inlineStr">
        <is>
          <t>границы</t>
        </is>
      </c>
    </row>
    <row r="77" ht="19" customHeight="1">
      <c r="A77" s="156" t="inlineStr">
        <is>
          <t>--c-b-250</t>
        </is>
      </c>
      <c r="B77" s="156" t="inlineStr">
        <is>
          <t>#B7C9E8</t>
        </is>
      </c>
      <c r="C77" s="209" t="inlineStr"/>
      <c r="D77" s="158" t="inlineStr">
        <is>
          <t>сегменты</t>
        </is>
      </c>
    </row>
    <row r="78" ht="19" customHeight="1">
      <c r="A78" s="156" t="inlineStr">
        <is>
          <t>--c-b-300</t>
        </is>
      </c>
      <c r="B78" s="156" t="inlineStr">
        <is>
          <t>#8FC7E8</t>
        </is>
      </c>
      <c r="C78" s="210" t="inlineStr"/>
      <c r="D78" s="158" t="inlineStr">
        <is>
          <t>роль маркетолога</t>
        </is>
      </c>
    </row>
    <row r="79" ht="19" customHeight="1">
      <c r="A79" s="156" t="inlineStr">
        <is>
          <t>--c-b-400</t>
        </is>
      </c>
      <c r="B79" s="156" t="inlineStr">
        <is>
          <t>#5CA8E0</t>
        </is>
      </c>
      <c r="C79" s="211" t="inlineStr"/>
      <c r="D79" s="158" t="inlineStr">
        <is>
          <t>градиент</t>
        </is>
      </c>
    </row>
    <row r="80" ht="19" customHeight="1">
      <c r="A80" s="156" t="inlineStr">
        <is>
          <t>--c-b-500</t>
        </is>
      </c>
      <c r="B80" s="156" t="inlineStr">
        <is>
          <t>#3B82F6</t>
        </is>
      </c>
      <c r="C80" s="212" t="inlineStr"/>
      <c r="D80" s="158" t="inlineStr">
        <is>
          <t>акцент</t>
        </is>
      </c>
    </row>
    <row r="81" ht="19" customHeight="1">
      <c r="A81" s="156" t="inlineStr">
        <is>
          <t>--c-b-600</t>
        </is>
      </c>
      <c r="B81" s="156" t="inlineStr">
        <is>
          <t>#2F80C4</t>
        </is>
      </c>
      <c r="C81" s="213" t="inlineStr"/>
      <c r="D81" s="158" t="inlineStr">
        <is>
          <t>бейдж РЕАЛЬНЫЙ</t>
        </is>
      </c>
    </row>
    <row r="82" ht="19" customHeight="1">
      <c r="A82" s="156" t="inlineStr">
        <is>
          <t>--c-b-700</t>
        </is>
      </c>
      <c r="B82" s="156" t="inlineStr">
        <is>
          <t>#2A6FAB</t>
        </is>
      </c>
      <c r="C82" s="214" t="inlineStr"/>
      <c r="D82" s="158" t="inlineStr">
        <is>
          <t>цифры</t>
        </is>
      </c>
    </row>
    <row r="83" ht="19" customHeight="1">
      <c r="A83" s="156" t="inlineStr">
        <is>
          <t>--c-b-800</t>
        </is>
      </c>
      <c r="B83" s="156" t="inlineStr">
        <is>
          <t>#1D4ED8</t>
        </is>
      </c>
      <c r="C83" s="215" t="inlineStr"/>
      <c r="D83" s="158" t="inlineStr">
        <is>
          <t>иконка роста</t>
        </is>
      </c>
    </row>
    <row r="84" ht="19" customHeight="1">
      <c r="A84" s="156" t="inlineStr">
        <is>
          <t>--c-b-900</t>
        </is>
      </c>
      <c r="B84" s="156" t="inlineStr">
        <is>
          <t>#3B6398</t>
        </is>
      </c>
      <c r="C84" s="216" t="inlineStr"/>
      <c r="D84" s="158" t="inlineStr">
        <is>
          <t>тёмный текст</t>
        </is>
      </c>
    </row>
    <row r="85" ht="19" customHeight="1">
      <c r="A85" s="156" t="inlineStr">
        <is>
          <t>--c-b-mut</t>
        </is>
      </c>
      <c r="B85" s="156" t="inlineStr">
        <is>
          <t>#7189AE</t>
        </is>
      </c>
      <c r="C85" s="217" t="inlineStr"/>
      <c r="D85" s="158" t="inlineStr">
        <is>
          <t>приглушённый</t>
        </is>
      </c>
    </row>
    <row r="86">
      <c r="A86" s="146" t="inlineStr">
        <is>
          <t>Фиолетовый · цитата, математика</t>
        </is>
      </c>
      <c r="B86" s="147" t="n"/>
      <c r="C86" s="147" t="n"/>
      <c r="D86" s="147" t="n"/>
    </row>
    <row r="87">
      <c r="A87" s="155" t="inlineStr">
        <is>
          <t>Токен CSS</t>
        </is>
      </c>
      <c r="B87" s="155" t="inlineStr">
        <is>
          <t>HEX</t>
        </is>
      </c>
      <c r="C87" s="155" t="inlineStr">
        <is>
          <t>Образец</t>
        </is>
      </c>
      <c r="D87" s="155" t="inlineStr">
        <is>
          <t>Где применяется</t>
        </is>
      </c>
    </row>
    <row r="88" ht="19" customHeight="1">
      <c r="A88" s="156" t="inlineStr">
        <is>
          <t>--c-v-50</t>
        </is>
      </c>
      <c r="B88" s="156" t="inlineStr">
        <is>
          <t>#F8F5FE</t>
        </is>
      </c>
      <c r="C88" s="218" t="inlineStr"/>
      <c r="D88" s="158" t="inlineStr">
        <is>
          <t>фон блока цитаты</t>
        </is>
      </c>
    </row>
    <row r="89" ht="19" customHeight="1">
      <c r="A89" s="156" t="inlineStr">
        <is>
          <t>--c-v-300</t>
        </is>
      </c>
      <c r="B89" s="156" t="inlineStr">
        <is>
          <t>#C7B9EC</t>
        </is>
      </c>
      <c r="C89" s="219" t="inlineStr"/>
      <c r="D89" s="158" t="inlineStr">
        <is>
          <t>сегмент</t>
        </is>
      </c>
    </row>
    <row r="90" ht="19" customHeight="1">
      <c r="A90" s="156" t="inlineStr">
        <is>
          <t>--c-v-500</t>
        </is>
      </c>
      <c r="B90" s="156" t="inlineStr">
        <is>
          <t>#8B5CF6</t>
        </is>
      </c>
      <c r="C90" s="220" t="inlineStr"/>
      <c r="D90" s="158" t="inlineStr">
        <is>
          <t>акцент</t>
        </is>
      </c>
    </row>
    <row r="91" ht="19" customHeight="1">
      <c r="A91" s="156" t="inlineStr">
        <is>
          <t>--c-v-700</t>
        </is>
      </c>
      <c r="B91" s="156" t="inlineStr">
        <is>
          <t>#6D3FD4</t>
        </is>
      </c>
      <c r="C91" s="221" t="inlineStr"/>
      <c r="D91" s="158" t="inlineStr">
        <is>
          <t>«потому что»</t>
        </is>
      </c>
    </row>
    <row r="92">
      <c r="A92" s="146" t="inlineStr">
        <is>
          <t>Розовый · обработка, SMM</t>
        </is>
      </c>
      <c r="B92" s="147" t="n"/>
      <c r="C92" s="147" t="n"/>
      <c r="D92" s="147" t="n"/>
    </row>
    <row r="93">
      <c r="A93" s="155" t="inlineStr">
        <is>
          <t>Токен CSS</t>
        </is>
      </c>
      <c r="B93" s="155" t="inlineStr">
        <is>
          <t>HEX</t>
        </is>
      </c>
      <c r="C93" s="155" t="inlineStr">
        <is>
          <t>Образец</t>
        </is>
      </c>
      <c r="D93" s="155" t="inlineStr">
        <is>
          <t>Где применяется</t>
        </is>
      </c>
    </row>
    <row r="94" ht="19" customHeight="1">
      <c r="A94" s="156" t="inlineStr">
        <is>
          <t>--c-p-50</t>
        </is>
      </c>
      <c r="B94" s="156" t="inlineStr">
        <is>
          <t>#FFF7FB</t>
        </is>
      </c>
      <c r="C94" s="222" t="inlineStr"/>
      <c r="D94" s="158" t="inlineStr">
        <is>
          <t>фон розовых плашек</t>
        </is>
      </c>
    </row>
    <row r="95" ht="19" customHeight="1">
      <c r="A95" s="156" t="inlineStr">
        <is>
          <t>--c-p-100</t>
        </is>
      </c>
      <c r="B95" s="156" t="inlineStr">
        <is>
          <t>#FCE7F3</t>
        </is>
      </c>
      <c r="C95" s="223" t="inlineStr"/>
      <c r="D95" s="158" t="inlineStr">
        <is>
          <t>иконка обработки</t>
        </is>
      </c>
    </row>
    <row r="96" ht="19" customHeight="1">
      <c r="A96" s="156" t="inlineStr">
        <is>
          <t>--c-p-500</t>
        </is>
      </c>
      <c r="B96" s="156" t="inlineStr">
        <is>
          <t>#EC4899</t>
        </is>
      </c>
      <c r="C96" s="224" t="inlineStr"/>
      <c r="D96" s="158" t="inlineStr">
        <is>
          <t>SMM</t>
        </is>
      </c>
    </row>
    <row r="97" ht="19" customHeight="1">
      <c r="A97" s="156" t="inlineStr">
        <is>
          <t>--c-p-700</t>
        </is>
      </c>
      <c r="B97" s="156" t="inlineStr">
        <is>
          <t>#9D174D</t>
        </is>
      </c>
      <c r="C97" s="225" t="inlineStr"/>
      <c r="D97" s="158" t="inlineStr">
        <is>
          <t>текст обработки</t>
        </is>
      </c>
    </row>
    <row r="99">
      <c r="A99" s="154" t="inlineStr">
        <is>
          <t>ПРАВИЛА</t>
        </is>
      </c>
    </row>
    <row r="100">
      <c r="A100" s="226" t="inlineStr">
        <is>
          <t>• Новый цвет в вёрстку не добавляем — берём ближайший токен из этого списка.</t>
        </is>
      </c>
    </row>
    <row r="101">
      <c r="A101" s="226" t="inlineStr">
        <is>
          <t>• Знак восклицания везде один: равносторонний треугольник со скруглёнными углами, заливка --c-a-400, знак белый.</t>
        </is>
      </c>
    </row>
    <row r="102">
      <c r="A102" s="226" t="inlineStr">
        <is>
          <t>• Размеры знака только два: 17×16 px в тексте (класс .iwt) и 42×39 px в плашке (класс .iwt.lg).</t>
        </is>
      </c>
    </row>
    <row r="103">
      <c r="A103" s="226" t="inlineStr">
        <is>
          <t>• Галочка подтверждения — круг --c-g-600 с белой галкой, класс .iok, те же два размера.</t>
        </is>
      </c>
    </row>
    <row r="104">
      <c r="A104" s="226" t="inlineStr">
        <is>
          <t>• Смысл цвета закреплён: зелёный — доход, красный — потеря, янтарный — внимание, синий — нейтраль.</t>
        </is>
      </c>
    </row>
    <row r="105">
      <c r="A105" s="226" t="inlineStr">
        <is>
          <t>• Общие классы плашек в обоих файлах: .warn2 (янтарная, внимание), .note2 (зелёная, подтверждение), .info2 (синяя, нейтральная информация).</t>
        </is>
      </c>
    </row>
    <row r="106">
      <c r="A106" s="226" t="inlineStr">
        <is>
          <t>• Новую плашку или подсказку оформляем этими классами — тогда она автоматически получит правильные цвета и отступы.</t>
        </is>
      </c>
    </row>
    <row r="107">
      <c r="A107" s="226" t="inlineStr">
        <is>
          <t>• Подсказка-вопрос в форме: класс .tip, круг --c-ln, при наведении --c-g-500.</t>
        </is>
      </c>
    </row>
    <row r="109">
      <c r="A109" s="154" t="inlineStr">
        <is>
          <t>ЛОГОТИП</t>
        </is>
      </c>
    </row>
    <row r="110">
      <c r="A110" s="226" t="inlineStr">
        <is>
          <t>• Знак: четыре ромба, сторона 10,10, смещение от центра 8,86, скругление 1,90 (viewBox 32×32).</t>
        </is>
      </c>
    </row>
    <row r="111">
      <c r="A111" s="226" t="inlineStr">
        <is>
          <t>• Активный юнит подсвечивается --c-g-500, остальные --c-ln. По умолчанию горит нижний (прибыль).</t>
        </is>
      </c>
    </row>
    <row r="112">
      <c r="A112" s="226" t="inlineStr">
        <is>
          <t>• Замок горизонтальный: знак 46 px, справа «счетикс» 19 px с разрядкой .11em, под ним подпись 9 px.</t>
        </is>
      </c>
    </row>
    <row r="113">
      <c r="A113" s="226" t="inlineStr">
        <is>
          <t>• Подпись «твоя юнит-экономика» растянута по ширине названия через space-between (буквы в &lt;i&gt;).</t>
        </is>
      </c>
    </row>
    <row r="114">
      <c r="A114" s="226" t="inlineStr">
        <is>
          <t>• В подвале: знак 20 px + «счетикс» 12 px, серым, прозрачность .55.</t>
        </is>
      </c>
    </row>
    <row r="115">
      <c r="A115" s="226" t="inlineStr">
        <is>
          <t>• Фоновая графика: ромбы знака, контур камеры и диафрагма — только --c-g-200/300, --c-b-250, --c-a-200.</t>
        </is>
      </c>
    </row>
    <row r="116">
      <c r="A116" s="243" t="inlineStr">
        <is>
          <t>--c-p-200</t>
        </is>
      </c>
      <c r="B116" s="243" t="inlineStr">
        <is>
          <t>#F9BBD4</t>
        </is>
      </c>
      <c r="C116" s="244" t="n"/>
      <c r="D116" s="245" t="inlineStr">
        <is>
          <t>розовая шкала яблока и полос</t>
        </is>
      </c>
    </row>
    <row r="117">
      <c r="A117" s="243" t="inlineStr">
        <is>
          <t>--c-p-300</t>
        </is>
      </c>
      <c r="B117" s="243" t="inlineStr">
        <is>
          <t>#F5C6DC</t>
        </is>
      </c>
      <c r="C117" s="246" t="n"/>
      <c r="D117" s="245" t="inlineStr">
        <is>
          <t>розовая шкала яблока и полос</t>
        </is>
      </c>
    </row>
    <row r="118">
      <c r="A118" s="243" t="inlineStr">
        <is>
          <t>--c-p-400</t>
        </is>
      </c>
      <c r="B118" s="243" t="inlineStr">
        <is>
          <t>#F385B4</t>
        </is>
      </c>
      <c r="C118" s="247" t="n"/>
      <c r="D118" s="245" t="inlineStr">
        <is>
          <t>розовая шкала яблока и полос</t>
        </is>
      </c>
    </row>
    <row r="119">
      <c r="A119" s="243" t="inlineStr">
        <is>
          <t>--c-p-600</t>
        </is>
      </c>
      <c r="B119" s="243" t="inlineStr">
        <is>
          <t>#B93A6B</t>
        </is>
      </c>
      <c r="C119" s="248" t="n"/>
      <c r="D119" s="245" t="inlineStr">
        <is>
          <t>розовая шкала яблока и полос</t>
        </is>
      </c>
    </row>
    <row r="121">
      <c r="A121" s="2" t="inlineStr">
        <is>
          <t>ГАММА БЛОКА 08 — добавлено 06.08.2026</t>
        </is>
      </c>
    </row>
    <row r="122">
      <c r="A122" t="inlineStr">
        <is>
          <t>--c-ig-1</t>
        </is>
      </c>
      <c r="B122" s="290" t="inlineStr">
        <is>
          <t>#833AB4</t>
        </is>
      </c>
      <c r="C122" t="inlineStr">
        <is>
          <t>фиолетово-малиновый, тёмный конец</t>
        </is>
      </c>
    </row>
    <row r="123">
      <c r="A123" t="inlineStr">
        <is>
          <t>--c-ig-2</t>
        </is>
      </c>
      <c r="B123" s="291" t="inlineStr">
        <is>
          <t>#C13584</t>
        </is>
      </c>
      <c r="C123" t="inlineStr">
        <is>
          <t>малиновый</t>
        </is>
      </c>
    </row>
    <row r="124">
      <c r="A124" t="inlineStr">
        <is>
          <t>--c-ig-3</t>
        </is>
      </c>
      <c r="B124" s="292" t="inlineStr">
        <is>
          <t>#E1306C</t>
        </is>
      </c>
      <c r="C124" t="inlineStr">
        <is>
          <t>коралловый</t>
        </is>
      </c>
    </row>
    <row r="125">
      <c r="A125" t="inlineStr">
        <is>
          <t>--c-ig-4</t>
        </is>
      </c>
      <c r="B125" s="293" t="inlineStr">
        <is>
          <t>#F56040</t>
        </is>
      </c>
      <c r="C125" t="inlineStr">
        <is>
          <t>янтарный, светлый конец</t>
        </is>
      </c>
    </row>
    <row r="126">
      <c r="A126" s="260" t="inlineStr">
        <is>
          <t>Плашки блока 08 — соседние пары: s1 = ig-2→ig-1, s2 = ig-3→ig-2, s3 = ig-4→ig-3. Единая тёплая гамма, белый текст проходит контраст 3,17 и выше</t>
        </is>
      </c>
    </row>
  </sheetData>
  <mergeCells count="14">
    <mergeCell ref="A102:D102"/>
    <mergeCell ref="A103:D103"/>
    <mergeCell ref="A110:D110"/>
    <mergeCell ref="A106:D106"/>
    <mergeCell ref="A105:D105"/>
    <mergeCell ref="A114:D114"/>
    <mergeCell ref="A100:D100"/>
    <mergeCell ref="A101:D101"/>
    <mergeCell ref="A104:D104"/>
    <mergeCell ref="A112:D112"/>
    <mergeCell ref="A113:D113"/>
    <mergeCell ref="A107:D107"/>
    <mergeCell ref="A115:D115"/>
    <mergeCell ref="A111:D11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74" customWidth="1" min="3" max="3"/>
  </cols>
  <sheetData>
    <row r="1">
      <c r="A1" s="144" t="inlineStr">
        <is>
          <t>09d · ЛОГОТИП — эталон, менять только здесь</t>
        </is>
      </c>
    </row>
    <row r="2" ht="28" customHeight="1">
      <c r="A2" s="145" t="inlineStr">
        <is>
          <t>Знак зафиксирован. Любая правка вёрстки должна сверяться с этим листом. Если логотип в файле отличается от кода ниже — это ошибка, привести к эталону.</t>
        </is>
      </c>
    </row>
    <row r="4">
      <c r="A4" s="146" t="inlineStr">
        <is>
          <t>ПРАВИЛА — нарушать нельзя</t>
        </is>
      </c>
      <c r="B4" s="147" t="n"/>
      <c r="C4" s="147" t="n"/>
    </row>
    <row r="5">
      <c r="A5" s="148" t="inlineStr">
        <is>
          <t>Параметр</t>
        </is>
      </c>
      <c r="B5" s="148" t="inlineStr">
        <is>
          <t>Значение</t>
        </is>
      </c>
      <c r="C5" s="148" t="inlineStr">
        <is>
          <t>Пояснение</t>
        </is>
      </c>
    </row>
    <row r="6" ht="30" customHeight="1">
      <c r="A6" s="149" t="inlineStr">
        <is>
          <t>Порядок в замке</t>
        </is>
      </c>
      <c r="B6" s="152" t="inlineStr">
        <is>
          <t>надпись СЛЕВА, знак СПРАВА</t>
        </is>
      </c>
      <c r="C6" s="152" t="inlineStr">
        <is>
          <t>Во всех местах обоих файлов: шапка отчёта, шапка формы, подвалы.</t>
        </is>
      </c>
    </row>
    <row r="7" ht="30" customHeight="1">
      <c r="A7" s="149" t="inlineStr">
        <is>
          <t>Зелёный элемент</t>
        </is>
      </c>
      <c r="B7" s="152" t="inlineStr">
        <is>
          <t>ПРАВЫЙ ромб</t>
        </is>
      </c>
      <c r="C7" s="152" t="inlineStr">
        <is>
          <t>Крайний правый. Не нижний, не верхний. Фиксировано, не меняется при прокрутке.</t>
        </is>
      </c>
    </row>
    <row r="8" ht="30" customHeight="1">
      <c r="A8" s="149" t="inlineStr">
        <is>
          <t>Цвет зелёного</t>
        </is>
      </c>
      <c r="B8" s="152" t="inlineStr">
        <is>
          <t>var(--c-g-500) = #21A038</t>
        </is>
      </c>
      <c r="C8" s="152" t="inlineStr">
        <is>
          <t>Основной зелёный бренда из листа 09c. Другие оттенки не использовать.</t>
        </is>
      </c>
    </row>
    <row r="9" ht="30" customHeight="1">
      <c r="A9" s="149" t="inlineStr">
        <is>
          <t>Цвет серых</t>
        </is>
      </c>
      <c r="B9" s="152" t="inlineStr">
        <is>
          <t>var(--c-ln) = #E5E7EB</t>
        </is>
      </c>
      <c r="C9" s="152" t="inlineStr">
        <is>
          <t>Три остальных ромба. В подвале те же цвета, гасится прозрачностью .55.</t>
        </is>
      </c>
    </row>
    <row r="10" ht="44" customHeight="1">
      <c r="A10" s="149" t="inlineStr">
        <is>
          <t>Анимация</t>
        </is>
      </c>
      <c r="B10" s="152" t="inlineStr">
        <is>
          <t>ЗАПРЕЩЕНА</t>
        </is>
      </c>
      <c r="C10" s="152" t="inlineStr">
        <is>
          <t>Знак статичен. Подсветка «активного юнита» по прокрутке была удалена — из-за неё логотип менялся на каждом экране.</t>
        </is>
      </c>
    </row>
    <row r="12">
      <c r="A12" s="146" t="inlineStr">
        <is>
          <t>ГЕОМЕТРИЯ · viewBox 32 × 32</t>
        </is>
      </c>
      <c r="B12" s="147" t="n"/>
      <c r="C12" s="147" t="n"/>
    </row>
    <row r="13">
      <c r="A13" s="148" t="inlineStr">
        <is>
          <t>Параметр</t>
        </is>
      </c>
      <c r="B13" s="148" t="inlineStr">
        <is>
          <t>Значение</t>
        </is>
      </c>
      <c r="C13" s="148" t="inlineStr">
        <is>
          <t>Пояснение</t>
        </is>
      </c>
    </row>
    <row r="14" ht="30" customHeight="1">
      <c r="A14" s="149" t="inlineStr">
        <is>
          <t>Сторона квадрата</t>
        </is>
      </c>
      <c r="B14" s="152" t="inlineStr">
        <is>
          <t>10,10</t>
        </is>
      </c>
      <c r="C14" s="152" t="inlineStr">
        <is>
          <t>Замерено по макету заказчика попиксельно.</t>
        </is>
      </c>
    </row>
    <row r="15" ht="30" customHeight="1">
      <c r="A15" s="149" t="inlineStr">
        <is>
          <t>Смещение от центра</t>
        </is>
      </c>
      <c r="B15" s="152" t="inlineStr">
        <is>
          <t>8,86</t>
        </is>
      </c>
      <c r="C15" s="152" t="inlineStr">
        <is>
          <t>Отношение к габариту ромба 0,62 — даёт воздушный зазор.</t>
        </is>
      </c>
    </row>
    <row r="16" ht="30" customHeight="1">
      <c r="A16" s="149" t="inlineStr">
        <is>
          <t>Скругление rx</t>
        </is>
      </c>
      <c r="B16" s="152" t="inlineStr">
        <is>
          <t>1,90</t>
        </is>
      </c>
      <c r="C16" s="152" t="inlineStr">
        <is>
          <t>19% стороны.</t>
        </is>
      </c>
    </row>
    <row r="17" ht="30" customHeight="1">
      <c r="A17" s="149" t="inlineStr">
        <is>
          <t>Поворот</t>
        </is>
      </c>
      <c r="B17" s="152" t="inlineStr">
        <is>
          <t>rotate(45)</t>
        </is>
      </c>
      <c r="C17" s="152" t="inlineStr">
        <is>
          <t>Вокруг центра каждого квадрата.</t>
        </is>
      </c>
    </row>
    <row r="18" ht="30" customHeight="1">
      <c r="A18" s="149" t="inlineStr">
        <is>
          <t>Размеры вывода</t>
        </is>
      </c>
      <c r="B18" s="152" t="inlineStr">
        <is>
          <t>46 px шапка · 20 px подвал</t>
        </is>
      </c>
      <c r="C18" s="152" t="inlineStr">
        <is>
          <t>Меняется только атрибут width/height, геометрия не трогается.</t>
        </is>
      </c>
    </row>
    <row r="20">
      <c r="A20" s="146" t="inlineStr">
        <is>
          <t>ТИПОГРАФИКА</t>
        </is>
      </c>
      <c r="B20" s="147" t="n"/>
      <c r="C20" s="147" t="n"/>
    </row>
    <row r="21">
      <c r="A21" s="148" t="inlineStr">
        <is>
          <t>Элемент</t>
        </is>
      </c>
      <c r="B21" s="148" t="inlineStr">
        <is>
          <t>Значение</t>
        </is>
      </c>
      <c r="C21" s="148" t="inlineStr">
        <is>
          <t>Пояснение</t>
        </is>
      </c>
    </row>
    <row r="22" ht="30" customHeight="1">
      <c r="A22" s="149" t="inlineStr">
        <is>
          <t>Название</t>
        </is>
      </c>
      <c r="B22" s="152" t="inlineStr">
        <is>
          <t>счетикс</t>
        </is>
      </c>
      <c r="C22" s="152" t="inlineStr">
        <is>
          <t>Строчными. 19 px, вес 700, разрядка .11em, цвет --c-ink.</t>
        </is>
      </c>
    </row>
    <row r="23" ht="40" customHeight="1">
      <c r="A23" s="149" t="inlineStr">
        <is>
          <t>Подпись</t>
        </is>
      </c>
      <c r="B23" s="152" t="inlineStr">
        <is>
          <t>твоя юнит-экономика</t>
        </is>
      </c>
      <c r="C23" s="152" t="inlineStr">
        <is>
          <t>9 px, --c-gr2, растянута по ширине названия через space-between (каждая буква в теге i).</t>
        </is>
      </c>
    </row>
    <row r="24" ht="30" customHeight="1">
      <c r="A24" s="149" t="inlineStr">
        <is>
          <t>Подвал</t>
        </is>
      </c>
      <c r="B24" s="152" t="inlineStr">
        <is>
          <t>счетикс</t>
        </is>
      </c>
      <c r="C24" s="152" t="inlineStr">
        <is>
          <t>12 px, вес 700, --c-gr, прозрачность блока .55.</t>
        </is>
      </c>
    </row>
    <row r="25" ht="30" customHeight="1">
      <c r="A25" s="149" t="inlineStr">
        <is>
          <t>Зазор знак↔текст</t>
        </is>
      </c>
      <c r="B25" s="152" t="inlineStr">
        <is>
          <t>12 px шапка · 7 px подвал</t>
        </is>
      </c>
      <c r="C25" s="152" t="inlineStr"/>
    </row>
    <row r="27">
      <c r="A27" s="146" t="inlineStr">
        <is>
          <t>ИСХОДНЫЙ КОД — копировать отсюда</t>
        </is>
      </c>
      <c r="B27" s="147" t="n"/>
      <c r="C27" s="147" t="n"/>
    </row>
    <row r="28">
      <c r="A28" s="148" t="inlineStr">
        <is>
          <t>Что</t>
        </is>
      </c>
      <c r="B28" s="148" t="inlineStr">
        <is>
          <t>Где применяется</t>
        </is>
      </c>
      <c r="C28" s="148" t="inlineStr">
        <is>
          <t>Код</t>
        </is>
      </c>
    </row>
    <row r="29" ht="96" customHeight="1">
      <c r="A29" s="149" t="inlineStr">
        <is>
          <t>Знак</t>
        </is>
      </c>
      <c r="B29" s="152" t="inlineStr">
        <is>
          <t>шапка (class=bx)</t>
        </is>
      </c>
      <c r="C29" s="231" t="inlineStr">
        <is>
          <t>&lt;svg class="bx" viewBox="0 0 32 32" fill="none" aria-hidden="true"&gt;&lt;rect x="10.95" y="2.09" width="10.10" height="10.10" rx="1.90" transform="rotate(45 16 7.14)" fill="var(--c-ln)"/&gt;&lt;rect x="19.81" y="10.95" width="10.10" height="10.10" rx="1.90" transform="rotate(45 24.86 16)" fill="var(--c-g-500)"/&gt;&lt;rect x="10.95" y="19.81" width="10.10" height="10.10" rx="1.90" transform="rotate(45 16 24.86)" fill="var(--c-ln)"/&gt;&lt;rect x="2.09" y="10.95" width="10.10" height="10.10" rx="1.90" transform="rotate(45 7.14 16)" fill="var(--c-ln)"/&gt;&lt;/svg&gt;</t>
        </is>
      </c>
    </row>
    <row r="30" ht="96" customHeight="1">
      <c r="A30" s="149" t="inlineStr">
        <is>
          <t>Замок целиком</t>
        </is>
      </c>
      <c r="B30" s="152" t="inlineStr">
        <is>
          <t>шапка отчёта и формы</t>
        </is>
      </c>
      <c r="C30" s="231" t="inlineStr">
        <is>
          <t>&lt;div class="brand" title="Счетикс — твоя юнит-экономика"&gt;&lt;span class="btx"&gt;&lt;span class="bt"&gt;счетикс&lt;/span&gt;&lt;span class="bd" data-t="bt_02"&gt;&lt;i&gt;т&lt;/i&gt;&lt;i&gt;в&lt;/i&gt;&lt;i&gt;о&lt;/i&gt;&lt;i&gt;я&lt;/i&gt;&lt;i&gt;&amp;nbsp;&lt;/i&gt;&lt;i&gt;ю&lt;/i&gt;&lt;i&gt;н&lt;/i&gt;&lt;i&gt;и&lt;/i&gt;&lt;i&gt;т&lt;/i&gt;&lt;i&gt;-&lt;/i&gt;&lt;i&gt;э&lt;/i&gt;&lt;i&gt;к&lt;/i&gt;&lt;i&gt;о&lt;/i&gt;&lt;i&gt;н&lt;/i&gt;&lt;i&gt;о&lt;/i&gt;&lt;i&gt;м&lt;/i&gt;&lt;i&gt;и&lt;/i&gt;&lt;i&gt;к&lt;/i&gt;&lt;i&gt;а&lt;/i&gt;&lt;/span&gt;&lt;/span&gt;&lt;svg class="bx" viewBox="0 0 32 32" fill="none" aria-hidden="true"&gt;&lt;rect x="10.95" y="2.09" width="10.10" height="10.10" rx="1.90" transform="rotate(45 16 7.14)" fill="var(--c-ln)"/&gt;&lt;rect x="19.81" y="10.95" width="10.10" height="10.10" rx="1.90" transform="rotate(45 24.86 16)" fill="var(--c-g-500)"/&gt;&lt;rect x="10.95" y="19.81" width="10.10" height="10.10" rx="1.90" transform="rotate(45 16 24.86)" fill="var(--c-ln)"/&gt;&lt;rect x="2.09" y="10.95" width="10.10" height="10.10" rx="1.90" transform="rotate(45 7.14 16)" fill="var(--c-ln)"/&gt;&lt;/svg&gt;&lt;/div&gt;</t>
        </is>
      </c>
    </row>
    <row r="31" ht="70" customHeight="1">
      <c r="A31" s="149" t="inlineStr">
        <is>
          <t>Подвал</t>
        </is>
      </c>
      <c r="B31" s="152" t="inlineStr">
        <is>
          <t>низ обоих файлов</t>
        </is>
      </c>
      <c r="C31" s="231" t="inlineStr">
        <is>
          <t>&lt;span class="lgs" title="Счетикс — твоя юнит-экономика"&gt;&lt;span class="lt"&gt;счетикс&lt;/span&gt;&lt;svg class="lx" viewBox="0 0 32 32" fill="none" aria-hidden="true"&gt;&lt;rect x="10.95" y="2.09" width="10.10" height="10.10" rx="1.90" transform="rotate(45 16 7.14)" fill="var(--c-ln)"/&gt;&lt;rect x="19.81" y="10.95" width="10.10" height="10.10" rx="1.90" transform="rotate(45 24.86 16)" fill="var(--c-g-500)"/&gt;&lt;rect x="10.95" y="19.81" width="10.10" height="10.10" rx="1.90" transform="rotate(45 16 24.86)" fill="var(--c-ln)"/&gt;&lt;rect x="2.09" y="10.95" width="10.10" height="10.10" rx="1.90" transform="rotate(45 7.14 16)" fill="var(--c-ln)"/&gt;&lt;/svg&gt;&lt;/span&gt;&lt;/span&gt;</t>
        </is>
      </c>
    </row>
    <row r="33">
      <c r="A33" s="146" t="inlineStr">
        <is>
          <t>ПРОВЕРКА ПОСЛЕ ЛЮБОЙ ПРАВКИ</t>
        </is>
      </c>
      <c r="B33" s="147" t="n"/>
      <c r="C33" s="147" t="n"/>
    </row>
    <row r="34">
      <c r="A34" s="226" t="inlineStr">
        <is>
          <t>• В обоих файлах ровно один зелёный ромб на знак, атрибут x="19.81".</t>
        </is>
      </c>
    </row>
    <row r="35">
      <c r="A35" s="226" t="inlineStr">
        <is>
          <t>• Порядок дочерних элементов: сначала span с текстом, потом svg.</t>
        </is>
      </c>
    </row>
    <row r="36">
      <c r="A36" s="226" t="inlineStr">
        <is>
          <t>• В коде нет классов u-inc / u-exp / u-res / u-prof — это следы удалённой анимации.</t>
        </is>
      </c>
    </row>
    <row r="37">
      <c r="A37" s="226" t="inlineStr">
        <is>
          <t>• В CSS нет правил .bx .u и .lx .u — цвет задаётся прямо в атрибутах fill.</t>
        </is>
      </c>
    </row>
    <row r="38">
      <c r="A38" s="226" t="inlineStr">
        <is>
          <t>• Фоновые знаки в блоке 01 тоже с зелёным справа.</t>
        </is>
      </c>
    </row>
    <row r="40">
      <c r="A40" s="154" t="inlineStr">
        <is>
          <t>ВЕРТИКАЛЬНЫЙ ВАРИАНТ · подвал</t>
        </is>
      </c>
    </row>
    <row r="41">
      <c r="A41" s="226" t="inlineStr">
        <is>
          <t>• В подвале обоих файлов знак стоит СВЕРХУ, надпись «счетикс» — под ним.</t>
        </is>
      </c>
    </row>
    <row r="42">
      <c r="A42" s="226" t="inlineStr">
        <is>
          <t>• Знак 26 px, надпись 11 px с разрядкой .17em, цвет --c-gr2, прозрачность блока .6.</t>
        </is>
      </c>
    </row>
    <row r="43">
      <c r="A43" s="226" t="inlineStr">
        <is>
          <t>• Горизонтальный вариант (надпись слева, знак справа) — только в шапке.</t>
        </is>
      </c>
    </row>
    <row r="44">
      <c r="A44" s="226" t="inlineStr">
        <is>
          <t>• Причина: в подвале мало места по ширине, горизонтальный замок расползался.</t>
        </is>
      </c>
    </row>
    <row r="46">
      <c r="A46" s="154" t="inlineStr">
        <is>
          <t>ФОНОВАЯ ГРАФИКА</t>
        </is>
      </c>
    </row>
    <row r="47">
      <c r="A47" s="226" t="inlineStr">
        <is>
          <t>• Зелёная плашка (hero): знак, камера, диафрагма — белым, прозрачность .05–.09.</t>
        </is>
      </c>
    </row>
    <row r="48">
      <c r="A48" s="226" t="inlineStr">
        <is>
          <t>• Блок 01: под кольцом белый диск 46%, чтобы фоновые рисунки не просвечивали в отверстие.</t>
        </is>
      </c>
    </row>
    <row r="49">
      <c r="A49" s="226" t="inlineStr">
        <is>
          <t>• Декор всегда z-index:0, контент — z-index:1. Фон не должен перекрывать цифры.</t>
        </is>
      </c>
    </row>
    <row r="51">
      <c r="A51" s="146" t="inlineStr">
        <is>
          <t>ФИРМЕННАЯ ГРАФИКА — три элемента, других не добавляем</t>
        </is>
      </c>
      <c r="B51" s="147" t="n"/>
      <c r="C51" s="147" t="n"/>
    </row>
    <row r="52">
      <c r="A52" s="232" t="inlineStr">
        <is>
          <t>Элемент</t>
        </is>
      </c>
      <c r="B52" s="232" t="inlineStr">
        <is>
          <t>Где применяется</t>
        </is>
      </c>
      <c r="C52" s="232" t="inlineStr">
        <is>
          <t>Как задан</t>
        </is>
      </c>
    </row>
    <row r="53" ht="56" customHeight="1">
      <c r="A53" s="149" t="inlineStr">
        <is>
          <t>1. Знак — четыре ромба</t>
        </is>
      </c>
      <c r="B53" s="152" t="inlineStr">
        <is>
          <t>Шапка и подвал обоих файлов. Фон блока 01 (три размера). Фон зелёной плашки, белым 7%. Фон блока «Почему можно верить», зелёным 5%.</t>
        </is>
      </c>
      <c r="C53" s="234" t="inlineStr">
        <is>
          <t>&lt;svg viewBox='0 0 32 32'&gt; + 4 rect, геометрия из раздела выше</t>
        </is>
      </c>
    </row>
    <row r="54" ht="56" customHeight="1">
      <c r="A54" s="149" t="inlineStr">
        <is>
          <t>2. Камера — контур</t>
        </is>
      </c>
      <c r="B54" s="152" t="inlineStr">
        <is>
          <t>Фон блока 01 (справа сверху, 92px). Фон зелёной плашки (справа сверху, белым 9%). Обозначает нишу: для другой профессии меняется на свою иконку.</t>
        </is>
      </c>
      <c r="C54" s="234" t="inlineStr">
        <is>
          <t>&lt;rect&gt; корпус + &lt;path&gt; выступ + 2 &lt;circle&gt; объектив, stroke-width 1–1.1</t>
        </is>
      </c>
    </row>
    <row r="55" ht="56" customHeight="1">
      <c r="A55" s="149" t="inlineStr">
        <is>
          <t>3. Круг — мягкое пятно</t>
        </is>
      </c>
      <c r="B55" s="152" t="inlineStr">
        <is>
          <t>Плашки условий труда: right:-30px, top:-30px, 130×130, белый 10%. Фон блока 01: два больших круга 320 и 340px, заливка --c-g-50 и --c-b-50.</t>
        </is>
      </c>
      <c r="C55" s="234" t="inlineStr">
        <is>
          <t>border-radius:50% + background:rgba(255,255,255,.10)
или &lt;circle&gt; с заливкой из палитры</t>
        </is>
      </c>
    </row>
    <row r="57">
      <c r="A57" s="226" t="inlineStr">
        <is>
          <t>• Прозрачность фоновой графики: 5–13%. Она должна читаться только если присматриваться.</t>
        </is>
      </c>
    </row>
    <row r="58">
      <c r="A58" s="226" t="inlineStr">
        <is>
          <t>• Цвета — строго из палитры 09c. На цветных подложках белый с прозрачностью.</t>
        </is>
      </c>
    </row>
    <row r="59">
      <c r="A59" s="226" t="inlineStr">
        <is>
          <t>• Абстрактных иконок (часы, стрелки, звёзды, диафрагма) больше не используем — только эти три элемента.</t>
        </is>
      </c>
    </row>
    <row r="60">
      <c r="A60" s="226" t="inlineStr">
        <is>
          <t>• Диафрагма объектива была удалена с зелёной плашки: читалась как посторонний символ.</t>
        </is>
      </c>
    </row>
    <row r="62">
      <c r="A62" s="154" t="inlineStr">
        <is>
          <t>ЦВЕТ ЗНАКА ЗАВИСИТ ОТ ФОНА</t>
        </is>
      </c>
    </row>
    <row r="63">
      <c r="A63" s="226" t="inlineStr">
        <is>
          <t>• На белом фоне серые ромбы — var(--c-ln) #E5E7EB.</t>
        </is>
      </c>
    </row>
    <row r="64">
      <c r="A64" s="226" t="inlineStr">
        <is>
          <t>• На сером фоне страницы (--c-bg #F5F6F8) — var(--c-gr3) #B6BCC4, иначе знак сливается: контраст 1,14 против 1,77.</t>
        </is>
      </c>
    </row>
    <row r="65">
      <c r="A65" s="226" t="inlineStr">
        <is>
          <t>• Зелёный ромб всегда var(--c-g-500), контраст к обоим фонам достаточный.</t>
        </is>
      </c>
    </row>
    <row r="67">
      <c r="A67" s="154" t="inlineStr">
        <is>
          <t>ЗНАЧКИ В ТЕКСТЕ</t>
        </is>
      </c>
    </row>
    <row r="68">
      <c r="A68" s="226" t="inlineStr">
        <is>
          <t>• В текстовых блоках используем системные эмодзи: ⚠️ «важно», ☝️ «внимание».</t>
        </is>
      </c>
    </row>
    <row r="69">
      <c r="A69" s="226" t="inlineStr">
        <is>
          <t>• Векторный треугольник остаётся только в плашках-предупреждениях (классы .iwt, .scwarn).</t>
        </is>
      </c>
    </row>
    <row r="70">
      <c r="A70" s="226" t="inlineStr">
        <is>
          <t>• Эмодзи ставим в &lt;span class="wic"&gt;, размер 17px, ширина колонки 22px.</t>
        </is>
      </c>
    </row>
    <row r="72">
      <c r="A72" s="2" t="inlineStr">
        <is>
          <t>ПОДВАЛ — обновлено 06.08.2026</t>
        </is>
      </c>
    </row>
    <row r="73">
      <c r="A73" t="inlineStr">
        <is>
          <t>Конструкция</t>
        </is>
      </c>
      <c r="C73" s="275" t="inlineStr">
        <is>
          <t>Та же, что в шапке: надпись СЛЕВА, знак СПРАВА</t>
        </is>
      </c>
    </row>
    <row r="74">
      <c r="A74" t="inlineStr">
        <is>
          <t>Знак</t>
        </is>
      </c>
      <c r="C74" s="275" t="inlineStr">
        <is>
          <t>46 px (в шапке 62 px)</t>
        </is>
      </c>
    </row>
    <row r="75">
      <c r="A75" t="inlineStr">
        <is>
          <t>«счетикс»</t>
        </is>
      </c>
      <c r="C75" s="275" t="inlineStr">
        <is>
          <t>14 px, --c-ink, letter-spacing .11em (в шапке 19 px)</t>
        </is>
      </c>
    </row>
    <row r="76">
      <c r="A76" t="inlineStr">
        <is>
          <t>«твоя юнит-экономика»</t>
        </is>
      </c>
      <c r="C76" s="275" t="inlineStr">
        <is>
          <t>6,6 px, растянута через space-between (в шапке 9 px)</t>
        </is>
      </c>
    </row>
    <row r="77">
      <c r="A77" t="inlineStr">
        <is>
          <t>Серые ромбы</t>
        </is>
      </c>
      <c r="C77" s="275" t="inlineStr">
        <is>
          <t>--c-gr3, не --c-ln: на сером фоне контраст 1,77 против 1,14</t>
        </is>
      </c>
    </row>
    <row r="78">
      <c r="A78" t="inlineStr">
        <is>
          <t>Зелёный ромб</t>
        </is>
      </c>
      <c r="C78" s="275" t="inlineStr">
        <is>
          <t>правый, x=19.81 — как везде</t>
        </is>
      </c>
    </row>
  </sheetData>
  <mergeCells count="23">
    <mergeCell ref="A41:C41"/>
    <mergeCell ref="A37:C37"/>
    <mergeCell ref="A57:C57"/>
    <mergeCell ref="A2:C2"/>
    <mergeCell ref="A42:C42"/>
    <mergeCell ref="A47:C47"/>
    <mergeCell ref="A35:C35"/>
    <mergeCell ref="A43:C43"/>
    <mergeCell ref="A38:C38"/>
    <mergeCell ref="A68:C68"/>
    <mergeCell ref="A63:C63"/>
    <mergeCell ref="A44:C44"/>
    <mergeCell ref="A58:C58"/>
    <mergeCell ref="A34:C34"/>
    <mergeCell ref="A59:C59"/>
    <mergeCell ref="A48:C48"/>
    <mergeCell ref="A64:C64"/>
    <mergeCell ref="A60:C60"/>
    <mergeCell ref="A36:C36"/>
    <mergeCell ref="A49:C49"/>
    <mergeCell ref="A70:C70"/>
    <mergeCell ref="A69:C69"/>
    <mergeCell ref="A65:C6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46" customWidth="1" min="3" max="3"/>
    <col width="26" customWidth="1" min="4" max="4"/>
    <col width="18" customWidth="1" min="5" max="5"/>
  </cols>
  <sheetData>
    <row r="1">
      <c r="A1" s="230" t="inlineStr">
        <is>
          <t>09e · КАК СЧИТАЕТСЯ СТОИМОСТЬ ЧАСА СЪЁМКИ</t>
        </is>
      </c>
    </row>
    <row r="2" ht="30" customHeight="1">
      <c r="A2" s="227" t="inlineStr">
        <is>
          <t>Полная цепочка расчёта по шагам — ровно так, как считает калькулятор. Все ID в колонке «Формула» ссылаются на лист 02_Параметры. Цифры в колонке «Результат» — для демо-набора (доход 108 999 ₽/мес, съёмка 2 ч, обработка ×3).</t>
        </is>
      </c>
    </row>
    <row r="4" ht="22" customHeight="1">
      <c r="A4" s="235" t="inlineStr">
        <is>
          <t>№</t>
        </is>
      </c>
      <c r="B4" s="235" t="inlineStr">
        <is>
          <t>Что считаем</t>
        </is>
      </c>
      <c r="C4" s="235" t="inlineStr">
        <is>
          <t>Как считаем — словами</t>
        </is>
      </c>
      <c r="D4" s="235" t="inlineStr">
        <is>
          <t>Формула (ID)</t>
        </is>
      </c>
      <c r="E4" s="235" t="inlineStr">
        <is>
          <t>Результат</t>
        </is>
      </c>
    </row>
    <row r="5" ht="79" customHeight="1">
      <c r="A5" s="236" t="inlineStr">
        <is>
          <t>1</t>
        </is>
      </c>
      <c r="B5" s="149" t="inlineStr">
        <is>
          <t>Рабочие дни за вычетом отпуска и больничного</t>
        </is>
      </c>
      <c r="C5" s="152" t="inlineStr">
        <is>
          <t>Берём производственный календарь — 247 рабочих дней. Вычитаем отпуск 20 рабочих дней (28 календарных по ТК РФ) и больничный 8 рабочих дней (10 календарных). Столько дней вы действительно на работе.</t>
        </is>
      </c>
      <c r="D5" s="237" t="inlineStr">
        <is>
          <t>net_days =
work_days − vacation_work − sick_work</t>
        </is>
      </c>
      <c r="E5" s="238" t="inlineStr">
        <is>
          <t>247 − 20 − 8 =
219 дней</t>
        </is>
      </c>
    </row>
    <row r="6" ht="79" customHeight="1">
      <c r="A6" s="236" t="inlineStr">
        <is>
          <t>2</t>
        </is>
      </c>
      <c r="B6" s="149" t="inlineStr">
        <is>
          <t>Чистое рабочее время в часах</t>
        </is>
      </c>
      <c r="C6" s="152" t="inlineStr">
        <is>
          <t>Номинальный день 8 часов, но продуктивных из них 7. Восьмой час уходит на подготовку и уборку рабочего места, зарядку и проверку техники, разминку и паузы — он размазан по всему дню и в проектное время не попадает.</t>
        </is>
      </c>
      <c r="D6" s="237" t="inlineStr">
        <is>
          <t>net_time =
net_days × eff_hours</t>
        </is>
      </c>
      <c r="E6" s="238" t="inlineStr">
        <is>
          <t>219 × 7 =
1 533 часа</t>
        </is>
      </c>
    </row>
    <row r="7" ht="79" customHeight="1">
      <c r="A7" s="236" t="inlineStr">
        <is>
          <t>3</t>
        </is>
      </c>
      <c r="B7" s="149" t="inlineStr">
        <is>
          <t>Вычитаем операционное время</t>
        </is>
      </c>
      <c r="C7" s="152" t="inlineStr">
        <is>
          <t>Продвижение — 2 часа в день: съёмка контента, монтаж рилсов, тексты постов, ответы в директ, настройка рекламы. Учёт и отчётность — 3 часа в квартал. Это работа, но она не привязана к конкретному заказу.</t>
        </is>
      </c>
      <c r="D7" s="237" t="inlineStr">
        <is>
          <t>side_time =
promo_time + accounting_time
pool_gross = net_time − side_time</t>
        </is>
      </c>
      <c r="E7" s="238" t="inlineStr">
        <is>
          <t>продвижение 438 ч
учёт 12 ч
1533 − 450 =
1 083 часа</t>
        </is>
      </c>
    </row>
    <row r="8" ht="79" customHeight="1">
      <c r="A8" s="236" t="inlineStr">
        <is>
          <t>4</t>
        </is>
      </c>
      <c r="B8" s="149" t="inlineStr">
        <is>
          <t>Откладываем резерв на форс-мажоры</t>
        </is>
      </c>
      <c r="C8" s="152" t="inlineStr">
        <is>
          <t>5% времени уходит на переносы, отмены, повторные выезды по вине клиента. Это время вы тратите, но денег за него не получаете, поэтому убираем его из фонда, доступного под заказы.</t>
        </is>
      </c>
      <c r="D8" s="237" t="inlineStr">
        <is>
          <t>fm_time = pool_gross × fm_pct
project_pool = pool_gross − fm_time</t>
        </is>
      </c>
      <c r="E8" s="238" t="inlineStr">
        <is>
          <t>1083 × 5% = 54,15 ч
1083 − 54,15 =
1 028,85 часа</t>
        </is>
      </c>
    </row>
    <row r="9" ht="92" customHeight="1">
      <c r="A9" s="236" t="inlineStr">
        <is>
          <t>5</t>
        </is>
      </c>
      <c r="B9" s="149" t="inlineStr">
        <is>
          <t>Считаем, сколько часов съедает один заказ</t>
        </is>
      </c>
      <c r="C9" s="152" t="inlineStr">
        <is>
          <t>Пользователь задаёт три величины: типовая длительность съёмки (2 ч), сколько часов обработки приходится на час съёмки (3), сколько времени уходит на переписку и согласование одного заказа (1 ч). Полный цикл заказа складывается из них.</t>
        </is>
      </c>
      <c r="D9" s="237" t="inlineStr">
        <is>
          <t>project_time =
shoot_duration × (1 + post_ratio)
+ client_time</t>
        </is>
      </c>
      <c r="E9" s="238" t="inlineStr">
        <is>
          <t>2 × (1+3) + 1 =
9 часов</t>
        </is>
      </c>
    </row>
    <row r="10" ht="66" customHeight="1">
      <c r="A10" s="236" t="inlineStr">
        <is>
          <t>6</t>
        </is>
      </c>
      <c r="B10" s="149" t="inlineStr">
        <is>
          <t>Сколько заказов помещается в год</t>
        </is>
      </c>
      <c r="C10" s="152" t="inlineStr">
        <is>
          <t>Делим доступное проектное время на длительность одного заказа. Дробное число — это нормально: часть заказа переходит на следующий период.</t>
        </is>
      </c>
      <c r="D10" s="237" t="inlineStr">
        <is>
          <t>projects_year =
project_pool / project_time</t>
        </is>
      </c>
      <c r="E10" s="238" t="inlineStr">
        <is>
          <t>1028,85 / 9 =
114,32 заказа</t>
        </is>
      </c>
    </row>
    <row r="11" ht="79" customHeight="1">
      <c r="A11" s="236" t="inlineStr">
        <is>
          <t>7</t>
        </is>
      </c>
      <c r="B11" s="149" t="inlineStr">
        <is>
          <t>Сколько из них — ОПЛАЧИВАЕМЫЕ часы съёмки</t>
        </is>
      </c>
      <c r="C11" s="152" t="inlineStr">
        <is>
          <t>КЛЮЧЕВОЙ ШАГ. Клиент покупает только часы на площадке. Обработка, переписка, продвижение и паузы в его счёт не попадают. Из 1 752 часов вашей работы в году продаётся только 229 — это 13%.</t>
        </is>
      </c>
      <c r="D11" s="237" t="inlineStr">
        <is>
          <t>shooting_time =
projects_year × shoot_duration</t>
        </is>
      </c>
      <c r="E11" s="238" t="inlineStr">
        <is>
          <t>114,32 × 2 =
228,63 часа</t>
        </is>
      </c>
    </row>
    <row r="12" ht="66" customHeight="1">
      <c r="A12" s="236" t="inlineStr">
        <is>
          <t>8</t>
        </is>
      </c>
      <c r="B12" s="149" t="inlineStr">
        <is>
          <t>Сколько денег нужно собрать за год</t>
        </is>
      </c>
      <c r="C12" s="152" t="inlineStr">
        <is>
          <t>Складываем желаемый доход на руки и все расходы бизнеса: амортизацию техники, офиса, ПО, обучения и сайта плюс переменные — рекламу, подписки, аренду, банк.</t>
        </is>
      </c>
      <c r="D12" s="237" t="inlineStr">
        <is>
          <t>target_income = income_month × 12
total_costs = investment + variable_costs</t>
        </is>
      </c>
      <c r="E12" s="238" t="inlineStr">
        <is>
          <t>1 307 988 ₽ доход
666 026 ₽ расходы</t>
        </is>
      </c>
    </row>
    <row r="13" ht="92" customHeight="1">
      <c r="A13" s="236" t="inlineStr">
        <is>
          <t>9</t>
        </is>
      </c>
      <c r="B13" s="149" t="inlineStr">
        <is>
          <t>Раскручиваем выручку назад через налоги</t>
        </is>
      </c>
      <c r="C13" s="152" t="inlineStr">
        <is>
          <t>Здесь нельзя просто сложить доход и расходы. С выручки ещё уйдёт налог по вашему режиму и комиссия банка за приём платежей. Поэтому мы ДЕЛИМ нужную сумму на оставшуюся долю — так получается выручка, из которой после всех вычетов останется ровно желаемый доход.</t>
        </is>
      </c>
      <c r="D13" s="237" t="inlineStr">
        <is>
          <t>R = (target_income + total_costs)
/ (1 − acquiring − rate_current)</t>
        </is>
      </c>
      <c r="E13" s="238" t="inlineStr">
        <is>
          <t>(1 307 988 + 666 026)
/ (1 − 0,028 − 0,06) =
2 164 489 ₽</t>
        </is>
      </c>
    </row>
    <row r="14" ht="66" customHeight="1">
      <c r="A14" s="236" t="inlineStr">
        <is>
          <t>10</t>
        </is>
      </c>
      <c r="B14" s="149" t="inlineStr">
        <is>
          <t>Делим выручку на оплачиваемые часы</t>
        </is>
      </c>
      <c r="C14" s="152" t="inlineStr">
        <is>
          <t>Вся годовая выручка должна собраться с тех самых 229 съёмочных часов, потому что больше клиент ничего не покупает. Это и есть ставка часа.</t>
        </is>
      </c>
      <c r="D14" s="237" t="inlineStr">
        <is>
          <t>СТАВКА = R / shooting_time</t>
        </is>
      </c>
      <c r="E14" s="238" t="inlineStr">
        <is>
          <t>2 164 489 / 228,63 =
9 467 ₽/час</t>
        </is>
      </c>
    </row>
    <row r="16">
      <c r="A16" s="239" t="inlineStr">
        <is>
          <t>ПРОВЕРКА — сходится ли</t>
        </is>
      </c>
      <c r="B16" s="147" t="n"/>
      <c r="C16" s="147" t="n"/>
      <c r="D16" s="147" t="n"/>
      <c r="E16" s="147" t="n"/>
    </row>
    <row r="17" ht="30" customHeight="1">
      <c r="B17" s="149" t="inlineStr">
        <is>
          <t>Выручка минус всё</t>
        </is>
      </c>
      <c r="C17" s="152" t="inlineStr">
        <is>
          <t>2 164 489 − 666 026 расходов − 60 606 эквайринга − 129 869 налога</t>
        </is>
      </c>
      <c r="D17" s="240" t="inlineStr">
        <is>
          <t>'= 1 307 988 ₽</t>
        </is>
      </c>
      <c r="E17" s="152" t="inlineStr">
        <is>
          <t>совпало с желаемым доходом</t>
        </is>
      </c>
    </row>
    <row r="18" ht="30" customHeight="1">
      <c r="B18" s="149" t="inlineStr">
        <is>
          <t>Легенда блока 01</t>
        </is>
      </c>
      <c r="C18" s="152" t="inlineStr">
        <is>
          <t>сумма всех 15 строк</t>
        </is>
      </c>
      <c r="D18" s="240" t="inlineStr">
        <is>
          <t>'= 9 467 ₽</t>
        </is>
      </c>
      <c r="E18" s="152" t="inlineStr">
        <is>
          <t>совпало со ставкой часа</t>
        </is>
      </c>
    </row>
    <row r="19" ht="30" customHeight="1">
      <c r="B19" s="149" t="inlineStr">
        <is>
          <t>Шапка отчёта</t>
        </is>
      </c>
      <c r="C19" s="152" t="inlineStr">
        <is>
          <t>108 999 доход + 71 375 расходы</t>
        </is>
      </c>
      <c r="D19" s="240" t="inlineStr">
        <is>
          <t>'= 180 374 ₽</t>
        </is>
      </c>
      <c r="E19" s="152" t="inlineStr">
        <is>
          <t>совпало с выручкой в месяц</t>
        </is>
      </c>
    </row>
    <row r="21">
      <c r="A21" s="239" t="inlineStr">
        <is>
          <t>ДВЕ РАЗНЫЕ СТАВКИ — не путать</t>
        </is>
      </c>
      <c r="B21" s="147" t="n"/>
      <c r="C21" s="147" t="n"/>
      <c r="D21" s="147" t="n"/>
      <c r="E21" s="147" t="n"/>
    </row>
    <row r="22" ht="42" customHeight="1">
      <c r="B22" s="149" t="inlineStr">
        <is>
          <t>Ставка за час съёмки</t>
        </is>
      </c>
      <c r="C22" s="152" t="inlineStr">
        <is>
          <t>Цена в прайсе. Её платит клиент за час вашего присутствия на площадке.</t>
        </is>
      </c>
      <c r="D22" s="237" t="inlineStr">
        <is>
          <t>R / shooting_time</t>
        </is>
      </c>
      <c r="E22" s="238" t="inlineStr">
        <is>
          <t>9 467 ₽</t>
        </is>
      </c>
    </row>
    <row r="23" ht="42" customHeight="1">
      <c r="B23" s="149" t="inlineStr">
        <is>
          <t>Фактическая стоимость часа</t>
        </is>
      </c>
      <c r="C23" s="152" t="inlineStr">
        <is>
          <t>Сколько вы реально зарабатываете за час ЛЮБОЙ работы — с камерой или за компьютером.</t>
        </is>
      </c>
      <c r="D23" s="237" t="inlineStr">
        <is>
          <t>target_income / (net_time + idle_time)</t>
        </is>
      </c>
      <c r="E23" s="238" t="inlineStr">
        <is>
          <t>747 ₽</t>
        </is>
      </c>
    </row>
    <row r="24" ht="30" customHeight="1">
      <c r="B24" s="241" t="inlineStr">
        <is>
          <t>Разница в 12,7 раза возникает по двум причинам сразу: оплачивается только 13% рабочего времени (229 часов съёмки из 1 752), и ещё 40% выручки уходит на расходы и налоги.</t>
        </is>
      </c>
    </row>
  </sheetData>
  <mergeCells count="3">
    <mergeCell ref="A2:E2"/>
    <mergeCell ref="A1:E1"/>
    <mergeCell ref="B24:E2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0" customWidth="1" min="3" max="3"/>
    <col width="34" customWidth="1" min="4" max="4"/>
    <col width="15" customWidth="1" min="5" max="5"/>
  </cols>
  <sheetData>
    <row r="1">
      <c r="A1" s="144" t="inlineStr">
        <is>
          <t>09f · ГРУППЫ ЗАТРАТ — основа для всех диаграмм</t>
        </is>
      </c>
    </row>
    <row r="2">
      <c r="A2" s="145" t="inlineStr">
        <is>
          <t>Единая группировка. Все графики отчёта строятся на этих группах. Добавляете новый расход — определяете, в какую группу он идёт.</t>
        </is>
      </c>
    </row>
    <row r="4">
      <c r="A4" s="146" t="inlineStr">
        <is>
          <t>ВРЕМЯ · 6 групп</t>
        </is>
      </c>
      <c r="B4" s="147" t="n"/>
      <c r="C4" s="147" t="n"/>
      <c r="D4" s="147" t="n"/>
      <c r="E4" s="147" t="n"/>
    </row>
    <row r="5">
      <c r="A5" s="145" t="inlineStr">
        <is>
          <t>Всего 1 752 ч/год = 40 ч/нед. Проверка: сумма групп = норма рабочей недели</t>
        </is>
      </c>
    </row>
    <row r="6">
      <c r="A6" s="232" t="inlineStr">
        <is>
          <t>№</t>
        </is>
      </c>
      <c r="B6" s="232" t="inlineStr">
        <is>
          <t>Группа</t>
        </is>
      </c>
      <c r="C6" s="232" t="inlineStr">
        <is>
          <t>Что входит</t>
        </is>
      </c>
      <c r="D6" s="232" t="inlineStr">
        <is>
          <t>Параметры (ID)</t>
        </is>
      </c>
      <c r="E6" s="232" t="inlineStr">
        <is>
          <t>Значение</t>
        </is>
      </c>
    </row>
    <row r="7" ht="32" customHeight="1">
      <c r="A7" s="233" t="inlineStr">
        <is>
          <t>1</t>
        </is>
      </c>
      <c r="B7" s="149" t="inlineStr">
        <is>
          <t>Съёмка на площадке</t>
        </is>
      </c>
      <c r="C7" s="233" t="inlineStr">
        <is>
          <t>Часы с камерой. ЕДИНСТВЕННОЕ, что оплачивает клиент</t>
        </is>
      </c>
      <c r="D7" s="151" t="inlineStr">
        <is>
          <t>shooting_time</t>
        </is>
      </c>
      <c r="E7" s="233" t="inlineStr">
        <is>
          <t>228,6 ч/год · 5,2 ч/нед</t>
        </is>
      </c>
    </row>
    <row r="8" ht="32" customHeight="1">
      <c r="A8" s="233" t="inlineStr">
        <is>
          <t>2</t>
        </is>
      </c>
      <c r="B8" s="149" t="inlineStr">
        <is>
          <t>Обработка материала</t>
        </is>
      </c>
      <c r="C8" s="233" t="inlineStr">
        <is>
          <t>Отбор, кадрирование, цвет, ретушь, экспорт, заливка в облако, правки</t>
        </is>
      </c>
      <c r="D8" s="151" t="inlineStr">
        <is>
          <t>post_time</t>
        </is>
      </c>
      <c r="E8" s="233" t="inlineStr">
        <is>
          <t>685,9 ч/год · 15,7 ч/нед</t>
        </is>
      </c>
    </row>
    <row r="9" ht="32" customHeight="1">
      <c r="A9" s="233" t="inlineStr">
        <is>
          <t>3</t>
        </is>
      </c>
      <c r="B9" s="149" t="inlineStr">
        <is>
          <t>Продвижение и поиск заказов</t>
        </is>
      </c>
      <c r="C9" s="233" t="inlineStr">
        <is>
          <t>Контент, рилсы, тексты, реклама, директ, портфолио, отзывы</t>
        </is>
      </c>
      <c r="D9" s="151" t="inlineStr">
        <is>
          <t>promo_time</t>
        </is>
      </c>
      <c r="E9" s="233" t="inlineStr">
        <is>
          <t>438 ч/год · 10,0 ч/нед</t>
        </is>
      </c>
    </row>
    <row r="10" ht="32" customHeight="1">
      <c r="A10" s="233" t="inlineStr">
        <is>
          <t>4</t>
        </is>
      </c>
      <c r="B10" s="149" t="inlineStr">
        <is>
          <t>Работа с клиентом</t>
        </is>
      </c>
      <c r="C10" s="233" t="inlineStr">
        <is>
          <t>Переписка, согласование даты и референсов, договор, предоплата</t>
        </is>
      </c>
      <c r="D10" s="151" t="inlineStr">
        <is>
          <t>client_total</t>
        </is>
      </c>
      <c r="E10" s="233" t="inlineStr">
        <is>
          <t>114,3 ч/год · 2,6 ч/нед</t>
        </is>
      </c>
    </row>
    <row r="11" ht="32" customHeight="1">
      <c r="A11" s="233" t="inlineStr">
        <is>
          <t>5</t>
        </is>
      </c>
      <c r="B11" s="149" t="inlineStr">
        <is>
          <t>Учёт и отчётность</t>
        </is>
      </c>
      <c r="C11" s="233" t="inlineStr">
        <is>
          <t>Чеки, декларации, взносы по срокам, книга учёта</t>
        </is>
      </c>
      <c r="D11" s="151" t="inlineStr">
        <is>
          <t>accounting_time</t>
        </is>
      </c>
      <c r="E11" s="233" t="inlineStr">
        <is>
          <t>12 ч/год · 0,3 ч/нед</t>
        </is>
      </c>
    </row>
    <row r="12" ht="32" customHeight="1">
      <c r="A12" s="233" t="inlineStr">
        <is>
          <t>6</t>
        </is>
      </c>
      <c r="B12" s="149" t="inlineStr">
        <is>
          <t>Рабочие паузы и форс-мажоры</t>
        </is>
      </c>
      <c r="C12" s="233" t="inlineStr">
        <is>
          <t>Подготовка места, зарядка техники, разминка, переносы, отмены</t>
        </is>
      </c>
      <c r="D12" s="151" t="inlineStr">
        <is>
          <t>idle_time + fm_time</t>
        </is>
      </c>
      <c r="E12" s="233" t="inlineStr">
        <is>
          <t>273,2 ч/год · 6,2 ч/нед</t>
        </is>
      </c>
    </row>
    <row r="14">
      <c r="A14" s="146" t="inlineStr">
        <is>
          <t>ДЕНЬГИ · 8 групп</t>
        </is>
      </c>
      <c r="B14" s="147" t="n"/>
      <c r="C14" s="147" t="n"/>
      <c r="D14" s="147" t="n"/>
      <c r="E14" s="147" t="n"/>
    </row>
    <row r="15">
      <c r="A15" s="145" t="inlineStr">
        <is>
          <t>Всего 856 500 ₽/год = 71 375 ₽/мес. Проверка: сумма групп = строка «Всего расходов» в шапке</t>
        </is>
      </c>
    </row>
    <row r="16">
      <c r="A16" s="232" t="inlineStr">
        <is>
          <t>№</t>
        </is>
      </c>
      <c r="B16" s="232" t="inlineStr">
        <is>
          <t>Группа</t>
        </is>
      </c>
      <c r="C16" s="232" t="inlineStr">
        <is>
          <t>Что входит</t>
        </is>
      </c>
      <c r="D16" s="232" t="inlineStr">
        <is>
          <t>Параметры (ID)</t>
        </is>
      </c>
      <c r="E16" s="232" t="inlineStr">
        <is>
          <t>Значение</t>
        </is>
      </c>
    </row>
    <row r="17" ht="32" customHeight="1">
      <c r="A17" s="233" t="inlineStr">
        <is>
          <t>1</t>
        </is>
      </c>
      <c r="B17" s="149" t="inlineStr">
        <is>
          <t>Съёмочная техника</t>
        </is>
      </c>
      <c r="C17" s="233" t="inlineStr">
        <is>
          <t>Камера, оптика, свет, синхронизаторы, карты, сумки, аккумуляторы</t>
        </is>
      </c>
      <c r="D17" s="151" t="inlineStr">
        <is>
          <t>dep_shoot (Form001)</t>
        </is>
      </c>
      <c r="E17" s="233" t="inlineStr">
        <is>
          <t>137 893 ₽/год · 11 491 ₽/мес</t>
        </is>
      </c>
    </row>
    <row r="18" ht="32" customHeight="1">
      <c r="A18" s="233" t="inlineStr">
        <is>
          <t>2</t>
        </is>
      </c>
      <c r="B18" s="149" t="inlineStr">
        <is>
          <t>Компьютер и рабочее место</t>
        </is>
      </c>
      <c r="C18" s="233" t="inlineStr">
        <is>
          <t>Системный блок, монитор, периферия, мебель, ремонт</t>
        </is>
      </c>
      <c r="D18" s="151" t="inlineStr">
        <is>
          <t>dep_office + dep_workspace</t>
        </is>
      </c>
      <c r="E18" s="233" t="inlineStr">
        <is>
          <t>75 019 ₽/год · 6 252 ₽/мес</t>
        </is>
      </c>
    </row>
    <row r="19" ht="32" customHeight="1">
      <c r="A19" s="233" t="inlineStr">
        <is>
          <t>3</t>
        </is>
      </c>
      <c r="B19" s="149" t="inlineStr">
        <is>
          <t>Программное обеспечение</t>
        </is>
      </c>
      <c r="C19" s="233" t="inlineStr">
        <is>
          <t>Плагины разово (Form004) плюс подписки помесячно (Form003)</t>
        </is>
      </c>
      <c r="D19" s="151" t="inlineStr">
        <is>
          <t>dep_software + var_software</t>
        </is>
      </c>
      <c r="E19" s="233" t="inlineStr">
        <is>
          <t>45 100 ₽/год · 3 758 ₽/мес</t>
        </is>
      </c>
    </row>
    <row r="20" ht="32" customHeight="1">
      <c r="A20" s="233" t="inlineStr">
        <is>
          <t>4</t>
        </is>
      </c>
      <c r="B20" s="149" t="inlineStr">
        <is>
          <t>Обучение и сайт</t>
        </is>
      </c>
      <c r="C20" s="233" t="inlineStr">
        <is>
          <t>Курсы и сайт, разложенные по сроку амортизации</t>
        </is>
      </c>
      <c r="D20" s="151" t="inlineStr">
        <is>
          <t>dep_education + dep_website</t>
        </is>
      </c>
      <c r="E20" s="233" t="inlineStr">
        <is>
          <t>83 714 ₽/год · 6 976 ₽/мес</t>
        </is>
      </c>
    </row>
    <row r="21" ht="32" customHeight="1">
      <c r="A21" s="233" t="inlineStr">
        <is>
          <t>5</t>
        </is>
      </c>
      <c r="B21" s="149" t="inlineStr">
        <is>
          <t>Реклама и продвижение</t>
        </is>
      </c>
      <c r="C21" s="233" t="inlineStr">
        <is>
          <t>Директ, таргет, размещения у блогеров, домен и хостинг</t>
        </is>
      </c>
      <c r="D21" s="151" t="inlineStr">
        <is>
          <t>var_ads (Form010)</t>
        </is>
      </c>
      <c r="E21" s="233" t="inlineStr">
        <is>
          <t>295 000 ₽/год · 24 583 ₽/мес</t>
        </is>
      </c>
    </row>
    <row r="22" ht="32" customHeight="1">
      <c r="A22" s="233" t="inlineStr">
        <is>
          <t>6</t>
        </is>
      </c>
      <c r="B22" s="149" t="inlineStr">
        <is>
          <t>Аренда и связь</t>
        </is>
      </c>
      <c r="C22" s="233" t="inlineStr">
        <is>
          <t>Помещение или доля квартиры, коммунальные, РКО, СМС</t>
        </is>
      </c>
      <c r="D22" s="151" t="inlineStr">
        <is>
          <t>var_workspace + var_bank</t>
        </is>
      </c>
      <c r="E22" s="233" t="inlineStr">
        <is>
          <t>29 300 ₽/год · 2 442 ₽/мес</t>
        </is>
      </c>
    </row>
    <row r="23" ht="32" customHeight="1">
      <c r="A23" s="233" t="inlineStr">
        <is>
          <t>7</t>
        </is>
      </c>
      <c r="B23" s="149" t="inlineStr">
        <is>
          <t>Налоги и взносы</t>
        </is>
      </c>
      <c r="C23" s="233" t="inlineStr">
        <is>
          <t>По выбранному режиму, вместе со страховыми взносами ИП</t>
        </is>
      </c>
      <c r="D23" s="151" t="inlineStr">
        <is>
          <t>taxAll (05_Расчёт)</t>
        </is>
      </c>
      <c r="E23" s="233" t="inlineStr">
        <is>
          <t>129 869 ₽/год · 10 822 ₽/мес</t>
        </is>
      </c>
    </row>
    <row r="24" ht="32" customHeight="1">
      <c r="A24" s="233" t="inlineStr">
        <is>
          <t>8</t>
        </is>
      </c>
      <c r="B24" s="149" t="inlineStr">
        <is>
          <t>Банковский эквайринг</t>
        </is>
      </c>
      <c r="C24" s="233" t="inlineStr">
        <is>
          <t>Комиссия 2,8% с каждого поступления</t>
        </is>
      </c>
      <c r="D24" s="151" t="inlineStr">
        <is>
          <t>acquiring</t>
        </is>
      </c>
      <c r="E24" s="233" t="inlineStr">
        <is>
          <t>60 606 ₽/год · 5 050 ₽/мес</t>
        </is>
      </c>
    </row>
    <row r="26">
      <c r="A26" s="154" t="inlineStr">
        <is>
          <t>ПРАВИЛА</t>
        </is>
      </c>
    </row>
    <row r="27">
      <c r="A27" s="242" t="inlineStr">
        <is>
          <t>• Новый расход — сначала определяем группу, потом добавляем в 03_Каталоги с нужным кодом формы.</t>
        </is>
      </c>
    </row>
    <row r="28">
      <c r="A28" s="242" t="inlineStr">
        <is>
          <t>• Группы не пересекаются: каждый рубль и каждый час попадает ровно в одну.</t>
        </is>
      </c>
    </row>
    <row r="29">
      <c r="A29" s="242" t="inlineStr">
        <is>
          <t>• Диаграммы блока 01 и блока 05 строятся на этих же группах — при изменении списка правим и там.</t>
        </is>
      </c>
    </row>
    <row r="30">
      <c r="A30" s="242" t="inlineStr">
        <is>
          <t>• Строки с нулевым значением в отчёте скрываются автоматически.</t>
        </is>
      </c>
    </row>
  </sheetData>
  <mergeCells count="7">
    <mergeCell ref="A30:E30"/>
    <mergeCell ref="A29:E29"/>
    <mergeCell ref="A2:E2"/>
    <mergeCell ref="A15:E15"/>
    <mergeCell ref="A28:E28"/>
    <mergeCell ref="A5:E5"/>
    <mergeCell ref="A27:E2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6" customWidth="1" min="3" max="3"/>
    <col width="24" customWidth="1" min="4" max="4"/>
    <col width="30" customWidth="1" min="5" max="5"/>
  </cols>
  <sheetData>
    <row r="1">
      <c r="A1" s="1" t="inlineStr">
        <is>
          <t>09g · СОКРАЩЕНИЯ — единый стандарт для книги, calc.html и report.html</t>
        </is>
      </c>
    </row>
    <row r="2">
      <c r="A2" s="250" t="inlineStr">
        <is>
          <t>Правило: составные единицы пишем через слэш, без пробелов вокруг. Между числом и единицей — неразрывный пробел. Знак ₽ после числа.</t>
        </is>
      </c>
    </row>
    <row r="4">
      <c r="A4" s="256" t="inlineStr">
        <is>
          <t>ЕДИНИЦЫ ИЗМЕРЕНИЯ</t>
        </is>
      </c>
    </row>
    <row r="5">
      <c r="A5" s="257" t="inlineStr">
        <is>
          <t>Смысл</t>
        </is>
      </c>
      <c r="B5" s="257" t="inlineStr">
        <is>
          <t>ПИШЕМ ТАК</t>
        </is>
      </c>
      <c r="C5" s="257" t="inlineStr">
        <is>
          <t>НЕ пишем</t>
        </is>
      </c>
      <c r="D5" s="257" t="inlineStr">
        <is>
          <t>Пример</t>
        </is>
      </c>
      <c r="E5" s="257" t="inlineStr">
        <is>
          <t>Где применяется</t>
        </is>
      </c>
    </row>
    <row r="6">
      <c r="A6" s="229" t="inlineStr">
        <is>
          <t>Деньги за час</t>
        </is>
      </c>
      <c r="B6" s="258" t="inlineStr">
        <is>
          <t>₽/ч</t>
        </is>
      </c>
      <c r="C6" s="259" t="inlineStr">
        <is>
          <t>₽ в час · ₽/час · руб/ч</t>
        </is>
      </c>
      <c r="D6" s="229" t="inlineStr">
        <is>
          <t>747 ₽/ч</t>
        </is>
      </c>
      <c r="E6" s="260" t="inlineStr">
        <is>
          <t>ставка, легенда, итог</t>
        </is>
      </c>
    </row>
    <row r="7">
      <c r="A7" s="229" t="inlineStr">
        <is>
          <t>Деньги в месяц</t>
        </is>
      </c>
      <c r="B7" s="258" t="inlineStr">
        <is>
          <t>₽/мес</t>
        </is>
      </c>
      <c r="C7" s="259" t="inlineStr">
        <is>
          <t>₽ в месяц · ₽ в мес</t>
        </is>
      </c>
      <c r="D7" s="229" t="inlineStr">
        <is>
          <t>71 375 ₽/мес</t>
        </is>
      </c>
      <c r="E7" s="260" t="inlineStr">
        <is>
          <t>расходы, формы</t>
        </is>
      </c>
    </row>
    <row r="8">
      <c r="A8" s="229" t="inlineStr">
        <is>
          <t>Деньги в год</t>
        </is>
      </c>
      <c r="B8" s="258" t="inlineStr">
        <is>
          <t>₽/год</t>
        </is>
      </c>
      <c r="C8" s="259" t="inlineStr">
        <is>
          <t>₽ в год</t>
        </is>
      </c>
      <c r="D8" s="229" t="inlineStr">
        <is>
          <t>856 500 ₽/год</t>
        </is>
      </c>
      <c r="E8" s="260" t="inlineStr">
        <is>
          <t>расходы, группы затрат</t>
        </is>
      </c>
    </row>
    <row r="9">
      <c r="A9" s="229" t="inlineStr">
        <is>
          <t>Деньги за проект</t>
        </is>
      </c>
      <c r="B9" s="258" t="inlineStr">
        <is>
          <t>₽/проект</t>
        </is>
      </c>
      <c r="C9" s="259" t="inlineStr">
        <is>
          <t>₽ за проект</t>
        </is>
      </c>
      <c r="D9" s="229" t="inlineStr">
        <is>
          <t>18 934 ₽/проект</t>
        </is>
      </c>
      <c r="E9" s="260" t="inlineStr">
        <is>
          <t>сценарии</t>
        </is>
      </c>
    </row>
    <row r="10">
      <c r="A10" s="229" t="inlineStr">
        <is>
          <t>Часы в год</t>
        </is>
      </c>
      <c r="B10" s="258" t="inlineStr">
        <is>
          <t>ч/год</t>
        </is>
      </c>
      <c r="C10" s="259" t="inlineStr">
        <is>
          <t>часов в год · ч в год</t>
        </is>
      </c>
      <c r="D10" s="229" t="inlineStr">
        <is>
          <t>228,6 ч/год</t>
        </is>
      </c>
      <c r="E10" s="260" t="inlineStr">
        <is>
          <t>легенда, время</t>
        </is>
      </c>
    </row>
    <row r="11">
      <c r="A11" s="229" t="inlineStr">
        <is>
          <t>Часы в неделю</t>
        </is>
      </c>
      <c r="B11" s="258" t="inlineStr">
        <is>
          <t>ч/нед</t>
        </is>
      </c>
      <c r="C11" s="259" t="inlineStr">
        <is>
          <t>часов в неделю</t>
        </is>
      </c>
      <c r="D11" s="229" t="inlineStr">
        <is>
          <t>5,2 ч/нед</t>
        </is>
      </c>
      <c r="E11" s="260" t="inlineStr">
        <is>
          <t>неделя, группы</t>
        </is>
      </c>
    </row>
    <row r="12">
      <c r="A12" s="229" t="inlineStr">
        <is>
          <t>Часы в день</t>
        </is>
      </c>
      <c r="B12" s="258" t="inlineStr">
        <is>
          <t>ч/день</t>
        </is>
      </c>
      <c r="C12" s="259" t="inlineStr">
        <is>
          <t>часов в день</t>
        </is>
      </c>
      <c r="D12" s="229" t="inlineStr">
        <is>
          <t>8 ч/день</t>
        </is>
      </c>
      <c r="E12" s="260" t="inlineStr">
        <is>
          <t>условия труда</t>
        </is>
      </c>
    </row>
    <row r="13">
      <c r="A13" s="229" t="inlineStr">
        <is>
          <t>Часы (просто)</t>
        </is>
      </c>
      <c r="B13" s="258" t="inlineStr">
        <is>
          <t>ч</t>
        </is>
      </c>
      <c r="C13" s="259" t="inlineStr">
        <is>
          <t>часа · часов</t>
        </is>
      </c>
      <c r="D13" s="229" t="inlineStr">
        <is>
          <t>7,7 ч</t>
        </is>
      </c>
      <c r="E13" s="260" t="inlineStr">
        <is>
          <t>итог под кольцом</t>
        </is>
      </c>
    </row>
    <row r="14">
      <c r="A14" s="229" t="inlineStr">
        <is>
          <t>Дни в году</t>
        </is>
      </c>
      <c r="B14" s="258" t="inlineStr">
        <is>
          <t>дн/год</t>
        </is>
      </c>
      <c r="C14" s="259" t="inlineStr">
        <is>
          <t>дней в году</t>
        </is>
      </c>
      <c r="D14" s="229" t="inlineStr">
        <is>
          <t>219 дн/год</t>
        </is>
      </c>
      <c r="E14" s="260" t="inlineStr">
        <is>
          <t>условия труда</t>
        </is>
      </c>
    </row>
    <row r="15">
      <c r="A15" s="229" t="inlineStr">
        <is>
          <t>Проценты</t>
        </is>
      </c>
      <c r="B15" s="258" t="inlineStr">
        <is>
          <t>%</t>
        </is>
      </c>
      <c r="C15" s="259" t="inlineStr">
        <is>
          <t>процентов</t>
        </is>
      </c>
      <c r="D15" s="229" t="inlineStr">
        <is>
          <t>2,8 %</t>
        </is>
      </c>
      <c r="E15" s="260" t="inlineStr">
        <is>
          <t>налоги, эквайринг</t>
        </is>
      </c>
    </row>
    <row r="16">
      <c r="A16" s="229" t="inlineStr">
        <is>
          <t>Штуки</t>
        </is>
      </c>
      <c r="B16" s="258" t="inlineStr">
        <is>
          <t>шт</t>
        </is>
      </c>
      <c r="C16" s="259" t="inlineStr">
        <is>
          <t>штук</t>
        </is>
      </c>
      <c r="D16" s="229" t="inlineStr">
        <is>
          <t>80 шт</t>
        </is>
      </c>
      <c r="E16" s="260" t="inlineStr">
        <is>
          <t>кадры</t>
        </is>
      </c>
    </row>
    <row r="18">
      <c r="A18" s="256" t="inlineStr">
        <is>
          <t>ЧИСЛА И ЗНАКИ</t>
        </is>
      </c>
    </row>
    <row r="19">
      <c r="A19" s="257" t="inlineStr">
        <is>
          <t>Что</t>
        </is>
      </c>
      <c r="B19" s="257" t="inlineStr">
        <is>
          <t>ПИШЕМ ТАК</t>
        </is>
      </c>
      <c r="C19" s="257" t="inlineStr">
        <is>
          <t>НЕ пишем</t>
        </is>
      </c>
      <c r="D19" s="257" t="inlineStr">
        <is>
          <t>Пример</t>
        </is>
      </c>
      <c r="E19" s="257" t="inlineStr">
        <is>
          <t>Примечание</t>
        </is>
      </c>
    </row>
    <row r="20">
      <c r="A20" s="229" t="inlineStr">
        <is>
          <t>Разряды</t>
        </is>
      </c>
      <c r="B20" s="258" t="inlineStr">
        <is>
          <t>пробел</t>
        </is>
      </c>
      <c r="C20" s="259" t="inlineStr">
        <is>
          <t>запятая · точка</t>
        </is>
      </c>
      <c r="D20" s="229" t="inlineStr">
        <is>
          <t>2 164 489</t>
        </is>
      </c>
      <c r="E20" s="260" t="inlineStr">
        <is>
          <t>неразрывный пробел</t>
        </is>
      </c>
    </row>
    <row r="21">
      <c r="A21" s="229" t="inlineStr">
        <is>
          <t>Дробная часть</t>
        </is>
      </c>
      <c r="B21" s="258" t="inlineStr">
        <is>
          <t>запятая</t>
        </is>
      </c>
      <c r="C21" s="259" t="inlineStr">
        <is>
          <t>точка</t>
        </is>
      </c>
      <c r="D21" s="229" t="inlineStr">
        <is>
          <t>7,7 · 228,6</t>
        </is>
      </c>
      <c r="E21" s="260" t="inlineStr">
        <is>
          <t>одна цифра после запятой</t>
        </is>
      </c>
    </row>
    <row r="22">
      <c r="A22" s="229" t="inlineStr">
        <is>
          <t>Рубли в тексте</t>
        </is>
      </c>
      <c r="B22" s="258" t="inlineStr">
        <is>
          <t>₽</t>
        </is>
      </c>
      <c r="C22" s="259" t="inlineStr">
        <is>
          <t>руб. · р. · rub</t>
        </is>
      </c>
      <c r="D22" s="229" t="inlineStr">
        <is>
          <t>9 467 ₽</t>
        </is>
      </c>
      <c r="E22" s="260" t="inlineStr">
        <is>
          <t>знак после числа</t>
        </is>
      </c>
    </row>
    <row r="23">
      <c r="A23" s="229" t="inlineStr">
        <is>
          <t>Тире между словами</t>
        </is>
      </c>
      <c r="B23" s="258" t="inlineStr">
        <is>
          <t>—</t>
        </is>
      </c>
      <c r="C23" s="259" t="inlineStr">
        <is>
          <t>- · –</t>
        </is>
      </c>
      <c r="D23" s="229" t="inlineStr">
        <is>
          <t>Как фотограф — съёмка</t>
        </is>
      </c>
      <c r="E23" s="260" t="inlineStr">
        <is>
          <t>длинное тире с пробелами</t>
        </is>
      </c>
    </row>
    <row r="24">
      <c r="A24" s="229" t="inlineStr">
        <is>
          <t>Диапазон</t>
        </is>
      </c>
      <c r="B24" s="258" t="inlineStr">
        <is>
          <t>–</t>
        </is>
      </c>
      <c r="C24" s="259" t="inlineStr">
        <is>
          <t>- · —</t>
        </is>
      </c>
      <c r="D24" s="229" t="inlineStr">
        <is>
          <t>5–7 ч</t>
        </is>
      </c>
      <c r="E24" s="260" t="inlineStr">
        <is>
          <t>короткое тире без пробелов</t>
        </is>
      </c>
    </row>
    <row r="25">
      <c r="A25" s="229" t="inlineStr">
        <is>
          <t>Округление</t>
        </is>
      </c>
      <c r="B25" s="258" t="inlineStr">
        <is>
          <t>до рубля</t>
        </is>
      </c>
      <c r="C25" s="259" t="inlineStr">
        <is>
          <t>до сотен</t>
        </is>
      </c>
      <c r="D25" s="229" t="inlineStr">
        <is>
          <t>9 467 ₽</t>
        </is>
      </c>
      <c r="E25" s="260" t="inlineStr">
        <is>
          <t>кроме крупной цифры в шапке</t>
        </is>
      </c>
    </row>
    <row r="26">
      <c r="A26" s="256" t="inlineStr">
        <is>
          <t>ПОДПИСИ МЕТРИК</t>
        </is>
      </c>
      <c r="B26" s="256" t="inlineStr"/>
      <c r="C26" s="256" t="inlineStr"/>
    </row>
    <row r="27">
      <c r="A27" s="257" t="inlineStr">
        <is>
          <t>Что</t>
        </is>
      </c>
    </row>
    <row r="28">
      <c r="A28" s="229" t="inlineStr">
        <is>
          <t>Сумма за период</t>
        </is>
      </c>
      <c r="B28" s="229" t="inlineStr">
        <is>
          <t>Налоги и взносы / год</t>
        </is>
      </c>
      <c r="C28" s="229" t="inlineStr">
        <is>
          <t>Налоги и взносы за год</t>
        </is>
      </c>
    </row>
    <row r="29">
      <c r="A29" s="229" t="inlineStr">
        <is>
          <t>Сумма в месяц</t>
        </is>
      </c>
      <c r="B29" s="229" t="inlineStr">
        <is>
          <t>Налоги и взносы / мес</t>
        </is>
      </c>
      <c r="C29" s="229" t="inlineStr">
        <is>
          <t>В месяц государству</t>
        </is>
      </c>
    </row>
    <row r="30">
      <c r="A30" s="229" t="inlineStr">
        <is>
          <t>Количество за период</t>
        </is>
      </c>
      <c r="B30" s="229" t="inlineStr">
        <is>
          <t>Проектов / год · Съёмок / мес</t>
        </is>
      </c>
      <c r="C30" s="229" t="inlineStr">
        <is>
          <t>Проектов в год · Съёмок в месяц</t>
        </is>
      </c>
    </row>
    <row r="31">
      <c r="A31" s="229" t="inlineStr">
        <is>
          <t>Выручка</t>
        </is>
      </c>
      <c r="B31" s="229" t="inlineStr">
        <is>
          <t>Расчётная выручка / год</t>
        </is>
      </c>
      <c r="C31" s="229" t="inlineStr">
        <is>
          <t>Ваша расчётная выручка</t>
        </is>
      </c>
    </row>
    <row r="32">
      <c r="A32" s="229" t="inlineStr">
        <is>
          <t>Где НЕ применяем</t>
        </is>
      </c>
      <c r="B32" s="229" t="inlineStr">
        <is>
          <t>в связном тексте: «платятся даже в месяцы без заказов»</t>
        </is>
      </c>
      <c r="C32" s="229" t="inlineStr"/>
    </row>
    <row r="34">
      <c r="A34" s="250" t="inlineStr">
        <is>
          <t>Правило одно на все три файла. Появилась новая единица — сначала строка здесь, потом в вёрстку.</t>
        </is>
      </c>
    </row>
  </sheetData>
  <mergeCells count="5">
    <mergeCell ref="A4:E4"/>
    <mergeCell ref="A2:E2"/>
    <mergeCell ref="A1:E1"/>
    <mergeCell ref="A18:E18"/>
    <mergeCell ref="A27:E2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2" customWidth="1" min="3" max="3"/>
    <col width="12" customWidth="1" min="4" max="4"/>
    <col width="40" customWidth="1" min="5" max="5"/>
  </cols>
  <sheetData>
    <row r="1">
      <c r="A1" s="1" t="inlineStr">
        <is>
          <t>09h · ПОВТОРЯЮЩИЕСЯ ЭЛЕМЕНТЫ — единый стиль для всех документов</t>
        </is>
      </c>
    </row>
    <row r="2">
      <c r="A2" s="250" t="inlineStr">
        <is>
          <t>Одна сущность — один класс. Появился похожий элемент — сначала строка здесь, потом вёрстка. Свои hex запрещены, только токены палитры 09c.</t>
        </is>
      </c>
    </row>
    <row r="4">
      <c r="A4" s="256" t="inlineStr">
        <is>
          <t>ЗНАЧОК В КРУЖКЕ — общая геометрия</t>
        </is>
      </c>
    </row>
    <row r="5">
      <c r="A5" s="257" t="inlineStr">
        <is>
          <t>Параметр</t>
        </is>
      </c>
      <c r="B5" s="257" t="inlineStr">
        <is>
          <t>Значение</t>
        </is>
      </c>
      <c r="C5" s="257" t="inlineStr">
        <is>
          <t>Примечание</t>
        </is>
      </c>
    </row>
    <row r="6">
      <c r="A6" s="229" t="inlineStr">
        <is>
          <t>диаметр</t>
        </is>
      </c>
      <c r="B6" s="258" t="inlineStr">
        <is>
          <t>18 px</t>
        </is>
      </c>
      <c r="C6" s="260" t="inlineStr">
        <is>
          <t>одинаков во всех документах</t>
        </is>
      </c>
    </row>
    <row r="7">
      <c r="A7" s="229" t="inlineStr">
        <is>
          <t>скругление</t>
        </is>
      </c>
      <c r="B7" s="258" t="inlineStr">
        <is>
          <t>50%</t>
        </is>
      </c>
      <c r="C7" s="260" t="inlineStr">
        <is>
          <t>идеальный круг</t>
        </is>
      </c>
    </row>
    <row r="8">
      <c r="A8" s="229" t="inlineStr">
        <is>
          <t>размер знака</t>
        </is>
      </c>
      <c r="B8" s="258" t="inlineStr">
        <is>
          <t>11 px</t>
        </is>
      </c>
      <c r="C8" s="260" t="inlineStr">
        <is>
          <t>font-weight 700</t>
        </is>
      </c>
    </row>
    <row r="9">
      <c r="A9" s="229" t="inlineStr">
        <is>
          <t>выравнивание</t>
        </is>
      </c>
      <c r="B9" s="258" t="inlineStr">
        <is>
          <t>flex, по центру</t>
        </is>
      </c>
      <c r="C9" s="260" t="inlineStr">
        <is>
          <t>align-items и justify-content center</t>
        </is>
      </c>
    </row>
    <row r="10">
      <c r="A10" s="229" t="inlineStr">
        <is>
          <t>отступ до текста</t>
        </is>
      </c>
      <c r="B10" s="258" t="inlineStr">
        <is>
          <t>10 px</t>
        </is>
      </c>
      <c r="C10" s="260" t="inlineStr">
        <is>
          <t>padding-left у блока текста</t>
        </is>
      </c>
    </row>
    <row r="11">
      <c r="A11" s="229" t="inlineStr">
        <is>
          <t>положение</t>
        </is>
      </c>
      <c r="B11" s="258" t="inlineStr">
        <is>
          <t>absolute, left 0</t>
        </is>
      </c>
      <c r="C11" s="260" t="inlineStr">
        <is>
          <t>верх выровнен по первой строке</t>
        </is>
      </c>
    </row>
    <row r="13">
      <c r="A13" s="256" t="inlineStr">
        <is>
          <t>ВИДЫ ЗНАЧКА</t>
        </is>
      </c>
    </row>
    <row r="14">
      <c r="A14" s="257" t="inlineStr">
        <is>
          <t>Класс</t>
        </is>
      </c>
      <c r="B14" s="257" t="inlineStr">
        <is>
          <t>Знак</t>
        </is>
      </c>
      <c r="C14" s="257" t="inlineStr">
        <is>
          <t>Кружок</t>
        </is>
      </c>
      <c r="D14" s="257" t="inlineStr">
        <is>
          <t>Знак — цвет</t>
        </is>
      </c>
      <c r="E14" s="257" t="inlineStr">
        <is>
          <t>Когда применяем</t>
        </is>
      </c>
    </row>
    <row r="15">
      <c r="A15" s="258" t="inlineStr">
        <is>
          <t>.ic.warn</t>
        </is>
      </c>
      <c r="B15" s="271" t="inlineStr">
        <is>
          <t>!</t>
        </is>
      </c>
      <c r="C15" s="272" t="inlineStr">
        <is>
          <t>--c-a-400</t>
        </is>
      </c>
      <c r="D15" s="272" t="inlineStr">
        <is>
          <t>--c-white</t>
        </is>
      </c>
      <c r="E15" s="229" t="inlineStr">
        <is>
          <t>предупреждение: что будет, если не сделать</t>
        </is>
      </c>
    </row>
    <row r="16">
      <c r="A16" s="258" t="inlineStr">
        <is>
          <t>.ic.info</t>
        </is>
      </c>
      <c r="B16" s="271" t="inlineStr">
        <is>
          <t>i</t>
        </is>
      </c>
      <c r="C16" s="272" t="inlineStr">
        <is>
          <t>--c-b-400</t>
        </is>
      </c>
      <c r="D16" s="272" t="inlineStr">
        <is>
          <t>--c-white</t>
        </is>
      </c>
      <c r="E16" s="229" t="inlineStr">
        <is>
          <t>важное пояснение, без тревоги</t>
        </is>
      </c>
    </row>
    <row r="17">
      <c r="A17" s="258" t="inlineStr">
        <is>
          <t>.ic.ok</t>
        </is>
      </c>
      <c r="B17" s="271" t="inlineStr">
        <is>
          <t>✓</t>
        </is>
      </c>
      <c r="C17" s="272" t="inlineStr">
        <is>
          <t>--c-g-500</t>
        </is>
      </c>
      <c r="D17" s="272" t="inlineStr">
        <is>
          <t>--c-white</t>
        </is>
      </c>
      <c r="E17" s="229" t="inlineStr">
        <is>
          <t>подтверждение, лучший вариант</t>
        </is>
      </c>
    </row>
    <row r="18">
      <c r="A18" s="258" t="inlineStr">
        <is>
          <t>.ic.tip</t>
        </is>
      </c>
      <c r="B18" s="271" t="inlineStr">
        <is>
          <t>?</t>
        </is>
      </c>
      <c r="C18" s="272" t="inlineStr">
        <is>
          <t>--c-ln</t>
        </is>
      </c>
      <c r="D18" s="272" t="inlineStr">
        <is>
          <t>--c-gr</t>
        </is>
      </c>
      <c r="E18" s="229" t="inlineStr">
        <is>
          <t>подсказка при наведении, у поля ввода</t>
        </is>
      </c>
    </row>
    <row r="20">
      <c r="A20" s="256" t="inlineStr">
        <is>
          <t>БЛОКИ-ПРИМЕЧАНИЯ</t>
        </is>
      </c>
    </row>
    <row r="21">
      <c r="A21" s="257" t="inlineStr">
        <is>
          <t>Класс</t>
        </is>
      </c>
      <c r="B21" s="257" t="inlineStr">
        <is>
          <t>Размер</t>
        </is>
      </c>
      <c r="C21" s="257" t="inlineStr">
        <is>
          <t>Цвет текста</t>
        </is>
      </c>
      <c r="D21" s="257" t="inlineStr">
        <is>
          <t>Фон и рамка</t>
        </is>
      </c>
      <c r="E21" s="257" t="inlineStr">
        <is>
          <t>Когда применяем</t>
        </is>
      </c>
    </row>
    <row r="22">
      <c r="A22" s="258" t="inlineStr">
        <is>
          <t>.note</t>
        </is>
      </c>
      <c r="B22" s="267" t="inlineStr">
        <is>
          <t>13 px</t>
        </is>
      </c>
      <c r="C22" s="272" t="inlineStr">
        <is>
          <t>--c-gr</t>
        </is>
      </c>
      <c r="D22" s="272" t="inlineStr">
        <is>
          <t>нет</t>
        </is>
      </c>
      <c r="E22" s="229" t="inlineStr">
        <is>
          <t>нейтральное пояснение под блоком</t>
        </is>
      </c>
    </row>
    <row r="23">
      <c r="A23" s="258" t="inlineStr">
        <is>
          <t>.note.sm</t>
        </is>
      </c>
      <c r="B23" s="267" t="inlineStr">
        <is>
          <t>12 px</t>
        </is>
      </c>
      <c r="C23" s="272" t="inlineStr">
        <is>
          <t>--c-gr2</t>
        </is>
      </c>
      <c r="D23" s="272" t="inlineStr">
        <is>
          <t>нет</t>
        </is>
      </c>
      <c r="E23" s="229" t="inlineStr">
        <is>
          <t>мелкая сноска под строкой</t>
        </is>
      </c>
    </row>
    <row r="24">
      <c r="A24" s="258" t="inlineStr">
        <is>
          <t>.note.warn</t>
        </is>
      </c>
      <c r="B24" s="267" t="inlineStr">
        <is>
          <t>13 px</t>
        </is>
      </c>
      <c r="C24" s="272" t="inlineStr">
        <is>
          <t>--c-a-800</t>
        </is>
      </c>
      <c r="D24" s="272" t="inlineStr">
        <is>
          <t>фон --c-a-50, рамка 1px dashed --c-a-300</t>
        </is>
      </c>
      <c r="E24" s="229" t="inlineStr">
        <is>
          <t>предупреждение о последствиях</t>
        </is>
      </c>
    </row>
    <row r="25">
      <c r="A25" s="258" t="inlineStr">
        <is>
          <t>.note.info</t>
        </is>
      </c>
      <c r="B25" s="267" t="inlineStr">
        <is>
          <t>13 px</t>
        </is>
      </c>
      <c r="C25" s="272" t="inlineStr">
        <is>
          <t>--c-b-800</t>
        </is>
      </c>
      <c r="D25" s="272" t="inlineStr">
        <is>
          <t>фон --c-b-50, рамка 1px solid --c-b-200</t>
        </is>
      </c>
      <c r="E25" s="229" t="inlineStr">
        <is>
          <t>важное пояснение</t>
        </is>
      </c>
    </row>
    <row r="26">
      <c r="A26" s="258" t="inlineStr">
        <is>
          <t>.note.ok</t>
        </is>
      </c>
      <c r="B26" s="267" t="inlineStr">
        <is>
          <t>13 px</t>
        </is>
      </c>
      <c r="C26" s="272" t="inlineStr">
        <is>
          <t>--c-g-800</t>
        </is>
      </c>
      <c r="D26" s="272" t="inlineStr">
        <is>
          <t>фон --c-g-50, рамка 1px solid --c-g-200</t>
        </is>
      </c>
      <c r="E26" s="229" t="inlineStr">
        <is>
          <t>подтверждение, всё верно</t>
        </is>
      </c>
    </row>
    <row r="27">
      <c r="A27" s="258" t="inlineStr">
        <is>
          <t>.note.plain</t>
        </is>
      </c>
      <c r="B27" s="267" t="inlineStr">
        <is>
          <t>13 px</t>
        </is>
      </c>
      <c r="C27" s="272" t="inlineStr">
        <is>
          <t>--c-gr</t>
        </is>
      </c>
      <c r="D27" s="272" t="inlineStr">
        <is>
          <t>фон --c-surf, без рамки</t>
        </is>
      </c>
      <c r="E27" s="229" t="inlineStr">
        <is>
          <t>длинная методическая сноска</t>
        </is>
      </c>
    </row>
    <row r="29">
      <c r="A29" s="256" t="inlineStr">
        <is>
          <t>ЧТО ЗАМЕНЯЕТ — старые классы, переводим постепенно</t>
        </is>
      </c>
    </row>
    <row r="30">
      <c r="A30" s="257" t="inlineStr">
        <is>
          <t>Старый класс</t>
        </is>
      </c>
      <c r="B30" s="257" t="inlineStr">
        <is>
          <t>Было</t>
        </is>
      </c>
      <c r="C30" s="257" t="inlineStr">
        <is>
          <t>Станет</t>
        </is>
      </c>
      <c r="D30" s="257" t="inlineStr">
        <is>
          <t>Блок</t>
        </is>
      </c>
      <c r="E30" s="257" t="inlineStr">
        <is>
          <t>Статус</t>
        </is>
      </c>
    </row>
    <row r="31">
      <c r="A31" s="272" t="inlineStr">
        <is>
          <t>.lgwarn</t>
        </is>
      </c>
      <c r="B31" s="273" t="inlineStr">
        <is>
          <t>13 px, кружок 14 px --c-a-400</t>
        </is>
      </c>
      <c r="C31" s="258" t="inlineStr">
        <is>
          <t>.note.warn</t>
        </is>
      </c>
      <c r="D31" s="229" t="inlineStr">
        <is>
          <t>01</t>
        </is>
      </c>
      <c r="E31" s="274" t="inlineStr">
        <is>
          <t>переведён</t>
        </is>
      </c>
    </row>
    <row r="32">
      <c r="A32" s="272" t="inlineStr">
        <is>
          <t>.lognote</t>
        </is>
      </c>
      <c r="B32" s="273" t="inlineStr">
        <is>
          <t>13 px, кружок 20 px --c-a-200</t>
        </is>
      </c>
      <c r="C32" s="258" t="inlineStr">
        <is>
          <t>.note.warn</t>
        </is>
      </c>
      <c r="D32" s="229" t="inlineStr">
        <is>
          <t>09</t>
        </is>
      </c>
      <c r="E32" s="275" t="inlineStr">
        <is>
          <t>ждёт</t>
        </is>
      </c>
    </row>
    <row r="33">
      <c r="A33" s="272" t="inlineStr">
        <is>
          <t>.lgnote</t>
        </is>
      </c>
      <c r="B33" s="273" t="inlineStr">
        <is>
          <t>12,5 px --c-gr2</t>
        </is>
      </c>
      <c r="C33" s="258" t="inlineStr">
        <is>
          <t>.note</t>
        </is>
      </c>
      <c r="D33" s="229" t="inlineStr">
        <is>
          <t>01</t>
        </is>
      </c>
      <c r="E33" s="274" t="inlineStr">
        <is>
          <t>переведён</t>
        </is>
      </c>
    </row>
    <row r="34">
      <c r="A34" s="272" t="inlineStr">
        <is>
          <t>.lgsub</t>
        </is>
      </c>
      <c r="B34" s="273" t="inlineStr">
        <is>
          <t>12,5 px --c-gr2</t>
        </is>
      </c>
      <c r="C34" s="258" t="inlineStr">
        <is>
          <t>.note.sm</t>
        </is>
      </c>
      <c r="D34" s="229" t="inlineStr">
        <is>
          <t>01</t>
        </is>
      </c>
      <c r="E34" s="274" t="inlineStr">
        <is>
          <t>переведён</t>
        </is>
      </c>
    </row>
    <row r="35">
      <c r="A35" s="272" t="inlineStr">
        <is>
          <t>.recbm</t>
        </is>
      </c>
      <c r="B35" s="273" t="inlineStr">
        <is>
          <t>12,5 px --c-gr</t>
        </is>
      </c>
      <c r="C35" s="258" t="inlineStr">
        <is>
          <t>.note</t>
        </is>
      </c>
      <c r="D35" s="229" t="inlineStr">
        <is>
          <t>cardRec</t>
        </is>
      </c>
      <c r="E35" s="275" t="inlineStr">
        <is>
          <t>ждёт</t>
        </is>
      </c>
    </row>
    <row r="36">
      <c r="A36" s="272" t="inlineStr">
        <is>
          <t>.dnote2</t>
        </is>
      </c>
      <c r="B36" s="273" t="inlineStr">
        <is>
          <t>12,5 px --c-gr2</t>
        </is>
      </c>
      <c r="C36" s="258" t="inlineStr">
        <is>
          <t>.note.sm</t>
        </is>
      </c>
      <c r="D36" s="229" t="inlineStr">
        <is>
          <t>—</t>
        </is>
      </c>
      <c r="E36" s="275" t="inlineStr">
        <is>
          <t>ждёт</t>
        </is>
      </c>
    </row>
    <row r="37">
      <c r="A37" s="272" t="inlineStr">
        <is>
          <t>.dnote3</t>
        </is>
      </c>
      <c r="B37" s="273" t="inlineStr">
        <is>
          <t>13 px --c-gr, фон --c-surf</t>
        </is>
      </c>
      <c r="C37" s="258" t="inlineStr">
        <is>
          <t>.note.plain</t>
        </is>
      </c>
      <c r="D37" s="229" t="inlineStr">
        <is>
          <t>—</t>
        </is>
      </c>
      <c r="E37" s="275" t="inlineStr">
        <is>
          <t>ждёт</t>
        </is>
      </c>
    </row>
    <row r="38">
      <c r="A38" s="272" t="inlineStr">
        <is>
          <t>.wknote</t>
        </is>
      </c>
      <c r="B38" s="273" t="inlineStr">
        <is>
          <t>14,5 px --c-ink2, фон #fff</t>
        </is>
      </c>
      <c r="C38" s="258" t="inlineStr">
        <is>
          <t>рамка 1.5px, радиус --r, градиент, левое поле 65px</t>
        </is>
      </c>
      <c r="D38" s="229" t="inlineStr">
        <is>
          <t>02</t>
        </is>
      </c>
      <c r="E38" s="275" t="inlineStr">
        <is>
          <t>Блок 02. Текст начинается там же, где плашки дней: 58px (колонка часов) + 7px (зазор сетки) = 65px. Отступ карточки прибавлять НЕ нужно — плашка уже внутри неё. Знак «Счетикс»: 150px, left −58px, top −58px, прозрачность 6%, уходит в левый верхний угол под градиент, текст не перекрывает. Знак рисуется в JS вместе с текстом — innerHTML затирает разметку</t>
        </is>
      </c>
    </row>
    <row r="39">
      <c r="A39" s="272" t="inlineStr">
        <is>
          <t>.tip (calc)</t>
        </is>
      </c>
      <c r="B39" s="273" t="inlineStr">
        <is>
          <t>кружок 17 px</t>
        </is>
      </c>
      <c r="C39" s="258" t="inlineStr">
        <is>
          <t>.ic.tip</t>
        </is>
      </c>
      <c r="D39" s="229" t="inlineStr">
        <is>
          <t>анкета</t>
        </is>
      </c>
      <c r="E39" s="275" t="inlineStr">
        <is>
          <t>ждёт</t>
        </is>
      </c>
    </row>
    <row r="41">
      <c r="A41" s="250" t="inlineStr">
        <is>
          <t>ПРАВИЛО ПЕРЕВОДА: старые классы не трогаем скопом. Блок переводится на новую систему тогда, когда мы этот блок и так правим. Когда все переведены — старые правила удаляются одной операцией со сверкой «пропавшие селекторы = только удаляемые».</t>
        </is>
      </c>
    </row>
    <row r="43">
      <c r="A43" s="272" t="inlineStr">
        <is>
          <t>.saletag</t>
        </is>
      </c>
      <c r="B43" s="229" t="inlineStr">
        <is>
          <t>Стикер «Скидка»</t>
        </is>
      </c>
      <c r="C43" s="229" t="inlineStr">
        <is>
          <t>абсолют, по центру над блоком</t>
        </is>
      </c>
      <c r="D43" s="229" t="inlineStr">
        <is>
          <t>--c-r-500, белый текст</t>
        </is>
      </c>
      <c r="E43" s="229" t="inlineStr">
        <is>
          <t>Блок 03. Отступ карточки сверху 48 px — втрое больше обычного. Плашка: left 50%, top −28 px, translateX(−50%), без наклона. Выходит за верхнюю границу, до предыдущего блока остаётся 20 px. Карточке нужен overflow:visible. Заголовок и описание по центру</t>
        </is>
      </c>
    </row>
    <row r="45">
      <c r="A45" s="272" t="inlineStr">
        <is>
          <t>.cn.s1/.s2/.s3</t>
        </is>
      </c>
      <c r="B45" s="229" t="inlineStr">
        <is>
          <t>Плашка со статистикой</t>
        </is>
      </c>
      <c r="C45" s="229" t="inlineStr">
        <is>
          <t>форма из .cn</t>
        </is>
      </c>
      <c r="D45" s="229" t="inlineStr">
        <is>
          <t>лайм · мандарин · малина</t>
        </is>
      </c>
      <c r="E45" s="229" t="inlineStr">
        <is>
          <t>Блок 08. Та же геометрия, что «Условия труда»: радиус --r, padding 28/26, min-height 210, круг-блик в углу. Отличаются только градиентом</t>
        </is>
      </c>
    </row>
    <row r="47">
      <c r="A47" s="256" t="inlineStr">
        <is>
          <t>ПОВЕДЕНИЕ КНОПОК — единое во всех документах</t>
        </is>
      </c>
    </row>
    <row r="48">
      <c r="A48" s="24" t="inlineStr">
        <is>
          <t>Состояние</t>
        </is>
      </c>
      <c r="B48" s="24" t="inlineStr">
        <is>
          <t>Что происходит</t>
        </is>
      </c>
      <c r="C48" s="24" t="inlineStr">
        <is>
          <t>Как задано</t>
        </is>
      </c>
      <c r="E48" s="24" t="inlineStr">
        <is>
          <t>Правило</t>
        </is>
      </c>
    </row>
    <row r="49">
      <c r="A49" s="258" t="inlineStr">
        <is>
          <t>обычное</t>
        </is>
      </c>
      <c r="B49" s="229" t="inlineStr">
        <is>
          <t>—</t>
        </is>
      </c>
      <c r="C49" s="273" t="inlineStr">
        <is>
          <t>—</t>
        </is>
      </c>
      <c r="E49" s="229" t="inlineStr">
        <is>
          <t>базовый вид кнопки</t>
        </is>
      </c>
    </row>
    <row r="50">
      <c r="A50" s="258" t="inlineStr">
        <is>
          <t>:hover</t>
        </is>
      </c>
      <c r="B50" s="229" t="inlineStr">
        <is>
          <t>фон темнеет на ступень</t>
        </is>
      </c>
      <c r="C50" s="273" t="inlineStr">
        <is>
          <t>background --c-g-50 / --gd, либо filter brightness(.94)</t>
        </is>
      </c>
      <c r="E50" s="229" t="inlineStr">
        <is>
          <t>только цвет, размер и положение не меняются</t>
        </is>
      </c>
    </row>
    <row r="51">
      <c r="A51" s="258" t="inlineStr">
        <is>
          <t>:active</t>
        </is>
      </c>
      <c r="B51" s="229" t="inlineStr">
        <is>
          <t>слегка утапливается</t>
        </is>
      </c>
      <c r="C51" s="273" t="inlineStr">
        <is>
          <t>translateY(1px) + фон ещё темнее</t>
        </is>
      </c>
      <c r="E51" s="229" t="inlineStr">
        <is>
          <t>ощущение нажатия, сдвиг ровно 1 px</t>
        </is>
      </c>
    </row>
    <row r="52">
      <c r="A52" s="258" t="inlineStr">
        <is>
          <t>запрещено</t>
        </is>
      </c>
      <c r="B52" s="229" t="inlineStr">
        <is>
          <t>подпрыгивание, разлетающаяся тень, вращение</t>
        </is>
      </c>
      <c r="C52" s="273" t="inlineStr">
        <is>
          <t>translateY(-2px), scale, rotate</t>
        </is>
      </c>
      <c r="E52" s="229" t="inlineStr">
        <is>
          <t>никаких сложных анимаций на кнопках</t>
        </is>
      </c>
    </row>
    <row r="54">
      <c r="A54" s="250" t="inlineStr">
        <is>
          <t>Исключение: сердечко в опросе анкеты — не кнопка действия, а реакция. Допустимо scale(1.06), не больше.</t>
        </is>
      </c>
    </row>
    <row r="56">
      <c r="A56" s="256" t="inlineStr">
        <is>
          <t>КОММЕНТАРИЙ-ФЛАЖОК — вместо полоски слева</t>
        </is>
      </c>
    </row>
    <row r="57">
      <c r="A57" s="258" t="inlineStr">
        <is>
          <t>.ex</t>
        </is>
      </c>
      <c r="B57" s="229" t="inlineStr">
        <is>
          <t>комментарий в карточке</t>
        </is>
      </c>
      <c r="C57" s="229" t="inlineStr">
        <is>
          <t>рамка 1.5px, радиус --r, радиальный градиент сверху</t>
        </is>
      </c>
      <c r="E57" s="229" t="inlineStr">
        <is>
          <t>то же устройство, что у плашки дохода .dnsum. Цвета: --exb рамка, --exg подложка</t>
        </is>
      </c>
    </row>
    <row r="58">
      <c r="A58" s="258" t="inlineStr">
        <is>
          <t>.wknote</t>
        </is>
      </c>
      <c r="B58" s="229" t="inlineStr">
        <is>
          <t>комментарий под календарём</t>
        </is>
      </c>
      <c r="C58" s="229" t="inlineStr">
        <is>
          <t>рамка 1.5px, радиус --r, градиент, левое поле 65px</t>
        </is>
      </c>
      <c r="E58" s="229" t="inlineStr">
        <is>
          <t>Блок 02. Текст начинается там же, где плашки дней: 58px (колонка часов) + 7px (зазор сетки) = 65px. Отступ карточки прибавлять НЕ нужно — плашка уже внутри неё. Знак «Счетикс»: 150px, left −58px, top −58px, прозрачность 6%, уходит в левый верхний угол под градиент, текст не перекрывает. Знак рисуется в JS вместе с текстом — innerHTML затирает разметку</t>
        </is>
      </c>
    </row>
    <row r="59">
      <c r="A59" s="258" t="inlineStr">
        <is>
          <t>--exb / --exg</t>
        </is>
      </c>
      <c r="B59" s="229" t="inlineStr">
        <is>
          <t>цвет рамки и подложки</t>
        </is>
      </c>
      <c r="C59" s="229" t="inlineStr">
        <is>
          <t>инлайн: style="--exb:var(--c-v-300);--exg:var(--c-v-50)"</t>
        </is>
      </c>
      <c r="E59" s="229" t="inlineStr">
        <is>
          <t>по умолчанию --c-g-200 и --c-g-50</t>
        </is>
      </c>
    </row>
    <row r="61">
      <c r="A61" s="250" t="inlineStr">
        <is>
          <t>Пояснительные плашки в блоках 02 и 03 оформлены так же, как «Ваш доход на руки»: лёгкая рамка 1,5 px, радиус --r и мягкий радиальный градиент от верхнего края. Полосок-флажков и явных границ слева больше нет.</t>
        </is>
      </c>
    </row>
  </sheetData>
  <mergeCells count="11">
    <mergeCell ref="A29:E29"/>
    <mergeCell ref="A4:E4"/>
    <mergeCell ref="A20:E20"/>
    <mergeCell ref="A2:E2"/>
    <mergeCell ref="A54:E54"/>
    <mergeCell ref="A41:E41"/>
    <mergeCell ref="A47:E47"/>
    <mergeCell ref="A1:E1"/>
    <mergeCell ref="A13:E13"/>
    <mergeCell ref="A61:E61"/>
    <mergeCell ref="A56:E5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04" customWidth="1" min="2" max="2"/>
  </cols>
  <sheetData>
    <row r="1">
      <c r="A1" s="1" t="inlineStr">
        <is>
          <t>09i · СПРАВОЧНИК: ТЕРМИНЫ И ОПРЕДЕЛЕНИЯ</t>
        </is>
      </c>
    </row>
    <row r="2">
      <c r="A2" s="250" t="inlineStr">
        <is>
          <t>Плоский список по алфавиту, без разделов. Только те термины, которые человек встречает в анкете и в отчёте. Внутренние термины методики сюда не входят.</t>
        </is>
      </c>
    </row>
    <row r="4">
      <c r="A4" s="257" t="inlineStr">
        <is>
          <t>Термин</t>
        </is>
      </c>
      <c r="B4" s="257" t="inlineStr">
        <is>
          <t>Определение</t>
        </is>
      </c>
    </row>
    <row r="5">
      <c r="A5" s="294" t="inlineStr">
        <is>
          <t>Амортизация</t>
        </is>
      </c>
      <c r="B5" s="229" t="inlineStr">
        <is>
          <t>способ распределения стоимости разовой покупки на весь её срок службы — ежегодные или ежемесячные расходы на износ оборудования.</t>
        </is>
      </c>
    </row>
    <row r="6">
      <c r="A6" s="294" t="inlineStr">
        <is>
          <t>Выручка</t>
        </is>
      </c>
      <c r="B6" s="229" t="inlineStr">
        <is>
          <t>общий объём денежных средств, которые необходимо получить от клиентов за год, чтобы после всех обязательных вычетов у вас остался желаемый чистый доход.</t>
        </is>
      </c>
    </row>
    <row r="7">
      <c r="A7" s="294" t="inlineStr">
        <is>
          <t>Готовые кадры</t>
        </is>
      </c>
      <c r="B7" s="229" t="inlineStr">
        <is>
          <t>среднее количество готовых снимков, получаемых клиентом с часа съёмки. Из этого рассчитывается цена одного кадра.</t>
        </is>
      </c>
    </row>
    <row r="8">
      <c r="A8" s="294" t="inlineStr">
        <is>
          <t>Доход на руки</t>
        </is>
      </c>
      <c r="B8" s="229" t="inlineStr">
        <is>
          <t>чистая сумма, которая остаётся у вас после вычета всех расходов и налогов. Это ключевая точка отсчёта для всех дальнейших расчётов.</t>
        </is>
      </c>
    </row>
    <row r="9">
      <c r="A9" s="294" t="inlineStr">
        <is>
          <t>Запас прочности</t>
        </is>
      </c>
      <c r="B9" s="229" t="inlineStr">
        <is>
          <t>финансовый резерв, формирующий фонд развития и запас на предоставление скидок. Не входит в обязательный базовый расчёт и может включаться по вашему усмотрению.</t>
        </is>
      </c>
    </row>
    <row r="10">
      <c r="A10" s="294" t="inlineStr">
        <is>
          <t>Налоги и взносы</t>
        </is>
      </c>
      <c r="B10" s="229" t="inlineStr">
        <is>
          <t>платежи в соответствии с вашим налоговым режимом. Для индивидуальных предпринимателей включают фиксированные страховые взносы, подлежащие уплате независимо от наличия дохода.</t>
        </is>
      </c>
    </row>
    <row r="11">
      <c r="A11" s="294" t="inlineStr">
        <is>
          <t>Обработка</t>
        </is>
      </c>
      <c r="B11" s="229" t="inlineStr">
        <is>
          <t>время, необходимое для обработки полученного контента за один час съёмки: скачивание и бэкап, отбор и отбраковка кадров, выгрузка и загрузка в ПО, кадрирование, устранение значимых артефактов, цветовая и тоновая коррекция, сведение к единому стилю, настройка чёткости кадра, сохранение в нужном формате, экспорт, загрузка в облако, правки при необходимости, а также формирование и хранение архива.</t>
        </is>
      </c>
    </row>
    <row r="12">
      <c r="A12" s="294" t="inlineStr">
        <is>
          <t>Обустройство места</t>
        </is>
      </c>
      <c r="B12" s="229" t="inlineStr">
        <is>
          <t>закупка необходимой для работы мебели, косметический ремонт помещения, предусмотренного под рабочую зону и хранение оборудования.</t>
        </is>
      </c>
    </row>
    <row r="13">
      <c r="A13" s="294" t="inlineStr">
        <is>
          <t>Обучение</t>
        </is>
      </c>
      <c r="B13" s="229" t="inlineStr">
        <is>
          <t>прохождение профессиональных курсов и работа с наставниками. Помимо прямой финансовой стоимости, учитывает периоды временного снижения или полного отсутствия дохода во время учёбы.</t>
        </is>
      </c>
    </row>
    <row r="14">
      <c r="A14" s="294" t="inlineStr">
        <is>
          <t>Офисное оборудование</t>
        </is>
      </c>
      <c r="B14" s="229" t="inlineStr">
        <is>
          <t>оборудование, необходимое для профессиональной деятельности фотографа и выполнения всего комплекса работ: от обработки заказов и решения текущих задач до поиска новых клиентов, ведения учёта и сопутствующей административной деятельности.</t>
        </is>
      </c>
    </row>
    <row r="15">
      <c r="A15" s="294" t="inlineStr">
        <is>
          <t>Подписки</t>
        </is>
      </c>
      <c r="B15" s="229" t="inlineStr">
        <is>
          <t>регулярные платежи за цифровые сервисы и инструменты, без которых невозможна ежедневная работа: Adobe Creative Cloud, облачные хранилища, хостинг, доменное имя и подобное.</t>
        </is>
      </c>
    </row>
    <row r="16">
      <c r="A16" s="294" t="inlineStr">
        <is>
          <t>Программное обеспечение</t>
        </is>
      </c>
      <c r="B16" s="229" t="inlineStr">
        <is>
          <t>специализированный профессиональный софт, необходимый фотографу для обработки изображений и подготовки материалов. Без этих программ выполнение качественной финальной обработки и передача готового заказа клиенту невозможны.</t>
        </is>
      </c>
    </row>
    <row r="17">
      <c r="A17" s="294" t="inlineStr">
        <is>
          <t>Продвижение и реклама</t>
        </is>
      </c>
      <c r="B17" s="229" t="inlineStr">
        <is>
          <t>комплекс мер, направленных на продвижение, популяризацию личного бренда и поиск новых клиентов.</t>
        </is>
      </c>
    </row>
    <row r="18">
      <c r="A18" s="294" t="inlineStr">
        <is>
          <t>Продолжительность съёмки</t>
        </is>
      </c>
      <c r="B18" s="229" t="inlineStr">
        <is>
          <t>привычный или средний формат заказа. Рассчитывается по формуле: общее количество съёмочных часов в месяц разделить на количество съёмок.</t>
        </is>
      </c>
    </row>
    <row r="19">
      <c r="A19" s="294" t="inlineStr">
        <is>
          <t>Работа с клиентом</t>
        </is>
      </c>
      <c r="B19" s="229" t="inlineStr">
        <is>
          <t>презентация личного бренда, демонстрация портфолио, согласование прайса, даты съёмки и референсов, заключение и коррекция договора, формирование и выставление счетов и актов, контроль оплаты, консультации в ходе работы и пр. Рассчитывается на один заказ.</t>
        </is>
      </c>
    </row>
    <row r="20">
      <c r="A20" s="294" t="inlineStr">
        <is>
          <t>Рабочие паузы</t>
        </is>
      </c>
      <c r="B20" s="229" t="inlineStr">
        <is>
          <t>время в течение дня на подготовку и уборку рабочего места, обслуживание и зарядку оборудования, разминку при работе за компьютером и личные надобности. В расчёт заложен один час ежедневно. Это опирается на нормативы Госкомтруда, где всем работающим независимо от вида труда полагается 10–15 минут в смену на личные надобности, и на санитарные рекомендации для работы за монитором: 10–15 минут перерыва каждый час. Обеденное время сюда не входит и в расчёте не учитывается.</t>
        </is>
      </c>
    </row>
    <row r="21">
      <c r="A21" s="294" t="inlineStr">
        <is>
          <t>Сайт</t>
        </is>
      </c>
      <c r="B21" s="229" t="inlineStr">
        <is>
          <t>персональный информационный ресурс в сети интернет, предназначенный для привлечения новых клиентов и поиска заказов. Может быть создан привлечённым специалистом — тогда учитываются прямые финансовые затраты — либо разработан фотографом самостоятельно. При самостоятельной разработке в качестве амортизируемого вложения учитывается время, затраченное на создание и настройку ресурса, пересчитанное по базовой ставке часа.</t>
        </is>
      </c>
    </row>
    <row r="22">
      <c r="A22" s="294" t="inlineStr">
        <is>
          <t>Содержание рабочего места</t>
        </is>
      </c>
      <c r="B22" s="229" t="inlineStr">
        <is>
          <t>регулярные текущие платежи, обеспечивающие функционирование рабочего пространства.</t>
        </is>
      </c>
    </row>
    <row r="23">
      <c r="A23" s="294" t="inlineStr">
        <is>
          <t>Срок службы</t>
        </is>
      </c>
      <c r="B23" s="229" t="inlineStr">
        <is>
          <t>количество лет, в течение которых вещь реально работает до замены. Учитывается не гарантия производителя, а ваш личный практический опыт.</t>
        </is>
      </c>
    </row>
    <row r="24">
      <c r="A24" s="294" t="inlineStr">
        <is>
          <t>Ставка часа съёмки</t>
        </is>
      </c>
      <c r="B24" s="229" t="inlineStr">
        <is>
          <t>стоимость одного часа работы непосредственно на съёмочной площадке для клиента. Покрывает ваш желаемый доход, все сопутствующие расходы, налоги и комиссии банков.</t>
        </is>
      </c>
    </row>
    <row r="25">
      <c r="A25" s="294" t="inlineStr">
        <is>
          <t>Стоимость часа вашей работы</t>
        </is>
      </c>
      <c r="B25" s="229" t="inlineStr">
        <is>
          <t>ваш итоговый доход, разделённый на абсолютно всё потраченное рабочее время. Показывает реальную стоимость любого вашего часа, включая обработку, общение с клиентами и прочие административные задачи.</t>
        </is>
      </c>
    </row>
    <row r="26">
      <c r="A26" s="294" t="inlineStr">
        <is>
          <t>Съёмка</t>
        </is>
      </c>
      <c r="B26" s="229" t="inlineStr">
        <is>
          <t>время, проведённое непосредственно на площадке. Единственное, за что клиент платит напрямую.</t>
        </is>
      </c>
    </row>
    <row r="27">
      <c r="A27" s="294" t="inlineStr">
        <is>
          <t>Съёмочное оборудование</t>
        </is>
      </c>
      <c r="B27" s="229" t="inlineStr">
        <is>
          <t>неизменный рабочий арсенал, который фотограф берёт с собой на каждую съёмку. Без этого минимума проведение съёмочного процесса физически невозможно либо критически усложняется. Узкоспециализированная техника для разовых или нестандартных проектов сюда не относится — она рассчитывается отдельно под конкретные задачи.</t>
        </is>
      </c>
    </row>
    <row r="28">
      <c r="A28" s="294" t="inlineStr">
        <is>
          <t>Учёт и отчётность</t>
        </is>
      </c>
      <c r="B28" s="229" t="inlineStr">
        <is>
          <t>формирование и сдача деклараций, уплата взносов по срокам, сверки, ведение КУДИР, ответы налоговым органам и пр. Учитывается как часы в квартал.</t>
        </is>
      </c>
    </row>
    <row r="29">
      <c r="A29" s="294" t="inlineStr">
        <is>
          <t>Форс-мажоры</t>
        </is>
      </c>
      <c r="B29" s="229" t="inlineStr">
        <is>
          <t>непредвиденные обстоятельства: внезапный перенос или отмена съёмок, срывы договорённостей по вине клиента, повторные выезды на площадку и прочие ситуации, когда рабочее время уже потрачено, но оплата труда не поступает.</t>
        </is>
      </c>
    </row>
    <row r="30">
      <c r="A30" s="294" t="inlineStr">
        <is>
          <t>Эквайринг</t>
        </is>
      </c>
      <c r="B30" s="229" t="inlineStr">
        <is>
          <t>банковская комиссия за приём платежей по картам или через QR-код. Рассчитывается со всей суммы поступлений, а не с чистой прибыли.</t>
        </is>
      </c>
    </row>
    <row r="32" ht="56" customHeight="1">
      <c r="A32" s="260" t="inlineStr">
        <is>
          <t>Нормативная основа «Рабочих пауз»: Межотраслевые методические рекомендации «Определение нормативов времени на отдых и личные надобности» (Госкомтруд СССР) — 10–15 минут в смену на личные надобности всем работающим; 3–5% оперативного времени на отдых при монотонной работе. Санитарные рекомендации для работы за монитором: 10–15 минут каждые 45–60 минут (СанПиН 2.2.2/2.4.1340-03 и ТОИ Р-45-084-01 утратили силу с 01.01.2021, цифры используются как ориентир). Обеденный перерыв не входит.</t>
        </is>
      </c>
    </row>
    <row r="34">
      <c r="A34" s="295" t="inlineStr">
        <is>
          <t>ЕДИНЫЕ НАЗВАНИЯ В ТАБЛИЦЕ ПОЛНОЙ ВЫГРУЗКИ — 06.08.2026</t>
        </is>
      </c>
    </row>
    <row r="35">
      <c r="A35" s="229" t="inlineStr">
        <is>
          <t>Было</t>
        </is>
      </c>
      <c r="B35" s="229" t="inlineStr">
        <is>
          <t>Стало</t>
        </is>
      </c>
    </row>
    <row r="36">
      <c r="A36" s="229" t="inlineStr">
        <is>
          <t>Съёмочная техника</t>
        </is>
      </c>
      <c r="B36" s="229" t="inlineStr">
        <is>
          <t>Съёмочное оборудование</t>
        </is>
      </c>
    </row>
    <row r="37">
      <c r="A37" s="229" t="inlineStr">
        <is>
          <t>Компьютер и периферия</t>
        </is>
      </c>
      <c r="B37" s="229" t="inlineStr">
        <is>
          <t>Офисное оборудование</t>
        </is>
      </c>
    </row>
    <row r="38">
      <c r="A38" s="229" t="inlineStr">
        <is>
          <t>Программы разово + Подписки и сервисы</t>
        </is>
      </c>
      <c r="B38" s="229" t="inlineStr">
        <is>
          <t>Программное обеспечение — одной строкой</t>
        </is>
      </c>
    </row>
    <row r="39">
      <c r="A39" s="229" t="inlineStr">
        <is>
          <t>Обустройство места</t>
        </is>
      </c>
      <c r="B39" s="229" t="inlineStr">
        <is>
          <t>Обустройство рабочего места</t>
        </is>
      </c>
    </row>
    <row r="40">
      <c r="A40" s="229" t="inlineStr">
        <is>
          <t>Реклама и продвижение</t>
        </is>
      </c>
      <c r="B40" s="229" t="inlineStr">
        <is>
          <t>Продвижение и реклама</t>
        </is>
      </c>
    </row>
    <row r="41">
      <c r="A41" s="229" t="inlineStr">
        <is>
          <t>Аренда и коммунальные</t>
        </is>
      </c>
      <c r="B41" s="229" t="inlineStr">
        <is>
          <t>Содержание рабочего места</t>
        </is>
      </c>
    </row>
    <row r="42">
      <c r="A42" s="229" t="inlineStr">
        <is>
          <t>Банк и РКО + Эквайринг</t>
        </is>
      </c>
      <c r="B42" s="229" t="inlineStr">
        <is>
          <t>Банк и РКО — эквайринг входит сюда, в налогах не дублируется</t>
        </is>
      </c>
    </row>
    <row r="43">
      <c r="A43" s="229" t="inlineStr">
        <is>
          <t>Съёмка на площадке</t>
        </is>
      </c>
      <c r="B43" s="229" t="inlineStr">
        <is>
          <t>Съёмочных часов</t>
        </is>
      </c>
    </row>
    <row r="44">
      <c r="A44" s="229" t="inlineStr">
        <is>
          <t>Обработка материала</t>
        </is>
      </c>
      <c r="B44" s="229" t="inlineStr">
        <is>
          <t>Часов на обработку</t>
        </is>
      </c>
    </row>
    <row r="45">
      <c r="A45" s="229" t="inlineStr">
        <is>
          <t>Продвижение</t>
        </is>
      </c>
      <c r="B45" s="229" t="inlineStr">
        <is>
          <t>Часов на продвижение и рекламу</t>
        </is>
      </c>
    </row>
    <row r="46">
      <c r="A46" s="229" t="inlineStr">
        <is>
          <t>Работа с клиентом</t>
        </is>
      </c>
      <c r="B46" s="229" t="inlineStr">
        <is>
          <t>Часов на работу с клиентом</t>
        </is>
      </c>
    </row>
    <row r="47">
      <c r="A47" s="229" t="inlineStr">
        <is>
          <t>Учёт и отчётность</t>
        </is>
      </c>
      <c r="B47" s="229" t="inlineStr">
        <is>
          <t>Часов на учёт и отчётность</t>
        </is>
      </c>
    </row>
    <row r="48">
      <c r="A48" s="229" t="inlineStr">
        <is>
          <t>Рабочие паузы</t>
        </is>
      </c>
      <c r="B48" s="229" t="inlineStr">
        <is>
          <t>Часов на рабочие паузы</t>
        </is>
      </c>
    </row>
    <row r="49">
      <c r="A49" s="229" t="inlineStr">
        <is>
          <t>Резерв на форс-мажоры</t>
        </is>
      </c>
      <c r="B49" s="229" t="inlineStr">
        <is>
          <t>Часов на форс-мажоры</t>
        </is>
      </c>
    </row>
    <row r="50">
      <c r="A50" s="229" t="inlineStr">
        <is>
          <t>Длительность съёмки</t>
        </is>
      </c>
      <c r="B50" s="229" t="inlineStr">
        <is>
          <t>Продолжительность съёмки</t>
        </is>
      </c>
    </row>
    <row r="51">
      <c r="A51" s="229" t="inlineStr">
        <is>
          <t>Время на один проект</t>
        </is>
      </c>
      <c r="B51" s="229" t="inlineStr">
        <is>
          <t>Время на один съёмочный проект</t>
        </is>
      </c>
    </row>
    <row r="52">
      <c r="A52" s="229" t="inlineStr">
        <is>
          <t>Кадров с часа съёмки</t>
        </is>
      </c>
      <c r="B52" s="229" t="inlineStr">
        <is>
          <t>Готовых кадров с часа съёмки</t>
        </is>
      </c>
    </row>
    <row r="53">
      <c r="A53" s="229" t="inlineStr">
        <is>
          <t>Стоимость одной съёмки</t>
        </is>
      </c>
      <c r="B53" s="229" t="inlineStr">
        <is>
          <t>Стоимость одного съёмочного проекта</t>
        </is>
      </c>
    </row>
    <row r="54">
      <c r="A54" s="229" t="inlineStr">
        <is>
          <t>Ваша текущая ставка</t>
        </is>
      </c>
      <c r="B54" s="229" t="inlineStr">
        <is>
          <t>УДАЛЕНА — заменена на «Стоимость одного готового кадра»</t>
        </is>
      </c>
    </row>
  </sheetData>
  <mergeCells count="4">
    <mergeCell ref="A32:B32"/>
    <mergeCell ref="A2:B2"/>
    <mergeCell ref="A1:B1"/>
    <mergeCell ref="A34:B3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7" customWidth="1" min="2" max="2"/>
    <col width="15" customWidth="1" min="3" max="3"/>
    <col width="15" customWidth="1" min="4" max="4"/>
    <col width="15" customWidth="1" min="5" max="5"/>
    <col width="44" customWidth="1" min="6" max="6"/>
  </cols>
  <sheetData>
    <row r="1">
      <c r="A1" s="1" t="inlineStr">
        <is>
          <t>10 · МОНЕТИЗАЦИЯ — цены, комиссии, партнёрская программа</t>
        </is>
      </c>
    </row>
    <row r="2">
      <c r="A2" s="25" t="inlineStr">
        <is>
          <t>Тестовый этап: задача не заработать, а проверить готовность платить. Жёлтое — редактируется.</t>
        </is>
      </c>
    </row>
    <row r="4">
      <c r="A4" s="3" t="inlineStr">
        <is>
          <t>ЦЕНЫ</t>
        </is>
      </c>
    </row>
    <row r="5">
      <c r="A5" s="44" t="inlineStr">
        <is>
          <t>Параметр</t>
        </is>
      </c>
      <c r="B5" s="44" t="inlineStr">
        <is>
          <t>Значение</t>
        </is>
      </c>
      <c r="C5" s="44" t="inlineStr">
        <is>
          <t>Ед.</t>
        </is>
      </c>
      <c r="D5" s="44" t="inlineStr"/>
      <c r="E5" s="44" t="inlineStr"/>
      <c r="F5" s="44" t="inlineStr">
        <is>
          <t>Комментарий</t>
        </is>
      </c>
    </row>
    <row r="6">
      <c r="A6" s="5" t="inlineStr">
        <is>
          <t>Базовая цена скачивания</t>
        </is>
      </c>
      <c r="B6" s="114" t="n">
        <v>490</v>
      </c>
      <c r="C6" s="5" t="inlineStr">
        <is>
          <t>₽</t>
        </is>
      </c>
      <c r="D6" s="5" t="inlineStr"/>
      <c r="E6" s="5" t="inlineStr"/>
      <c r="F6" s="5" t="inlineStr">
        <is>
          <t>Без реферальной ссылки. Ориентир по рынку микропродуктов</t>
        </is>
      </c>
    </row>
    <row r="7">
      <c r="A7" s="5" t="inlineStr">
        <is>
          <t>Цена по реферальной ссылке</t>
        </is>
      </c>
      <c r="B7" s="114" t="n">
        <v>169</v>
      </c>
      <c r="C7" s="5" t="inlineStr">
        <is>
          <t>₽</t>
        </is>
      </c>
      <c r="D7" s="5" t="inlineStr"/>
      <c r="E7" s="5" t="inlineStr"/>
      <c r="F7" s="5" t="inlineStr">
        <is>
          <t>Тестовая. Целевая аудитория — самозанятые с низким доходом</t>
        </is>
      </c>
    </row>
    <row r="8">
      <c r="A8" s="5" t="inlineStr">
        <is>
          <t>Зачёркнутая цена в блоке</t>
        </is>
      </c>
      <c r="B8" s="114" t="n">
        <v>560</v>
      </c>
      <c r="C8" s="5" t="inlineStr">
        <is>
          <t>₽</t>
        </is>
      </c>
      <c r="D8" s="5" t="inlineStr"/>
      <c r="E8" s="5" t="inlineStr"/>
      <c r="F8" s="5" t="inlineStr">
        <is>
          <t>Якорь. Показывается рядом с реферальной</t>
        </is>
      </c>
    </row>
    <row r="9">
      <c r="A9" s="5" t="inlineStr">
        <is>
          <t>Модель</t>
        </is>
      </c>
      <c r="B9" s="20" t="inlineStr">
        <is>
          <t>за скачивание</t>
        </is>
      </c>
      <c r="C9" s="5" t="inlineStr"/>
      <c r="D9" s="5" t="inlineStr"/>
      <c r="E9" s="5" t="inlineStr"/>
      <c r="F9" s="5" t="inlineStr">
        <is>
          <t>Не подписка и не доступ. Каждый отчёт оплачивается отдельно</t>
        </is>
      </c>
    </row>
    <row r="10">
      <c r="A10" s="5" t="inlineStr">
        <is>
          <t>Цель по скачиваниям</t>
        </is>
      </c>
      <c r="B10" s="115" t="n">
        <v>10000</v>
      </c>
      <c r="C10" s="5" t="inlineStr">
        <is>
          <t>шт</t>
        </is>
      </c>
      <c r="D10" s="5" t="inlineStr"/>
      <c r="E10" s="5" t="inlineStr"/>
      <c r="F10" s="5" t="inlineStr">
        <is>
          <t>Порог, после которого продукт считается подтверждённым</t>
        </is>
      </c>
    </row>
    <row r="12">
      <c r="A12" s="3" t="inlineStr">
        <is>
          <t>ПРОГНОЗ ОБОРОТА</t>
        </is>
      </c>
    </row>
    <row r="13">
      <c r="A13" s="44" t="inlineStr">
        <is>
          <t>Сценарий</t>
        </is>
      </c>
      <c r="B13" s="44" t="inlineStr">
        <is>
          <t>Скачиваний</t>
        </is>
      </c>
      <c r="C13" s="44" t="inlineStr">
        <is>
          <t>Цена</t>
        </is>
      </c>
      <c r="D13" s="44" t="inlineStr">
        <is>
          <t>Оборот</t>
        </is>
      </c>
      <c r="E13" s="44" t="inlineStr">
        <is>
          <t>Доля</t>
        </is>
      </c>
      <c r="F13" s="44" t="inlineStr">
        <is>
          <t>Комментарий</t>
        </is>
      </c>
    </row>
    <row r="14">
      <c r="A14" s="5" t="inlineStr">
        <is>
          <t>По реферальной ссылке</t>
        </is>
      </c>
      <c r="B14" s="115" t="n">
        <v>8500</v>
      </c>
      <c r="C14" s="114" t="n">
        <v>169</v>
      </c>
      <c r="D14" s="116">
        <f>B14*C14</f>
        <v/>
      </c>
      <c r="E14" s="5" t="inlineStr">
        <is>
          <t>85%</t>
        </is>
      </c>
      <c r="F14" s="5" t="inlineStr">
        <is>
          <t>Основной канал: партнёры, соцсети</t>
        </is>
      </c>
    </row>
    <row r="15">
      <c r="A15" s="5" t="inlineStr">
        <is>
          <t>Прямые заходы</t>
        </is>
      </c>
      <c r="B15" s="115" t="n">
        <v>1500</v>
      </c>
      <c r="C15" s="114" t="n">
        <v>490</v>
      </c>
      <c r="D15" s="116">
        <f>B15*C15</f>
        <v/>
      </c>
      <c r="E15" s="5" t="inlineStr">
        <is>
          <t>15%</t>
        </is>
      </c>
      <c r="F15" s="5" t="inlineStr">
        <is>
          <t>Поиск, прямые ссылки</t>
        </is>
      </c>
    </row>
    <row r="16">
      <c r="A16" s="5" t="inlineStr">
        <is>
          <t>ИТОГО</t>
        </is>
      </c>
      <c r="B16" s="117">
        <f>B14+B15</f>
        <v/>
      </c>
      <c r="C16" s="5" t="inlineStr"/>
      <c r="D16" s="118">
        <f>D14+D15</f>
        <v/>
      </c>
      <c r="E16" s="5" t="inlineStr">
        <is>
          <t>100%</t>
        </is>
      </c>
      <c r="F16" s="5" t="inlineStr"/>
    </row>
    <row r="18">
      <c r="A18" s="3" t="inlineStr">
        <is>
          <t>КОМИССИИ ПЛАТЁЖНЫХ СИСТЕМ 2026</t>
        </is>
      </c>
    </row>
    <row r="19">
      <c r="A19" s="44" t="inlineStr">
        <is>
          <t>Способ оплаты</t>
        </is>
      </c>
      <c r="B19" s="44" t="inlineStr">
        <is>
          <t>Ставка</t>
        </is>
      </c>
      <c r="C19" s="44" t="inlineStr">
        <is>
          <t>НДС 22%</t>
        </is>
      </c>
      <c r="D19" s="44" t="inlineStr">
        <is>
          <t>Итого с оборота</t>
        </is>
      </c>
      <c r="E19" s="44" t="inlineStr">
        <is>
          <t>Остаётся</t>
        </is>
      </c>
      <c r="F19" s="44" t="inlineStr">
        <is>
          <t>Комментарий</t>
        </is>
      </c>
    </row>
    <row r="20">
      <c r="A20" s="5" t="inlineStr">
        <is>
          <t>СБП, льготный тариф</t>
        </is>
      </c>
      <c r="B20" s="119" t="n">
        <v>0.004</v>
      </c>
      <c r="C20" s="20" t="inlineStr">
        <is>
          <t>нет</t>
        </is>
      </c>
      <c r="D20" s="116">
        <f>$D$16*B20</f>
        <v/>
      </c>
      <c r="E20" s="116">
        <f>$D$16-D20</f>
        <v/>
      </c>
      <c r="F20" s="5" t="inlineStr">
        <is>
          <t>0,4% — для отдельных категорий, не более 1 500 ₽ за операцию</t>
        </is>
      </c>
    </row>
    <row r="21">
      <c r="A21" s="5" t="inlineStr">
        <is>
          <t>СБП, обычный тариф</t>
        </is>
      </c>
      <c r="B21" s="119" t="n">
        <v>0.007</v>
      </c>
      <c r="C21" s="20" t="inlineStr">
        <is>
          <t>нет</t>
        </is>
      </c>
      <c r="D21" s="116">
        <f>$D$16*B21</f>
        <v/>
      </c>
      <c r="E21" s="116">
        <f>$D$16-D21</f>
        <v/>
      </c>
      <c r="F21" s="5" t="inlineStr">
        <is>
          <t>0,7% — большинство отраслей. НДС не начисляется</t>
        </is>
      </c>
    </row>
    <row r="22">
      <c r="A22" s="5" t="inlineStr">
        <is>
          <t>Карты, интернет-эквайринг</t>
        </is>
      </c>
      <c r="B22" s="119" t="n">
        <v>0.028</v>
      </c>
      <c r="C22" s="17" t="inlineStr">
        <is>
          <t>да</t>
        </is>
      </c>
      <c r="D22" s="116">
        <f>$D$16*B22*1.22</f>
        <v/>
      </c>
      <c r="E22" s="116">
        <f>$D$16-D22</f>
        <v/>
      </c>
      <c r="F22" s="5" t="inlineStr">
        <is>
          <t>С 2026 к комиссии добавляется НДС 22%</t>
        </is>
      </c>
    </row>
    <row r="23">
      <c r="A23" s="5" t="inlineStr">
        <is>
          <t>Смешанный: 70% СБП + 30% карты</t>
        </is>
      </c>
      <c r="B23" s="5" t="inlineStr"/>
      <c r="C23" s="5" t="inlineStr"/>
      <c r="D23" s="118">
        <f>$D$16*0.7*B21+$D$16*0.3*B22*1.22</f>
        <v/>
      </c>
      <c r="E23" s="118">
        <f>$D$16-D23</f>
        <v/>
      </c>
      <c r="F23" s="5" t="inlineStr">
        <is>
          <t>Реалистичный сценарий. Ставьте СБП первым способом</t>
        </is>
      </c>
    </row>
    <row r="24">
      <c r="A24" s="5" t="inlineStr">
        <is>
          <t>Экономия СБП против карт</t>
        </is>
      </c>
      <c r="B24" s="5" t="inlineStr"/>
      <c r="C24" s="5" t="inlineStr"/>
      <c r="D24" s="120">
        <f>D22-D21</f>
        <v/>
      </c>
      <c r="E24" s="5" t="inlineStr"/>
      <c r="F24" s="5" t="inlineStr">
        <is>
          <t>Разница только на комиссиях</t>
        </is>
      </c>
    </row>
    <row r="26">
      <c r="A26" s="3" t="inlineStr">
        <is>
          <t>ПЛАТЁЖНЫЕ СИСТЕМЫ — ЧТО ВЫБРАТЬ ДЛЯ ООО</t>
        </is>
      </c>
    </row>
    <row r="27">
      <c r="A27" s="44" t="inlineStr">
        <is>
          <t>Сервис</t>
        </is>
      </c>
      <c r="B27" s="44" t="inlineStr">
        <is>
          <t>Карты</t>
        </is>
      </c>
      <c r="C27" s="44" t="inlineStr">
        <is>
          <t>СБП</t>
        </is>
      </c>
      <c r="D27" s="44" t="inlineStr">
        <is>
          <t>Онлайн-касса</t>
        </is>
      </c>
      <c r="E27" s="44" t="inlineStr">
        <is>
          <t>Tilda</t>
        </is>
      </c>
      <c r="F27" s="44" t="inlineStr">
        <is>
          <t>Комментарий</t>
        </is>
      </c>
    </row>
    <row r="28">
      <c r="A28" s="5" t="inlineStr">
        <is>
          <t>ЮKassa</t>
        </is>
      </c>
      <c r="B28" s="20" t="inlineStr">
        <is>
          <t>от 2,8%</t>
        </is>
      </c>
      <c r="C28" s="20" t="inlineStr">
        <is>
          <t>0,4–0,7%</t>
        </is>
      </c>
      <c r="D28" s="17" t="inlineStr">
        <is>
          <t>отдельно</t>
        </is>
      </c>
      <c r="E28" s="108" t="inlineStr">
        <is>
          <t>готовый модуль</t>
        </is>
      </c>
      <c r="F28" s="5" t="inlineStr">
        <is>
          <t>Уже подключена. Касса нужна отдельно или через партнёра</t>
        </is>
      </c>
    </row>
    <row r="29">
      <c r="A29" s="5" t="inlineStr">
        <is>
          <t>Т-Банк</t>
        </is>
      </c>
      <c r="B29" s="108" t="inlineStr">
        <is>
          <t>от 2,46%</t>
        </is>
      </c>
      <c r="C29" s="20" t="inlineStr">
        <is>
          <t>0,4–0,7%</t>
        </is>
      </c>
      <c r="D29" s="108" t="inlineStr">
        <is>
          <t>встроенная</t>
        </is>
      </c>
      <c r="E29" s="20" t="inlineStr">
        <is>
          <t>через универсальный</t>
        </is>
      </c>
      <c r="F29" s="5" t="inlineStr">
        <is>
          <t>Ниже ставка, быстрое подключение. РКО только для СБП</t>
        </is>
      </c>
    </row>
    <row r="30">
      <c r="A30" s="5" t="inlineStr">
        <is>
          <t>Продамус</t>
        </is>
      </c>
      <c r="B30" s="17" t="inlineStr">
        <is>
          <t>до 3,5%</t>
        </is>
      </c>
      <c r="C30" s="20" t="inlineStr">
        <is>
          <t>есть</t>
        </is>
      </c>
      <c r="D30" s="108" t="inlineStr">
        <is>
          <t>встроенная</t>
        </is>
      </c>
      <c r="E30" s="108" t="inlineStr">
        <is>
          <t>готовый модуль</t>
        </is>
      </c>
      <c r="F30" s="5" t="inlineStr">
        <is>
          <t>Проще всего, но дороже по картам</t>
        </is>
      </c>
    </row>
    <row r="31">
      <c r="A31" s="5" t="inlineStr">
        <is>
          <t>Робокасса</t>
        </is>
      </c>
      <c r="B31" s="20" t="inlineStr">
        <is>
          <t>от 2,7%</t>
        </is>
      </c>
      <c r="C31" s="20" t="inlineStr">
        <is>
          <t>есть</t>
        </is>
      </c>
      <c r="D31" s="108" t="inlineStr">
        <is>
          <t>встроенная</t>
        </is>
      </c>
      <c r="E31" s="108" t="inlineStr">
        <is>
          <t>готовый модуль</t>
        </is>
      </c>
      <c r="F31" s="5" t="inlineStr">
        <is>
          <t>40+ способов оплаты</t>
        </is>
      </c>
    </row>
    <row r="32">
      <c r="A32" s="8" t="inlineStr">
        <is>
          <t>РЕКОМЕНДАЦИЯ</t>
        </is>
      </c>
      <c r="B32" s="8" t="inlineStr"/>
      <c r="C32" s="8" t="inlineStr"/>
      <c r="D32" s="8" t="inlineStr"/>
      <c r="E32" s="8" t="inlineStr"/>
      <c r="F32" s="8" t="inlineStr">
        <is>
          <t>Оставить ЮKassa, включить СБП основным способом. При росте оборота сравнить с Т-Банком</t>
        </is>
      </c>
    </row>
    <row r="34">
      <c r="A34" s="3" t="inlineStr">
        <is>
          <t>ОКВЭД И НАЗНАЧЕНИЕ ПЛАТЕЖА</t>
        </is>
      </c>
    </row>
    <row r="35">
      <c r="A35" s="44" t="inlineStr">
        <is>
          <t>Код</t>
        </is>
      </c>
      <c r="B35" s="44" t="inlineStr">
        <is>
          <t>Название</t>
        </is>
      </c>
      <c r="C35" s="44" t="inlineStr">
        <is>
          <t>Подходит</t>
        </is>
      </c>
      <c r="D35" s="44" t="inlineStr"/>
      <c r="E35" s="44" t="inlineStr"/>
      <c r="F35" s="44" t="inlineStr">
        <is>
          <t>Комментарий</t>
        </is>
      </c>
    </row>
    <row r="36">
      <c r="A36" s="5" t="inlineStr">
        <is>
          <t>62.01</t>
        </is>
      </c>
      <c r="B36" s="5" t="inlineStr">
        <is>
          <t>Разработка компьютерного программного обеспечения</t>
        </is>
      </c>
      <c r="C36" s="108" t="inlineStr">
        <is>
          <t>ДА</t>
        </is>
      </c>
      <c r="D36" s="5" t="inlineStr"/>
      <c r="E36" s="5" t="inlineStr"/>
      <c r="F36" s="5" t="inlineStr">
        <is>
          <t>Основной. Именно его добавить, чтобы платежи шли как IT</t>
        </is>
      </c>
    </row>
    <row r="37">
      <c r="A37" s="5" t="inlineStr">
        <is>
          <t>62.02</t>
        </is>
      </c>
      <c r="B37" s="5" t="inlineStr">
        <is>
          <t>Консультативная деятельность в области ИТ</t>
        </is>
      </c>
      <c r="C37" s="20" t="inlineStr">
        <is>
          <t>да</t>
        </is>
      </c>
      <c r="D37" s="5" t="inlineStr"/>
      <c r="E37" s="5" t="inlineStr"/>
      <c r="F37" s="5" t="inlineStr">
        <is>
          <t>Дополнительный, если будут консультации</t>
        </is>
      </c>
    </row>
    <row r="38">
      <c r="A38" s="5" t="inlineStr">
        <is>
          <t>63.11</t>
        </is>
      </c>
      <c r="B38" s="5" t="inlineStr">
        <is>
          <t>Деятельность по обработке данных</t>
        </is>
      </c>
      <c r="C38" s="20" t="inlineStr">
        <is>
          <t>да</t>
        </is>
      </c>
      <c r="D38" s="5" t="inlineStr"/>
      <c r="E38" s="5" t="inlineStr"/>
      <c r="F38" s="5" t="inlineStr">
        <is>
          <t>Дополнительный, для облачных сервисов</t>
        </is>
      </c>
    </row>
    <row r="39">
      <c r="A39" s="5" t="inlineStr">
        <is>
          <t>Назначение платежа</t>
        </is>
      </c>
      <c r="B39" s="113" t="inlineStr">
        <is>
          <t>Предоставление права использования ПО (расчётный сервис)</t>
        </is>
      </c>
      <c r="C39" s="5" t="inlineStr"/>
      <c r="D39" s="5" t="inlineStr"/>
      <c r="E39" s="5" t="inlineStr"/>
      <c r="F39" s="5" t="inlineStr">
        <is>
          <t>Формулировка для чека и договора-оферты</t>
        </is>
      </c>
    </row>
    <row r="40">
      <c r="A40" s="5" t="inlineStr">
        <is>
          <t>Предмет продажи</t>
        </is>
      </c>
      <c r="B40" s="113" t="inlineStr">
        <is>
          <t>Электронный отчёт, формируемый программой</t>
        </is>
      </c>
      <c r="C40" s="5" t="inlineStr"/>
      <c r="D40" s="5" t="inlineStr"/>
      <c r="E40" s="5" t="inlineStr"/>
      <c r="F40" s="5" t="inlineStr">
        <is>
          <t>Не «услуга» и не «консультация» — именно результат работы ПО</t>
        </is>
      </c>
    </row>
    <row r="42">
      <c r="A42" s="3" t="inlineStr">
        <is>
          <t>ПАРТНЁРСКАЯ ПРОГРАММА</t>
        </is>
      </c>
    </row>
    <row r="43">
      <c r="A43" s="44" t="inlineStr">
        <is>
          <t>Параметр</t>
        </is>
      </c>
      <c r="B43" s="44" t="inlineStr">
        <is>
          <t>Значение</t>
        </is>
      </c>
      <c r="C43" s="44" t="inlineStr">
        <is>
          <t>Ед.</t>
        </is>
      </c>
      <c r="D43" s="44" t="inlineStr"/>
      <c r="E43" s="44" t="inlineStr"/>
      <c r="F43" s="44" t="inlineStr">
        <is>
          <t>Комментарий</t>
        </is>
      </c>
    </row>
    <row r="44">
      <c r="A44" s="5" t="inlineStr">
        <is>
          <t>Вознаграждение партнёру</t>
        </is>
      </c>
      <c r="B44" s="119" t="n">
        <v>0.3</v>
      </c>
      <c r="C44" s="5" t="inlineStr">
        <is>
          <t>%</t>
        </is>
      </c>
      <c r="D44" s="5" t="inlineStr"/>
      <c r="E44" s="5" t="inlineStr"/>
      <c r="F44" s="5" t="inlineStr">
        <is>
          <t>От суммы каждой оплаты по его ссылке</t>
        </is>
      </c>
    </row>
    <row r="45">
      <c r="A45" s="5" t="inlineStr">
        <is>
          <t>Выплата с одной продажи</t>
        </is>
      </c>
      <c r="B45" s="116">
        <f>B44*B7</f>
        <v/>
      </c>
      <c r="C45" s="5" t="inlineStr">
        <is>
          <t>₽</t>
        </is>
      </c>
      <c r="D45" s="5" t="inlineStr"/>
      <c r="E45" s="5" t="inlineStr"/>
      <c r="F45" s="5" t="inlineStr">
        <is>
          <t>При реферальной цене</t>
        </is>
      </c>
    </row>
    <row r="46">
      <c r="A46" s="5" t="inlineStr">
        <is>
          <t>Остаётся проекту</t>
        </is>
      </c>
      <c r="B46" s="116">
        <f>B7-B45</f>
        <v/>
      </c>
      <c r="C46" s="5" t="inlineStr">
        <is>
          <t>₽</t>
        </is>
      </c>
      <c r="D46" s="5" t="inlineStr"/>
      <c r="E46" s="5" t="inlineStr"/>
      <c r="F46" s="5" t="inlineStr">
        <is>
          <t>До вычета комиссии эквайринга</t>
        </is>
      </c>
    </row>
    <row r="47">
      <c r="A47" s="5" t="inlineStr">
        <is>
          <t>Минимальная сумма выплаты</t>
        </is>
      </c>
      <c r="B47" s="114" t="n">
        <v>3000</v>
      </c>
      <c r="C47" s="5" t="inlineStr">
        <is>
          <t>₽</t>
        </is>
      </c>
      <c r="D47" s="5" t="inlineStr"/>
      <c r="E47" s="5" t="inlineStr"/>
      <c r="F47" s="5" t="inlineStr">
        <is>
          <t>Накопительно, чтобы не гонять мелкие переводы</t>
        </is>
      </c>
    </row>
    <row r="48">
      <c r="A48" s="5" t="inlineStr">
        <is>
          <t>Период выплат</t>
        </is>
      </c>
      <c r="B48" s="113" t="inlineStr">
        <is>
          <t>раз в месяц</t>
        </is>
      </c>
      <c r="C48" s="5" t="inlineStr"/>
      <c r="D48" s="5" t="inlineStr"/>
      <c r="E48" s="5" t="inlineStr"/>
      <c r="F48" s="5" t="inlineStr">
        <is>
          <t>До 10 числа за предыдущий месяц</t>
        </is>
      </c>
    </row>
    <row r="49">
      <c r="A49" s="5" t="inlineStr">
        <is>
          <t>Срок жизни метки</t>
        </is>
      </c>
      <c r="B49" s="115" t="n">
        <v>30</v>
      </c>
      <c r="C49" s="5" t="inlineStr">
        <is>
          <t>дней</t>
        </is>
      </c>
      <c r="D49" s="5" t="inlineStr"/>
      <c r="E49" s="5" t="inlineStr"/>
      <c r="F49" s="5" t="inlineStr">
        <is>
          <t>Сколько помнить источник перехода в браузере</t>
        </is>
      </c>
    </row>
  </sheetData>
  <mergeCells count="8">
    <mergeCell ref="A2:F2"/>
    <mergeCell ref="A42:F42"/>
    <mergeCell ref="A1:F1"/>
    <mergeCell ref="A34:F34"/>
    <mergeCell ref="A18:F18"/>
    <mergeCell ref="A12:F12"/>
    <mergeCell ref="A4:F4"/>
    <mergeCell ref="A26:F2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62" customWidth="1" min="3" max="3"/>
    <col width="13" customWidth="1" min="4" max="4"/>
    <col width="38" customWidth="1" min="5" max="5"/>
  </cols>
  <sheetData>
    <row r="1">
      <c r="A1" s="1" t="inlineStr">
        <is>
          <t>11 · ССЫЛКИ И МЕТКИ — реферальные адреса и учёт переходов</t>
        </is>
      </c>
    </row>
    <row r="2">
      <c r="A2" s="25" t="inlineStr">
        <is>
          <t>Домен подставьте в ячейку B4 — все ссылки соберутся автоматически.</t>
        </is>
      </c>
    </row>
    <row r="4">
      <c r="A4" s="2" t="inlineStr">
        <is>
          <t>Домен сайта</t>
        </is>
      </c>
      <c r="B4" s="46" t="inlineStr">
        <is>
          <t>vashsite.ru</t>
        </is>
      </c>
      <c r="C4" s="25" t="inlineStr">
        <is>
          <t>без https:// и без слэша в конце</t>
        </is>
      </c>
    </row>
    <row r="5">
      <c r="A5" s="2" t="inlineStr">
        <is>
          <t>Страница калькулятора</t>
        </is>
      </c>
      <c r="B5" s="46" t="inlineStr">
        <is>
          <t>/photo-unit</t>
        </is>
      </c>
      <c r="C5" s="25" t="inlineStr">
        <is>
          <t>юнит-экономика фотографа. Варианты: /hour, /chas, /calc</t>
        </is>
      </c>
    </row>
    <row r="7">
      <c r="A7" s="3" t="inlineStr">
        <is>
          <t>РЕФЕРАЛЬНЫЕ ССЫЛКИ</t>
        </is>
      </c>
    </row>
    <row r="8">
      <c r="A8" s="4" t="inlineStr">
        <is>
          <t>Партнёр / канал</t>
        </is>
      </c>
      <c r="B8" s="4" t="inlineStr">
        <is>
          <t>Метка ref</t>
        </is>
      </c>
      <c r="C8" s="4" t="inlineStr">
        <is>
          <t>Готовая ссылка</t>
        </is>
      </c>
      <c r="D8" s="4" t="inlineStr">
        <is>
          <t>Цена</t>
        </is>
      </c>
      <c r="E8" s="4" t="inlineStr">
        <is>
          <t>Что отслеживаем</t>
        </is>
      </c>
    </row>
    <row r="9">
      <c r="A9" s="28" t="inlineStr">
        <is>
          <t>Telegram-канал</t>
        </is>
      </c>
      <c r="B9" s="121" t="inlineStr">
        <is>
          <t>tg</t>
        </is>
      </c>
      <c r="C9" s="122">
        <f>"https://"&amp;$B$4&amp;$B$5&amp;"?ref="&amp;B9&amp;"&amp;utm_source=telegram&amp;utm_medium=referral&amp;utm_campaign=calc"</f>
        <v/>
      </c>
      <c r="D9" s="123" t="inlineStr">
        <is>
          <t>169 ₽</t>
        </is>
      </c>
      <c r="E9" s="112" t="inlineStr">
        <is>
          <t>переходы, время, клик по кнопке</t>
        </is>
      </c>
    </row>
    <row r="10">
      <c r="A10" s="28" t="inlineStr">
        <is>
          <t>ВКонтакте</t>
        </is>
      </c>
      <c r="B10" s="121" t="inlineStr">
        <is>
          <t>vk</t>
        </is>
      </c>
      <c r="C10" s="122">
        <f>"https://"&amp;$B$4&amp;$B$5&amp;"?ref="&amp;B10&amp;"&amp;utm_source=vk&amp;utm_medium=referral&amp;utm_campaign=calc"</f>
        <v/>
      </c>
      <c r="D10" s="123" t="inlineStr">
        <is>
          <t>169 ₽</t>
        </is>
      </c>
      <c r="E10" s="112" t="inlineStr">
        <is>
          <t>переходы, время, клик по кнопке</t>
        </is>
      </c>
    </row>
    <row r="11">
      <c r="A11" s="28" t="inlineStr">
        <is>
          <t>Instagram / блог</t>
        </is>
      </c>
      <c r="B11" s="121" t="inlineStr">
        <is>
          <t>ig</t>
        </is>
      </c>
      <c r="C11" s="122">
        <f>"https://"&amp;$B$4&amp;$B$5&amp;"?ref="&amp;B11&amp;"&amp;utm_source=instagram&amp;utm_medium=referral&amp;utm_campaign=calc"</f>
        <v/>
      </c>
      <c r="D11" s="123" t="inlineStr">
        <is>
          <t>169 ₽</t>
        </is>
      </c>
      <c r="E11" s="112" t="inlineStr">
        <is>
          <t>переходы, время, клик по кнопке</t>
        </is>
      </c>
    </row>
    <row r="12">
      <c r="A12" s="28" t="inlineStr">
        <is>
          <t>Партнёр №1</t>
        </is>
      </c>
      <c r="B12" s="121" t="inlineStr">
        <is>
          <t>p1</t>
        </is>
      </c>
      <c r="C12" s="122">
        <f>"https://"&amp;$B$4&amp;$B$5&amp;"?ref="&amp;B12&amp;"&amp;utm_source=partner&amp;utm_medium=referral&amp;utm_campaign=calc"</f>
        <v/>
      </c>
      <c r="D12" s="123" t="inlineStr">
        <is>
          <t>169 ₽</t>
        </is>
      </c>
      <c r="E12" s="112" t="inlineStr">
        <is>
          <t>переходы, время, клик по кнопке</t>
        </is>
      </c>
    </row>
    <row r="13">
      <c r="A13" s="28" t="inlineStr">
        <is>
          <t>Партнёр №2</t>
        </is>
      </c>
      <c r="B13" s="121" t="inlineStr">
        <is>
          <t>p2</t>
        </is>
      </c>
      <c r="C13" s="122">
        <f>"https://"&amp;$B$4&amp;$B$5&amp;"?ref="&amp;B13&amp;"&amp;utm_source=partner&amp;utm_medium=referral&amp;utm_campaign=calc"</f>
        <v/>
      </c>
      <c r="D13" s="123" t="inlineStr">
        <is>
          <t>169 ₽</t>
        </is>
      </c>
      <c r="E13" s="112" t="inlineStr">
        <is>
          <t>переходы, время, клик по кнопке</t>
        </is>
      </c>
    </row>
    <row r="14">
      <c r="A14" s="28" t="inlineStr">
        <is>
          <t>Рассылка</t>
        </is>
      </c>
      <c r="B14" s="121" t="inlineStr">
        <is>
          <t>mail</t>
        </is>
      </c>
      <c r="C14" s="122">
        <f>"https://"&amp;$B$4&amp;$B$5&amp;"?ref="&amp;B14&amp;"&amp;utm_source=email&amp;utm_medium=referral&amp;utm_campaign=calc"</f>
        <v/>
      </c>
      <c r="D14" s="123" t="inlineStr">
        <is>
          <t>169 ₽</t>
        </is>
      </c>
      <c r="E14" s="112" t="inlineStr">
        <is>
          <t>переходы, время, клик по кнопке</t>
        </is>
      </c>
    </row>
    <row r="15">
      <c r="A15" s="28" t="inlineStr">
        <is>
          <t>Прямой заход</t>
        </is>
      </c>
      <c r="B15" s="121" t="inlineStr">
        <is>
          <t>—</t>
        </is>
      </c>
      <c r="C15" s="122">
        <f>"https://"&amp;$B$4&amp;$B$5</f>
        <v/>
      </c>
      <c r="D15" s="93" t="inlineStr">
        <is>
          <t>490 ₽</t>
        </is>
      </c>
      <c r="E15" s="112" t="inlineStr">
        <is>
          <t>переходы, время, клик по кнопке</t>
        </is>
      </c>
    </row>
    <row r="17">
      <c r="A17" s="3" t="inlineStr">
        <is>
          <t>КАК ЭТО РАБОТАЕТ</t>
        </is>
      </c>
    </row>
    <row r="18">
      <c r="A18" t="inlineStr">
        <is>
          <t>Калькулятор проверяет параметры ref, utm_source или from в адресе страницы.</t>
        </is>
      </c>
    </row>
    <row r="19">
      <c r="A19" t="inlineStr">
        <is>
          <t>Если хоть один есть — показывает цену 169 ₽ и зачёркнутые 560 ₽. Если нет — 490 ₽.</t>
        </is>
      </c>
    </row>
    <row r="20"/>
    <row r="21">
      <c r="A21" t="inlineStr">
        <is>
          <t>УЧЁТ ПЕРЕХОДОВ. Отдельный сервис сокращения не нужен: Яндекс.Метрика считает UTM сама.</t>
        </is>
      </c>
    </row>
    <row r="22">
      <c r="A22" t="inlineStr">
        <is>
          <t>Отчёт «Источники → Метки UTM» покажет переходы, время на странице и достижение целей.</t>
        </is>
      </c>
    </row>
    <row r="23"/>
    <row r="24">
      <c r="A24" t="inlineStr">
        <is>
          <t>КОРОТКАЯ ССЫЛКА для соцсетей: сделайте в Tilda страницу-редирект /tg,</t>
        </is>
      </c>
    </row>
    <row r="25">
      <c r="A25" t="inlineStr">
        <is>
          <t>которая перенаправляет на полный адрес с метками. Так и учёт сохранится, и ссылка читаемая.</t>
        </is>
      </c>
    </row>
    <row r="26"/>
    <row r="27">
      <c r="A27" t="inlineStr">
        <is>
          <t>ЦЕЛИ В МЕТРИКЕ (обязательно настроить):</t>
        </is>
      </c>
    </row>
    <row r="28">
      <c r="A28" t="inlineStr">
        <is>
          <t xml:space="preserve">   calc_done — нажал «Рассчитать стоимость часа»</t>
        </is>
      </c>
    </row>
    <row r="29">
      <c r="A29" t="inlineStr">
        <is>
          <t xml:space="preserve">   buy_click — нажал «Поблагодарить и скачать отчёт»</t>
        </is>
      </c>
    </row>
    <row r="30">
      <c r="A30" t="inlineStr">
        <is>
          <t xml:space="preserve">   paid — вернулся на страницу с параметром ?paid=1</t>
        </is>
      </c>
    </row>
    <row r="31"/>
    <row r="32">
      <c r="A32" t="inlineStr">
        <is>
          <t>Номер счётчика пропишите в HTML: var YM_ID=0; → var YM_ID=ваш_номер;</t>
        </is>
      </c>
    </row>
  </sheetData>
  <mergeCells count="19">
    <mergeCell ref="A30:E30"/>
    <mergeCell ref="A24:E24"/>
    <mergeCell ref="A1:E1"/>
    <mergeCell ref="A7:E7"/>
    <mergeCell ref="A25:E25"/>
    <mergeCell ref="A18:E18"/>
    <mergeCell ref="A27:E27"/>
    <mergeCell ref="A21:E21"/>
    <mergeCell ref="A26:E26"/>
    <mergeCell ref="A2:E2"/>
    <mergeCell ref="A23:E23"/>
    <mergeCell ref="A32:E32"/>
    <mergeCell ref="A22:E22"/>
    <mergeCell ref="A17:E17"/>
    <mergeCell ref="A29:E29"/>
    <mergeCell ref="A20:E20"/>
    <mergeCell ref="A28:E28"/>
    <mergeCell ref="A19:E19"/>
    <mergeCell ref="A31:E3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4" customWidth="1" min="3" max="3"/>
    <col width="34" customWidth="1" min="4" max="4"/>
  </cols>
  <sheetData>
    <row r="1">
      <c r="A1" s="1" t="inlineStr">
        <is>
          <t>11b · СВЯЗКА ФОРМЫ И ОТЧЁТА</t>
        </is>
      </c>
    </row>
    <row r="2">
      <c r="A2" s="250" t="inlineStr">
        <is>
          <t>calc.html считает → кладёт в localStorage[«phc_report»] → report.html читает. Если ключа нет, отчёт показывает демо-набор.</t>
        </is>
      </c>
    </row>
    <row r="3"/>
    <row r="4">
      <c r="A4" s="256" t="inlineStr">
        <is>
          <t>ПОЛЯ, КОТОРЫЕ ПЕРЕДАЁТ ФОРМА</t>
        </is>
      </c>
    </row>
    <row r="5">
      <c r="A5" s="257" t="inlineStr">
        <is>
          <t>Поле</t>
        </is>
      </c>
      <c r="B5" s="257" t="inlineStr">
        <is>
          <t>Что это</t>
        </is>
      </c>
      <c r="C5" s="257" t="inlineStr">
        <is>
          <t>Откуда в форме</t>
        </is>
      </c>
      <c r="D5" s="257" t="inlineStr">
        <is>
          <t>Где в отчёте</t>
        </is>
      </c>
    </row>
    <row r="6">
      <c r="A6" s="258" t="inlineStr">
        <is>
          <t>sh</t>
        </is>
      </c>
      <c r="B6" s="229" t="inlineStr">
        <is>
          <t>часы съёмки в год</t>
        </is>
      </c>
      <c r="C6" s="229" t="inlineStr">
        <is>
          <t>py × S</t>
        </is>
      </c>
      <c r="D6" s="229" t="inlineStr">
        <is>
          <t>знаменатель всех сумм</t>
        </is>
      </c>
    </row>
    <row r="7">
      <c r="A7" s="258" t="inlineStr">
        <is>
          <t>post</t>
        </is>
      </c>
      <c r="B7" s="229" t="inlineStr">
        <is>
          <t>часы обработки</t>
        </is>
      </c>
      <c r="C7" s="229" t="inlineStr">
        <is>
          <t>sh × K</t>
        </is>
      </c>
      <c r="D7" s="229" t="inlineStr">
        <is>
          <t>легенда, блок 01</t>
        </is>
      </c>
    </row>
    <row r="8">
      <c r="A8" s="258" t="inlineStr">
        <is>
          <t>clT</t>
        </is>
      </c>
      <c r="B8" s="229" t="inlineStr">
        <is>
          <t>часы на клиента</t>
        </is>
      </c>
      <c r="C8" s="229" t="inlineStr">
        <is>
          <t>py × cl</t>
        </is>
      </c>
      <c r="D8" s="229" t="inlineStr">
        <is>
          <t>легенда</t>
        </is>
      </c>
    </row>
    <row r="9">
      <c r="A9" s="258" t="inlineStr">
        <is>
          <t>promo</t>
        </is>
      </c>
      <c r="B9" s="229" t="inlineStr">
        <is>
          <t>часы продвижения</t>
        </is>
      </c>
      <c r="C9" s="229" t="inlineStr">
        <is>
          <t>promo_per_day × ND</t>
        </is>
      </c>
      <c r="D9" s="229" t="inlineStr">
        <is>
          <t>легенда</t>
        </is>
      </c>
    </row>
    <row r="10">
      <c r="A10" s="258" t="inlineStr">
        <is>
          <t>accT</t>
        </is>
      </c>
      <c r="B10" s="229" t="inlineStr">
        <is>
          <t>часы учёта</t>
        </is>
      </c>
      <c r="C10" s="229" t="inlineStr">
        <is>
          <t>acc_per_quarter × 4</t>
        </is>
      </c>
      <c r="D10" s="229" t="inlineStr">
        <is>
          <t>легенда</t>
        </is>
      </c>
    </row>
    <row r="11">
      <c r="A11" s="258" t="inlineStr">
        <is>
          <t>fmT, idle</t>
        </is>
      </c>
      <c r="B11" s="229" t="inlineStr">
        <is>
          <t>форс-мажор и паузы</t>
        </is>
      </c>
      <c r="C11" s="229" t="inlineStr">
        <is>
          <t>gross × fm_pct, ND×(8−EFF)</t>
        </is>
      </c>
      <c r="D11" s="229" t="inlineStr">
        <is>
          <t>легенда</t>
        </is>
      </c>
    </row>
    <row r="12">
      <c r="A12" s="258" t="inlineStr">
        <is>
          <t>Ny</t>
        </is>
      </c>
      <c r="B12" s="229" t="inlineStr">
        <is>
          <t>целевой доход в год</t>
        </is>
      </c>
      <c r="C12" s="229" t="inlineStr">
        <is>
          <t>income_month × 12</t>
        </is>
      </c>
      <c r="D12" s="229" t="inlineStr">
        <is>
          <t>база распределения</t>
        </is>
      </c>
    </row>
    <row r="13">
      <c r="A13" s="258" t="inlineStr">
        <is>
          <t>R</t>
        </is>
      </c>
      <c r="B13" s="229" t="inlineStr">
        <is>
          <t>требуемая выручка</t>
        </is>
      </c>
      <c r="C13" s="229" t="inlineStr">
        <is>
          <t>(Ny+C)/(1−a−sdiv−fund−disc−ставка)</t>
        </is>
      </c>
      <c r="D13" s="229" t="inlineStr">
        <is>
          <t>ставка часа</t>
        </is>
      </c>
    </row>
    <row r="14">
      <c r="A14" s="258" t="inlineStr">
        <is>
          <t>depShoot</t>
        </is>
      </c>
      <c r="B14" s="229" t="inlineStr">
        <is>
          <t>съёмочная техника</t>
        </is>
      </c>
      <c r="C14" s="229" t="inlineStr">
        <is>
          <t>Form001</t>
        </is>
      </c>
      <c r="D14" s="229" t="inlineStr">
        <is>
          <t>строка «оборудование и ПО»</t>
        </is>
      </c>
    </row>
    <row r="15">
      <c r="A15" s="258" t="inlineStr">
        <is>
          <t>depOffice</t>
        </is>
      </c>
      <c r="B15" s="229" t="inlineStr">
        <is>
          <t>компьютер</t>
        </is>
      </c>
      <c r="C15" s="229" t="inlineStr">
        <is>
          <t>Form002</t>
        </is>
      </c>
      <c r="D15" s="229" t="inlineStr">
        <is>
          <t>строка «оборудование и ПО»</t>
        </is>
      </c>
    </row>
    <row r="16">
      <c r="A16" s="258" t="inlineStr">
        <is>
          <t>depSoft</t>
        </is>
      </c>
      <c r="B16" s="229" t="inlineStr">
        <is>
          <t>плагины разово</t>
        </is>
      </c>
      <c r="C16" s="229" t="inlineStr">
        <is>
          <t>Form004</t>
        </is>
      </c>
      <c r="D16" s="229" t="inlineStr">
        <is>
          <t>строка «оборудование и ПО»</t>
        </is>
      </c>
    </row>
    <row r="17">
      <c r="A17" s="258" t="inlineStr">
        <is>
          <t>depEdu</t>
        </is>
      </c>
      <c r="B17" s="229" t="inlineStr">
        <is>
          <t>обучение</t>
        </is>
      </c>
      <c r="C17" s="229" t="inlineStr">
        <is>
          <t>Form006 ÷ срок</t>
        </is>
      </c>
      <c r="D17" s="229" t="inlineStr">
        <is>
          <t>строка «текущие счета»</t>
        </is>
      </c>
    </row>
    <row r="18">
      <c r="A18" s="258" t="inlineStr">
        <is>
          <t>depSite</t>
        </is>
      </c>
      <c r="B18" s="229" t="inlineStr">
        <is>
          <t>сайт</t>
        </is>
      </c>
      <c r="C18" s="229" t="inlineStr">
        <is>
          <t>Form014 ÷ срок</t>
        </is>
      </c>
      <c r="D18" s="229" t="inlineStr">
        <is>
          <t>строка «реклама и продвижение»</t>
        </is>
      </c>
    </row>
    <row r="19">
      <c r="A19" s="258" t="inlineStr">
        <is>
          <t>depWs</t>
        </is>
      </c>
      <c r="B19" s="229" t="inlineStr">
        <is>
          <t>обустройство</t>
        </is>
      </c>
      <c r="C19" s="229" t="inlineStr">
        <is>
          <t>Form013</t>
        </is>
      </c>
      <c r="D19" s="229" t="inlineStr">
        <is>
          <t>строка «текущие счета»</t>
        </is>
      </c>
    </row>
    <row r="20">
      <c r="A20" s="258" t="inlineStr">
        <is>
          <t>varAds</t>
        </is>
      </c>
      <c r="B20" s="229" t="inlineStr">
        <is>
          <t>реклама</t>
        </is>
      </c>
      <c r="C20" s="229" t="inlineStr">
        <is>
          <t>Form010</t>
        </is>
      </c>
      <c r="D20" s="229" t="inlineStr">
        <is>
          <t>строка «реклама и продвижение»</t>
        </is>
      </c>
    </row>
    <row r="21">
      <c r="A21" s="258" t="inlineStr">
        <is>
          <t>varSoft</t>
        </is>
      </c>
      <c r="B21" s="229" t="inlineStr">
        <is>
          <t>подписки</t>
        </is>
      </c>
      <c r="C21" s="229" t="inlineStr">
        <is>
          <t>Form003</t>
        </is>
      </c>
      <c r="D21" s="229" t="inlineStr">
        <is>
          <t>строка «текущие счета»</t>
        </is>
      </c>
    </row>
    <row r="22">
      <c r="A22" s="258" t="inlineStr">
        <is>
          <t>varBank</t>
        </is>
      </c>
      <c r="B22" s="229" t="inlineStr">
        <is>
          <t>РКО</t>
        </is>
      </c>
      <c r="C22" s="229" t="inlineStr">
        <is>
          <t>Form007</t>
        </is>
      </c>
      <c r="D22" s="229" t="inlineStr">
        <is>
          <t>строка «текущие счета»</t>
        </is>
      </c>
    </row>
    <row r="23">
      <c r="A23" s="258" t="inlineStr">
        <is>
          <t>varRent</t>
        </is>
      </c>
      <c r="B23" s="229" t="inlineStr">
        <is>
          <t>аренда</t>
        </is>
      </c>
      <c r="C23" s="229" t="inlineStr">
        <is>
          <t>Form009b</t>
        </is>
      </c>
      <c r="D23" s="229" t="inlineStr">
        <is>
          <t>строка «текущие счета»</t>
        </is>
      </c>
    </row>
    <row r="24">
      <c r="A24" s="258" t="inlineStr">
        <is>
          <t>varAcc</t>
        </is>
      </c>
      <c r="B24" s="229" t="inlineStr">
        <is>
          <t>бухгалтер</t>
        </is>
      </c>
      <c r="C24" s="229" t="inlineStr">
        <is>
          <t>Form011</t>
        </is>
      </c>
      <c r="D24" s="229" t="inlineStr">
        <is>
          <t>строка «текущие счета»</t>
        </is>
      </c>
    </row>
    <row r="25">
      <c r="A25" s="258" t="inlineStr">
        <is>
          <t>taxAll</t>
        </is>
      </c>
      <c r="B25" s="229" t="inlineStr">
        <is>
          <t>налоги и взносы</t>
        </is>
      </c>
      <c r="C25" s="229" t="inlineStr">
        <is>
          <t>по режиму</t>
        </is>
      </c>
      <c r="D25" s="229" t="inlineStr">
        <is>
          <t>строка «налоги»</t>
        </is>
      </c>
    </row>
    <row r="26">
      <c r="A26" s="258" t="inlineStr">
        <is>
          <t>aq</t>
        </is>
      </c>
      <c r="B26" s="229" t="inlineStr">
        <is>
          <t>эквайринг</t>
        </is>
      </c>
      <c r="C26" s="229" t="inlineStr">
        <is>
          <t>R × acq</t>
        </is>
      </c>
      <c r="D26" s="229" t="inlineStr">
        <is>
          <t>строка «эквайринг»</t>
        </is>
      </c>
    </row>
    <row r="27">
      <c r="A27" s="258" t="inlineStr">
        <is>
          <t>fundY</t>
        </is>
      </c>
      <c r="B27" s="229" t="inlineStr">
        <is>
          <t>фонд развития</t>
        </is>
      </c>
      <c r="C27" s="229" t="inlineStr">
        <is>
          <t>R × fund_pct, галочка снята по умолчанию</t>
        </is>
      </c>
      <c r="D27" s="229" t="inlineStr">
        <is>
          <t>строка, при 0 — предупреждение</t>
        </is>
      </c>
    </row>
    <row r="28">
      <c r="A28" s="258" t="inlineStr">
        <is>
          <t>discY</t>
        </is>
      </c>
      <c r="B28" s="229" t="inlineStr">
        <is>
          <t>запас на скидку</t>
        </is>
      </c>
      <c r="C28" s="229" t="inlineStr">
        <is>
          <t>R × disc_pct, галочка снята по умолчанию</t>
        </is>
      </c>
      <c r="D28" s="229" t="inlineStr">
        <is>
          <t>строка, при 0 — предупреждение</t>
        </is>
      </c>
    </row>
    <row r="29">
      <c r="A29" s="258" t="inlineStr">
        <is>
          <t>NW, K, cl</t>
        </is>
      </c>
      <c r="B29" s="229" t="inlineStr">
        <is>
          <t>параметры модели</t>
        </is>
      </c>
      <c r="C29" s="229" t="inlineStr">
        <is>
          <t>недели, обработка, клиент</t>
        </is>
      </c>
      <c r="D29" s="229" t="inlineStr">
        <is>
          <t>блок 02, сетка недели</t>
        </is>
      </c>
    </row>
    <row r="30">
      <c r="A30" s="258" t="inlineStr">
        <is>
          <t>curRate</t>
        </is>
      </c>
      <c r="B30" s="229" t="inlineStr">
        <is>
          <t>текущая ставка</t>
        </is>
      </c>
      <c r="C30" s="229" t="inlineStr">
        <is>
          <t>current_rate</t>
        </is>
      </c>
      <c r="D30" s="229" t="inlineStr">
        <is>
          <t>блок 04, сравнение</t>
        </is>
      </c>
    </row>
    <row r="31">
      <c r="A31" s="258" t="inlineStr">
        <is>
          <t>regime</t>
        </is>
      </c>
      <c r="B31" s="229" t="inlineStr">
        <is>
          <t>название режима</t>
        </is>
      </c>
      <c r="C31" s="229" t="inlineStr">
        <is>
          <t>текст пункта списка</t>
        </is>
      </c>
      <c r="D31" s="229" t="inlineStr">
        <is>
          <t>блок 07, налоги</t>
        </is>
      </c>
    </row>
    <row r="32">
      <c r="A32" s="258" t="inlineStr">
        <is>
          <t>regimeCode</t>
        </is>
      </c>
      <c r="B32" s="229" t="inlineStr">
        <is>
          <t>код режима (npd4/npd5/npd6/usn6/usn15/ausn8/ausn20)</t>
        </is>
      </c>
      <c r="C32" s="229" t="inlineStr">
        <is>
          <t>select #regime, value</t>
        </is>
      </c>
      <c r="D32" s="229" t="inlineStr">
        <is>
          <t>блок 04: какая плашка и какой нюанс показать</t>
        </is>
      </c>
    </row>
    <row r="33">
      <c r="A33" s="258" t="inlineStr">
        <is>
          <t>npd_who</t>
        </is>
      </c>
      <c r="B33" s="229" t="inlineStr">
        <is>
          <t>заказчики на НПД (mix/phys/jur)</t>
        </is>
      </c>
      <c r="C33" s="229" t="inlineStr">
        <is>
          <t>select #npd_who, виден только при НПД</t>
        </is>
      </c>
      <c r="D33" s="229" t="inlineStr">
        <is>
          <t>раскрывает НПД в npd4/npd5/npd6 → ставка 4/5/6%</t>
        </is>
      </c>
    </row>
    <row r="34">
      <c r="A34" s="258" t="inlineStr">
        <is>
          <t>profession</t>
        </is>
      </c>
      <c r="B34" s="229" t="inlineStr">
        <is>
          <t>профессия</t>
        </is>
      </c>
      <c r="C34" s="229" t="inlineStr">
        <is>
          <t>пока «фотографа»</t>
        </is>
      </c>
      <c r="D34" s="229" t="inlineStr">
        <is>
          <t>заголовок, имя PDF</t>
        </is>
      </c>
    </row>
    <row r="35"/>
    <row r="36">
      <c r="A36" s="2" t="inlineStr">
        <is>
          <t>ПРОВЕРКА: сумма всех сегментов диаграммы = R. Расхождение должно быть 0 ₽. Сумма доходных сегментов = Ny.</t>
        </is>
      </c>
    </row>
    <row r="37">
      <c r="A37" s="250" t="inlineStr">
        <is>
          <t>Запасной путь, если localStorage недоступен: reportLink(d) отдаёт ссылку report.html?data=&lt;base64&gt;. Отчёт читает параметр data первым делом.</t>
        </is>
      </c>
    </row>
  </sheetData>
  <mergeCells count="5">
    <mergeCell ref="A1:D1"/>
    <mergeCell ref="A34:D34"/>
    <mergeCell ref="A35:D35"/>
    <mergeCell ref="A4:D4"/>
    <mergeCell ref="A2:D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8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5" customWidth="1" min="3" max="3"/>
    <col width="30" customWidth="1" min="4" max="4"/>
    <col width="20" customWidth="1" min="5" max="5"/>
    <col width="34" customWidth="1" min="6" max="6"/>
    <col width="11" customWidth="1" min="7" max="7"/>
    <col width="10" customWidth="1" min="8" max="8"/>
    <col width="30" customWidth="1" min="9" max="9"/>
    <col width="14" customWidth="1" min="10" max="10"/>
  </cols>
  <sheetData>
    <row r="1">
      <c r="A1" s="1" t="inlineStr">
        <is>
          <t>12 · ДИАГРАММЫ — состав, группы и подписи</t>
        </is>
      </c>
    </row>
    <row r="2">
      <c r="A2" s="25" t="inlineStr">
        <is>
          <t>Одна строка = один сегмент диаграммы. Порядок строк = порядок сегментов по кругу. Жёлтое — редактируется, серое — служебное.</t>
        </is>
      </c>
    </row>
    <row r="4">
      <c r="A4" s="3" t="inlineStr">
        <is>
          <t>Д1 · ОСНОВНАЯ КОЛЬЦЕВАЯ — предварительный отчёт, видна всем</t>
        </is>
      </c>
    </row>
    <row r="5">
      <c r="A5" s="2" t="inlineStr">
        <is>
          <t>Тип диаграммы</t>
        </is>
      </c>
      <c r="C5" s="46" t="inlineStr">
        <is>
          <t>Кольцевая (donut), 11–13 секторов</t>
        </is>
      </c>
      <c r="D5" s="72" t="n"/>
      <c r="E5" s="73" t="n"/>
      <c r="F5" s="25" t="inlineStr">
        <is>
          <t>260 px, кольцо 58 px, отверстие 47%. Центр — белый диск и внутренняя шайба с мягкой тенью: цифра лежит на подложке, а не висит в пустоте</t>
        </is>
      </c>
    </row>
    <row r="6">
      <c r="A6" s="2" t="inlineStr">
        <is>
          <t>Где размещена</t>
        </is>
      </c>
      <c r="C6" s="46" t="inlineStr">
        <is>
          <t>Блок «Куда уходит каждый час съёмки»</t>
        </is>
      </c>
      <c r="D6" s="72" t="n"/>
      <c r="E6" s="73" t="n"/>
      <c r="F6" s="25" t="inlineStr">
        <is>
          <t>Открыта без оплаты</t>
        </is>
      </c>
    </row>
    <row r="7">
      <c r="A7" s="2" t="inlineStr">
        <is>
          <t>Что показывает</t>
        </is>
      </c>
      <c r="C7" s="46" t="inlineStr">
        <is>
          <t>Разбор одного оплаченного часа съёмки</t>
        </is>
      </c>
      <c r="D7" s="72" t="n"/>
      <c r="E7" s="73" t="n"/>
      <c r="F7" s="25" t="inlineStr">
        <is>
          <t>Все суммы делятся на shooting_time</t>
        </is>
      </c>
    </row>
    <row r="8">
      <c r="A8" s="2" t="inlineStr">
        <is>
          <t>В центре кольца</t>
        </is>
      </c>
      <c r="C8" s="46" t="inlineStr">
        <is>
          <t>Ставка часа + подпись «за час съёмки»</t>
        </is>
      </c>
      <c r="D8" s="72" t="n"/>
      <c r="E8" s="73" t="n"/>
      <c r="F8" s="25" t="inlineStr">
        <is>
          <t>real_rate = R / shooting_time</t>
        </is>
      </c>
    </row>
    <row r="9">
      <c r="A9" s="2" t="inlineStr">
        <is>
          <t>Строка легенды</t>
        </is>
      </c>
      <c r="C9" s="46" t="inlineStr">
        <is>
          <t>Название · сумма · «за N ч»</t>
        </is>
      </c>
      <c r="D9" s="72" t="n"/>
      <c r="E9" s="73" t="n"/>
      <c r="F9" s="250" t="inlineStr">
        <is>
          <t>Отдельного столбца времени нет. Часы — подписью под суммой: «747 ₽ / за 1,0 ч». Часы на ОДИН оплаченный час съёмки, сумма по всем строкам = 7,7 ч</t>
        </is>
      </c>
    </row>
    <row r="10">
      <c r="A10" s="2" t="inlineStr">
        <is>
          <t>Две плашки</t>
        </is>
      </c>
      <c r="C10" s="46" t="inlineStr">
        <is>
          <t>Одинаковые по форме</t>
        </is>
      </c>
      <c r="D10" s="72" t="n"/>
      <c r="E10" s="73" t="n"/>
      <c r="F10" s="250" t="inlineStr">
        <is>
          <t>«Ваш доход на руки» и «Ваши расходы» — одинаковые по вёрстке: обе прямые дети карточки, один набор элементов (знак, заголовок, подводка, сумма, строка снизу). Отличаются только цветом рамки и текстом</t>
        </is>
      </c>
    </row>
    <row r="11">
      <c r="A11" s="2" t="inlineStr">
        <is>
          <t>Заголовки плашек</t>
        </is>
      </c>
      <c r="C11" s="249" t="inlineStr">
        <is>
          <t>21 px, --c-ink, без заливки</t>
        </is>
      </c>
      <c r="F11" s="250" t="inlineStr">
        <is>
          <t>Выделяются размером шрифта, не цветом. Капсул и цветных подложек нет</t>
        </is>
      </c>
    </row>
    <row r="12" ht="30" customHeight="1">
      <c r="A12" s="26" t="inlineStr">
        <is>
          <t>№</t>
        </is>
      </c>
      <c r="B12" s="26" t="inlineStr">
        <is>
          <t>Группа</t>
        </is>
      </c>
      <c r="C12" s="26" t="inlineStr">
        <is>
          <t>Код сегмента</t>
        </is>
      </c>
      <c r="D12" s="26" t="inlineStr">
        <is>
          <t>Подпись в легенде</t>
        </is>
      </c>
      <c r="E12" s="26" t="inlineStr">
        <is>
          <t>Параметр расчёта</t>
        </is>
      </c>
      <c r="F12" s="26" t="inlineStr">
        <is>
          <t>Формула / что берём</t>
        </is>
      </c>
      <c r="G12" s="26" t="inlineStr">
        <is>
          <t>Цвет</t>
        </is>
      </c>
      <c r="H12" s="26" t="inlineStr">
        <is>
          <t>Условие</t>
        </is>
      </c>
      <c r="I12" s="26" t="inlineStr">
        <is>
          <t>Комментарий</t>
        </is>
      </c>
      <c r="J12" s="24" t="inlineStr">
        <is>
          <t>Предупреждение</t>
        </is>
      </c>
    </row>
    <row r="13">
      <c r="A13" s="61" t="n">
        <v>1</v>
      </c>
      <c r="B13" s="108" t="inlineStr">
        <is>
          <t>ПО СПЕЦИАЛЬНОСТИ</t>
        </is>
      </c>
      <c r="C13" s="6" t="inlineStr">
        <is>
          <t>earn_shoot</t>
        </is>
      </c>
      <c r="D13" s="113" t="inlineStr">
        <is>
          <t>Как фотограф — съёмка</t>
        </is>
      </c>
      <c r="E13" s="6" t="inlineStr">
        <is>
          <t>shooting_time</t>
        </is>
      </c>
      <c r="F13" s="5" t="inlineStr">
        <is>
          <t>hr × shooting_time</t>
        </is>
      </c>
      <c r="G13" s="125" t="inlineStr">
        <is>
          <t>#0B6B22</t>
        </is>
      </c>
      <c r="H13" s="5" t="inlineStr">
        <is>
          <t>всегда</t>
        </is>
      </c>
      <c r="I13" s="5" t="inlineStr">
        <is>
          <t>Работа по специальности — холодный зелёный, градация от тёмного к светлому</t>
        </is>
      </c>
    </row>
    <row r="14">
      <c r="A14" s="61" t="n">
        <v>2</v>
      </c>
      <c r="B14" s="108" t="inlineStr">
        <is>
          <t>ПО СПЕЦИАЛЬНОСТИ</t>
        </is>
      </c>
      <c r="C14" s="6" t="inlineStr">
        <is>
          <t>earn_post</t>
        </is>
      </c>
      <c r="D14" s="113" t="inlineStr">
        <is>
          <t>Как фотограф — обработка</t>
        </is>
      </c>
      <c r="E14" s="6" t="inlineStr">
        <is>
          <t>post_time</t>
        </is>
      </c>
      <c r="F14" s="5" t="inlineStr">
        <is>
          <t>hr × post_time</t>
        </is>
      </c>
      <c r="G14" s="261" t="inlineStr">
        <is>
          <t>#2FA84A</t>
        </is>
      </c>
      <c r="H14" s="5" t="inlineStr">
        <is>
          <t>всегда</t>
        </is>
      </c>
      <c r="I14" s="5" t="inlineStr"/>
    </row>
    <row r="15">
      <c r="A15" s="61" t="n">
        <v>3</v>
      </c>
      <c r="B15" s="113" t="inlineStr">
        <is>
          <t>ОСТАЛЬНАЯ КОМАНДА</t>
        </is>
      </c>
      <c r="C15" s="6" t="inlineStr">
        <is>
          <t>earn_sales</t>
        </is>
      </c>
      <c r="D15" s="113" t="inlineStr">
        <is>
          <t>Как отдел продаж — работа с клиентом</t>
        </is>
      </c>
      <c r="E15" s="6" t="inlineStr">
        <is>
          <t>client_total</t>
        </is>
      </c>
      <c r="F15" s="5" t="inlineStr">
        <is>
          <t>hr × client_total</t>
        </is>
      </c>
      <c r="G15" s="262" t="inlineStr">
        <is>
          <t>#5F8A1B</t>
        </is>
      </c>
      <c r="H15" s="5" t="inlineStr">
        <is>
          <t>всегда</t>
        </is>
      </c>
      <c r="I15" s="5" t="inlineStr">
        <is>
          <t>Работа за остальную команду — тёплый зелёный (салатовый), та же градация</t>
        </is>
      </c>
    </row>
    <row r="16">
      <c r="A16" s="61" t="n">
        <v>4</v>
      </c>
      <c r="B16" s="113" t="inlineStr">
        <is>
          <t>ОСТАЛЬНАЯ КОМАНДА</t>
        </is>
      </c>
      <c r="C16" s="6" t="inlineStr">
        <is>
          <t>earn_promo</t>
        </is>
      </c>
      <c r="D16" s="113" t="inlineStr">
        <is>
          <t>Как маркетолог и SMM — продвижение</t>
        </is>
      </c>
      <c r="E16" s="6" t="inlineStr">
        <is>
          <t>promo_time</t>
        </is>
      </c>
      <c r="F16" s="5" t="inlineStr">
        <is>
          <t>hr × promo_time</t>
        </is>
      </c>
      <c r="G16" s="263" t="inlineStr">
        <is>
          <t>#8CB82F</t>
        </is>
      </c>
      <c r="H16" s="5" t="inlineStr">
        <is>
          <t>всегда</t>
        </is>
      </c>
      <c r="I16" s="5" t="inlineStr"/>
    </row>
    <row r="17">
      <c r="A17" s="61" t="n">
        <v>5</v>
      </c>
      <c r="B17" s="113" t="inlineStr">
        <is>
          <t>ОСТАЛЬНАЯ КОМАНДА</t>
        </is>
      </c>
      <c r="C17" s="6" t="inlineStr">
        <is>
          <t>earn_acc</t>
        </is>
      </c>
      <c r="D17" s="113" t="inlineStr">
        <is>
          <t>Как бухгалтер — учёт и отчётность</t>
        </is>
      </c>
      <c r="E17" s="6" t="inlineStr">
        <is>
          <t>accounting_time</t>
        </is>
      </c>
      <c r="F17" s="5" t="inlineStr">
        <is>
          <t>hr × accounting_time</t>
        </is>
      </c>
      <c r="G17" s="264" t="inlineStr">
        <is>
          <t>#B9D96F</t>
        </is>
      </c>
      <c r="H17" s="5" t="inlineStr">
        <is>
          <t>только если acc_mode = «Веду самостоятельно»</t>
        </is>
      </c>
      <c r="I17" s="5" t="inlineStr">
        <is>
          <t>Скрыт, если нанят бухгалтер</t>
        </is>
      </c>
    </row>
    <row r="18">
      <c r="A18" s="61" t="n">
        <v>6</v>
      </c>
      <c r="B18" s="254" t="inlineStr">
        <is>
          <t>НЕ ОПЛАЧИВАЕТСЯ</t>
        </is>
      </c>
      <c r="C18" s="6" t="inlineStr">
        <is>
          <t>earn_idle</t>
        </is>
      </c>
      <c r="D18" s="113" t="inlineStr">
        <is>
          <t>Форс-мажоры и простой</t>
        </is>
      </c>
      <c r="E18" s="6" t="inlineStr">
        <is>
          <t>fm_time + idle</t>
        </is>
      </c>
      <c r="F18" s="5" t="inlineStr">
        <is>
          <t>hr × (fm_time + idle)</t>
        </is>
      </c>
      <c r="G18" s="255" t="inlineStr">
        <is>
          <t>#B6BCC4</t>
        </is>
      </c>
      <c r="H18" s="5" t="inlineStr">
        <is>
          <t>всегда</t>
        </is>
      </c>
      <c r="I18" s="5" t="inlineStr">
        <is>
          <t>Не оплачивается — серый. idle = 219 ч, час в день на паузы</t>
        </is>
      </c>
    </row>
    <row r="19">
      <c r="A19" s="61" t="n">
        <v>7</v>
      </c>
      <c r="B19" s="8" t="inlineStr">
        <is>
          <t>ВАШИ РАСХОДЫ</t>
        </is>
      </c>
      <c r="C19" s="6" t="inlineStr">
        <is>
          <t>cost_equip</t>
        </is>
      </c>
      <c r="D19" s="113" t="inlineStr">
        <is>
          <t>Отложите на оборудование и ПО</t>
        </is>
      </c>
      <c r="E19" s="6" t="inlineStr">
        <is>
          <t>equip</t>
        </is>
      </c>
      <c r="F19" s="5" t="inlineStr">
        <is>
          <t>dep_shoot + dep_office + dep_software</t>
        </is>
      </c>
      <c r="G19" s="131" t="inlineStr">
        <is>
          <t>#EF4444</t>
        </is>
      </c>
      <c r="H19" s="5" t="inlineStr">
        <is>
          <t>всегда</t>
        </is>
      </c>
      <c r="I19" s="5" t="inlineStr">
        <is>
          <t>Чтобы обновить технику, когда придёт в негодность</t>
        </is>
      </c>
    </row>
    <row r="20">
      <c r="A20" s="61" t="n">
        <v>8</v>
      </c>
      <c r="B20" s="8" t="inlineStr">
        <is>
          <t>ВАШИ РАСХОДЫ</t>
        </is>
      </c>
      <c r="C20" s="6" t="inlineStr">
        <is>
          <t>cost_promo</t>
        </is>
      </c>
      <c r="D20" s="113" t="inlineStr">
        <is>
          <t>Потратите на рекламу и продвижение</t>
        </is>
      </c>
      <c r="E20" s="6" t="inlineStr">
        <is>
          <t>promoM</t>
        </is>
      </c>
      <c r="F20" s="5" t="inlineStr">
        <is>
          <t>var_ads + dep_website</t>
        </is>
      </c>
      <c r="G20" s="132" t="inlineStr">
        <is>
          <t>#F59E0B</t>
        </is>
      </c>
      <c r="H20" s="5" t="inlineStr">
        <is>
          <t>всегда</t>
        </is>
      </c>
      <c r="I20" s="5" t="inlineStr">
        <is>
          <t>Сайт отнесён сюда, а не в оборудование</t>
        </is>
      </c>
    </row>
    <row r="21">
      <c r="A21" s="61" t="n">
        <v>9</v>
      </c>
      <c r="B21" s="8" t="inlineStr">
        <is>
          <t>ВАШИ РАСХОДЫ</t>
        </is>
      </c>
      <c r="C21" s="6" t="inlineStr">
        <is>
          <t>cost_current</t>
        </is>
      </c>
      <c r="D21" s="113" t="inlineStr">
        <is>
          <t>Заплатите по текущим счетам</t>
        </is>
      </c>
      <c r="E21" s="6" t="inlineStr">
        <is>
          <t>current</t>
        </is>
      </c>
      <c r="F21" s="5" t="inlineStr">
        <is>
          <t>var_workspace + var_bank + var_accounting + var_software + dep_workspace + dep_education</t>
        </is>
      </c>
      <c r="G21" s="133" t="inlineStr">
        <is>
          <t>#FB923C</t>
        </is>
      </c>
      <c r="H21" s="5" t="inlineStr">
        <is>
          <t>всегда</t>
        </is>
      </c>
      <c r="I21" s="5" t="inlineStr">
        <is>
          <t>Аренда, подписки, бухгалтер, обустройство, обучение</t>
        </is>
      </c>
    </row>
    <row r="22">
      <c r="A22" s="61" t="n">
        <v>10</v>
      </c>
      <c r="B22" s="8" t="inlineStr">
        <is>
          <t>ВАШИ РАСХОДЫ</t>
        </is>
      </c>
      <c r="C22" s="6" t="inlineStr">
        <is>
          <t>cost_tax</t>
        </is>
      </c>
      <c r="D22" s="113" t="inlineStr">
        <is>
          <t>Заплатите налогов и взносов</t>
        </is>
      </c>
      <c r="E22" s="6" t="inlineStr">
        <is>
          <t>taxAll</t>
        </is>
      </c>
      <c r="F22" s="5" t="inlineStr">
        <is>
          <t>налог + страховые взносы по выбранному режиму</t>
        </is>
      </c>
      <c r="G22" s="134" t="inlineStr">
        <is>
          <t>#8B5CF6</t>
        </is>
      </c>
      <c r="H22" s="5" t="inlineStr">
        <is>
          <t>всегда</t>
        </is>
      </c>
      <c r="I22" s="5" t="inlineStr"/>
    </row>
    <row r="23">
      <c r="A23" s="61" t="n">
        <v>11</v>
      </c>
      <c r="B23" s="8" t="inlineStr">
        <is>
          <t>ВАШИ РАСХОДЫ</t>
        </is>
      </c>
      <c r="C23" s="6" t="inlineStr">
        <is>
          <t>cost_bank</t>
        </is>
      </c>
      <c r="D23" s="113" t="inlineStr">
        <is>
          <t>Отдадите банку за эквайринг</t>
        </is>
      </c>
      <c r="E23" s="6" t="inlineStr">
        <is>
          <t>aq</t>
        </is>
      </c>
      <c r="F23" s="5" t="inlineStr">
        <is>
          <t>R × acquiring</t>
        </is>
      </c>
      <c r="G23" s="135" t="inlineStr">
        <is>
          <t>#3B82F6</t>
        </is>
      </c>
      <c r="H23" s="5" t="inlineStr">
        <is>
          <t>всегда</t>
        </is>
      </c>
      <c r="I23" s="5" t="inlineStr"/>
    </row>
    <row r="24">
      <c r="A24" s="265" t="n">
        <v>12</v>
      </c>
      <c r="B24" s="266" t="inlineStr">
        <is>
          <t>ВАШИ РАСХОДЫ</t>
        </is>
      </c>
      <c r="C24" s="267" t="inlineStr">
        <is>
          <t>cost_fund</t>
        </is>
      </c>
      <c r="D24" s="268" t="inlineStr">
        <is>
          <t>Отложите в фонд развития</t>
        </is>
      </c>
      <c r="E24" s="267" t="inlineStr">
        <is>
          <t>fundY</t>
        </is>
      </c>
      <c r="F24" s="265" t="inlineStr">
        <is>
          <t>R × fund_pct</t>
        </is>
      </c>
      <c r="G24" s="269" t="inlineStr">
        <is>
          <t>#7189AE</t>
        </is>
      </c>
      <c r="H24" s="265" t="inlineStr">
        <is>
          <t>всегда, даже при нуле</t>
        </is>
      </c>
      <c r="I24" s="265" t="inlineStr">
        <is>
          <t>Галочка «Закладывать фонд развития» в анкете СНЯТА по умолчанию, поле % неактивно. При нуле — предупреждение: «Технику придётся менять из своего кармана или в кредит». Анкета, блок 15</t>
        </is>
      </c>
      <c r="J24" t="inlineStr">
        <is>
          <t>да</t>
        </is>
      </c>
    </row>
    <row r="25">
      <c r="A25" s="265" t="n">
        <v>13</v>
      </c>
      <c r="B25" s="266" t="inlineStr">
        <is>
          <t>ВАШИ РАСХОДЫ</t>
        </is>
      </c>
      <c r="C25" s="267" t="inlineStr">
        <is>
          <t>cost_disc</t>
        </is>
      </c>
      <c r="D25" s="268" t="inlineStr">
        <is>
          <t>Заложите запас на скидку</t>
        </is>
      </c>
      <c r="E25" s="267" t="inlineStr">
        <is>
          <t>discY</t>
        </is>
      </c>
      <c r="F25" s="265" t="inlineStr">
        <is>
          <t>R × disc_pct</t>
        </is>
      </c>
      <c r="G25" s="270" t="inlineStr">
        <is>
          <t>#B7C9E8</t>
        </is>
      </c>
      <c r="H25" s="265" t="inlineStr">
        <is>
          <t>всегда, даже при нуле</t>
        </is>
      </c>
      <c r="I25" s="265" t="inlineStr">
        <is>
          <t>Галочка «Закладывать запас на скидку» СНЯТА по умолчанию, поле % неактивно. При нуле — предупреждение: «Любая скидка просто так будет вычтена из вашего дохода». Анкета, блок 15</t>
        </is>
      </c>
      <c r="J25" t="inlineStr">
        <is>
          <t>да</t>
        </is>
      </c>
    </row>
    <row r="27">
      <c r="A27" s="3" t="inlineStr">
        <is>
          <t>Д2 · ТРИ КОЛЬЦА СРАВНЕНИЯ — полный отчёт, после оплаты</t>
        </is>
      </c>
    </row>
    <row r="28">
      <c r="A28" s="2" t="inlineStr">
        <is>
          <t>Тип диаграммы</t>
        </is>
      </c>
      <c r="C28" s="46" t="inlineStr">
        <is>
          <t>Три кольцевые рядом (donut × 3)</t>
        </is>
      </c>
      <c r="D28" s="72" t="n"/>
      <c r="E28" s="73" t="n"/>
      <c r="F28" s="25" t="inlineStr">
        <is>
          <t>190 px каждая, в ряд на десктопе, столбцом на мобильном</t>
        </is>
      </c>
    </row>
    <row r="29">
      <c r="A29" s="2" t="inlineStr">
        <is>
          <t>Где размещена</t>
        </is>
      </c>
      <c r="C29" s="46" t="inlineStr">
        <is>
          <t>Блок «Куда уходит каждый час»</t>
        </is>
      </c>
      <c r="D29" s="72" t="n"/>
      <c r="E29" s="73" t="n"/>
      <c r="F29" s="25" t="inlineStr">
        <is>
          <t>Под размытием до оплаты</t>
        </is>
      </c>
    </row>
    <row r="30">
      <c r="A30" s="2" t="inlineStr">
        <is>
          <t>Что показывает</t>
        </is>
      </c>
      <c r="C30" s="46" t="inlineStr">
        <is>
          <t>Одни и те же сегменты при трёх ставках</t>
        </is>
      </c>
      <c r="D30" s="72" t="n"/>
      <c r="E30" s="73" t="n"/>
      <c r="F30" s="25" t="inlineStr">
        <is>
          <t>Сегменты и цвета совпадают с Д1</t>
        </is>
      </c>
    </row>
    <row r="31">
      <c r="A31" s="2" t="inlineStr">
        <is>
          <t>Кольцо 1</t>
        </is>
      </c>
      <c r="C31" s="46" t="inlineStr">
        <is>
          <t>Ваша расчётная ставка</t>
        </is>
      </c>
      <c r="D31" s="72" t="n"/>
      <c r="E31" s="73" t="n"/>
      <c r="F31" s="25" t="inlineStr">
        <is>
          <t>Выручка R, доход = target_income</t>
        </is>
      </c>
    </row>
    <row r="32">
      <c r="A32" s="2" t="inlineStr">
        <is>
          <t>Кольцо 2</t>
        </is>
      </c>
      <c r="C32" s="46" t="inlineStr">
        <is>
          <t>Ваша текущая ставка</t>
        </is>
      </c>
      <c r="D32" s="72" t="n"/>
      <c r="E32" s="73" t="n"/>
      <c r="F32" s="25" t="inlineStr">
        <is>
          <t>Выручка current_rate × shooting_time, доход = leftC</t>
        </is>
      </c>
    </row>
    <row r="33">
      <c r="A33" s="2" t="inlineStr">
        <is>
          <t>Кольцо 3</t>
        </is>
      </c>
      <c r="C33" s="46" t="inlineStr">
        <is>
          <t>Работа в ноль</t>
        </is>
      </c>
      <c r="D33" s="72" t="n"/>
      <c r="E33" s="73" t="n"/>
      <c r="F33" s="25" t="inlineStr">
        <is>
          <t>Выручка Rb (безубыточность), доход = 0</t>
        </is>
      </c>
    </row>
    <row r="34" ht="30" customHeight="1">
      <c r="A34" s="2" t="inlineStr">
        <is>
          <t>Единица легенды</t>
        </is>
      </c>
      <c r="C34" s="46" t="inlineStr">
        <is>
          <t>Рубли и проценты</t>
        </is>
      </c>
      <c r="D34" s="72" t="n"/>
      <c r="E34" s="73" t="n"/>
      <c r="F34" s="25" t="inlineStr"/>
    </row>
    <row r="36">
      <c r="A36" s="26" t="inlineStr">
        <is>
          <t>№</t>
        </is>
      </c>
      <c r="B36" s="26" t="inlineStr">
        <is>
          <t>Группа</t>
        </is>
      </c>
      <c r="C36" s="26" t="inlineStr">
        <is>
          <t>Код сегмента</t>
        </is>
      </c>
      <c r="D36" s="26" t="inlineStr">
        <is>
          <t>Подпись в легенде</t>
        </is>
      </c>
      <c r="E36" s="26" t="inlineStr">
        <is>
          <t>Параметр расчёта</t>
        </is>
      </c>
      <c r="F36" s="26" t="inlineStr">
        <is>
          <t>Формула / что берём</t>
        </is>
      </c>
      <c r="G36" s="26" t="inlineStr">
        <is>
          <t>Цвет</t>
        </is>
      </c>
      <c r="H36" s="26" t="inlineStr">
        <is>
          <t>Условие</t>
        </is>
      </c>
      <c r="I36" s="26" t="inlineStr">
        <is>
          <t>Комментарий</t>
        </is>
      </c>
    </row>
    <row r="37">
      <c r="A37" s="61" t="inlineStr">
        <is>
          <t>1–11</t>
        </is>
      </c>
      <c r="B37" s="20" t="inlineStr">
        <is>
          <t>те же</t>
        </is>
      </c>
      <c r="C37" s="6" t="inlineStr">
        <is>
          <t>см. Д1</t>
        </is>
      </c>
      <c r="D37" s="113" t="inlineStr">
        <is>
          <t>Состав полностью совпадает с Д1</t>
        </is>
      </c>
      <c r="E37" s="6" t="inlineStr">
        <is>
          <t>parts(d)</t>
        </is>
      </c>
      <c r="F37" s="5" t="inlineStr">
        <is>
          <t>Для кольца 2 доходные сегменты × коэффициент leftC / target_income</t>
        </is>
      </c>
      <c r="G37" s="6" t="inlineStr">
        <is>
          <t>—</t>
        </is>
      </c>
      <c r="H37" s="5" t="inlineStr">
        <is>
          <t>всегда</t>
        </is>
      </c>
      <c r="I37" s="5" t="inlineStr">
        <is>
          <t>Для кольца 3 все доходные сегменты = 0</t>
        </is>
      </c>
    </row>
    <row r="39">
      <c r="A39" s="3" t="inlineStr">
        <is>
          <t>Д3 · СЕТКА НЕДЕЛИ — блок 02. Обновлено 06.08.2026: расшифровка убрана, добавлена легенда цветов под сеткой</t>
        </is>
      </c>
    </row>
    <row r="40">
      <c r="A40" s="2" t="inlineStr">
        <is>
          <t>Тип диаграммы</t>
        </is>
      </c>
      <c r="C40" s="46" t="inlineStr">
        <is>
          <t>Тепловая сетка (heatmap) 5 × 9</t>
        </is>
      </c>
      <c r="D40" s="72" t="n"/>
      <c r="E40" s="73" t="n"/>
      <c r="F40" s="25" t="inlineStr">
        <is>
          <t>5 рабочих дней, часы с 10:00 до 19:00</t>
        </is>
      </c>
    </row>
    <row r="41">
      <c r="A41" s="2" t="inlineStr">
        <is>
          <t>Где размещена</t>
        </is>
      </c>
      <c r="C41" s="46" t="inlineStr">
        <is>
          <t>Блок «Ваша неделя»</t>
        </is>
      </c>
      <c r="D41" s="72" t="n"/>
      <c r="E41" s="73" t="n"/>
      <c r="F41" s="25" t="inlineStr">
        <is>
          <t>Под размытием до оплаты</t>
        </is>
      </c>
    </row>
    <row r="42">
      <c r="A42" s="2" t="inlineStr">
        <is>
          <t>Что показывает</t>
        </is>
      </c>
      <c r="C42" s="46" t="inlineStr">
        <is>
          <t>Как распределяется рабочий день по видам работ</t>
        </is>
      </c>
      <c r="D42" s="72" t="n"/>
      <c r="E42" s="73" t="n"/>
      <c r="F42" s="25" t="inlineStr">
        <is>
          <t>Часы в неделю ÷ 5 дней</t>
        </is>
      </c>
    </row>
    <row r="43">
      <c r="A43" s="2" t="inlineStr">
        <is>
          <t>Обед</t>
        </is>
      </c>
      <c r="C43" s="46" t="inlineStr">
        <is>
          <t>Один час в 14:00, серый</t>
        </is>
      </c>
      <c r="D43" s="72" t="n"/>
      <c r="E43" s="73" t="n"/>
      <c r="F43" s="25" t="inlineStr">
        <is>
          <t>Не входит в рабочее время</t>
        </is>
      </c>
    </row>
    <row r="44" ht="30" customHeight="1">
      <c r="A44" s="2" t="inlineStr">
        <is>
          <t>Легенда цветов</t>
        </is>
      </c>
      <c r="C44" s="46" t="inlineStr">
        <is>
          <t>Под сеткой, класс .slg</t>
        </is>
      </c>
      <c r="D44" s="72" t="n"/>
      <c r="E44" s="73" t="n"/>
      <c r="F44" s="250" t="inlineStr">
        <is>
          <t>Съёмка · Обработка · Продвижение · Работа с клиентом · Учёт · Рабочие паузы · Форс-мажоры (штриховка, только если &gt; 0)</t>
        </is>
      </c>
    </row>
    <row r="45">
      <c r="A45" s="2" t="inlineStr">
        <is>
          <t>Комментарий</t>
        </is>
      </c>
      <c r="C45" s="249" t="inlineStr">
        <is>
          <t>Один, крупным шрифтом</t>
        </is>
      </c>
      <c r="F45" s="250" t="inlineStr">
        <is>
          <t>«За неделю у вас одна съёмка на N ч… Получается всего N часа с камерой в руках, а остальное время — это та самая невидимая, но огромная работа за кадром, без которой ни одна съёмка просто не состоится»</t>
        </is>
      </c>
    </row>
    <row r="46">
      <c r="A46" s="26" t="inlineStr">
        <is>
          <t>№</t>
        </is>
      </c>
      <c r="B46" s="26" t="inlineStr">
        <is>
          <t>Группа</t>
        </is>
      </c>
      <c r="C46" s="26" t="inlineStr">
        <is>
          <t>Код сегмента</t>
        </is>
      </c>
      <c r="D46" s="26" t="inlineStr">
        <is>
          <t>Подпись в легенде</t>
        </is>
      </c>
      <c r="E46" s="26" t="inlineStr">
        <is>
          <t>Параметр расчёта</t>
        </is>
      </c>
      <c r="F46" s="26" t="inlineStr">
        <is>
          <t>Формула / что берём</t>
        </is>
      </c>
      <c r="G46" s="26" t="inlineStr">
        <is>
          <t>Цвет</t>
        </is>
      </c>
      <c r="H46" s="26" t="inlineStr">
        <is>
          <t>Условие</t>
        </is>
      </c>
      <c r="I46" s="26" t="inlineStr">
        <is>
          <t>Комментарий</t>
        </is>
      </c>
    </row>
    <row r="47">
      <c r="A47" s="61" t="n">
        <v>1</v>
      </c>
      <c r="B47" s="108" t="inlineStr">
        <is>
          <t>ВРЕМЯ</t>
        </is>
      </c>
      <c r="C47" s="6" t="inlineStr">
        <is>
          <t>wk_shoot</t>
        </is>
      </c>
      <c r="D47" s="113" t="inlineStr">
        <is>
          <t>Съёмка</t>
        </is>
      </c>
      <c r="E47" s="6" t="inlineStr">
        <is>
          <t>shooting_time</t>
        </is>
      </c>
      <c r="F47" s="5" t="inlineStr">
        <is>
          <t>shooting_time / net_weeks / 5</t>
        </is>
      </c>
      <c r="G47" s="125" t="inlineStr">
        <is>
          <t>#0B6B22</t>
        </is>
      </c>
      <c r="H47" s="5" t="inlineStr">
        <is>
          <t>всегда</t>
        </is>
      </c>
      <c r="I47" s="5" t="inlineStr">
        <is>
          <t>Цвет совпадает с Д1</t>
        </is>
      </c>
    </row>
    <row r="48">
      <c r="A48" s="61" t="n">
        <v>2</v>
      </c>
      <c r="B48" s="108" t="inlineStr">
        <is>
          <t>ВРЕМЯ</t>
        </is>
      </c>
      <c r="C48" s="6" t="inlineStr">
        <is>
          <t>wk_post</t>
        </is>
      </c>
      <c r="D48" s="113" t="inlineStr">
        <is>
          <t>Обработка</t>
        </is>
      </c>
      <c r="E48" s="6" t="inlineStr">
        <is>
          <t>post_time</t>
        </is>
      </c>
      <c r="F48" s="5" t="inlineStr">
        <is>
          <t>post_time / net_weeks / 5</t>
        </is>
      </c>
      <c r="G48" s="126" t="inlineStr">
        <is>
          <t>#1B9331</t>
        </is>
      </c>
      <c r="H48" s="5" t="inlineStr">
        <is>
          <t>всегда</t>
        </is>
      </c>
      <c r="I48" s="5" t="inlineStr"/>
    </row>
    <row r="49">
      <c r="A49" s="61" t="n">
        <v>3</v>
      </c>
      <c r="B49" s="108" t="inlineStr">
        <is>
          <t>ВРЕМЯ</t>
        </is>
      </c>
      <c r="C49" s="6" t="inlineStr">
        <is>
          <t>wk_client</t>
        </is>
      </c>
      <c r="D49" s="113" t="inlineStr">
        <is>
          <t>Работа с клиентом</t>
        </is>
      </c>
      <c r="E49" s="6" t="inlineStr">
        <is>
          <t>client_total</t>
        </is>
      </c>
      <c r="F49" s="5" t="inlineStr">
        <is>
          <t>client_total / net_weeks / 5</t>
        </is>
      </c>
      <c r="G49" s="127" t="inlineStr">
        <is>
          <t>#35B94C</t>
        </is>
      </c>
      <c r="H49" s="5" t="inlineStr">
        <is>
          <t>всегда</t>
        </is>
      </c>
      <c r="I49" s="5" t="inlineStr"/>
    </row>
    <row r="50">
      <c r="A50" s="61" t="n">
        <v>4</v>
      </c>
      <c r="B50" s="108" t="inlineStr">
        <is>
          <t>ВРЕМЯ</t>
        </is>
      </c>
      <c r="C50" s="6" t="inlineStr">
        <is>
          <t>wk_promo</t>
        </is>
      </c>
      <c r="D50" s="113" t="inlineStr">
        <is>
          <t>Продвижение</t>
        </is>
      </c>
      <c r="E50" s="6" t="inlineStr">
        <is>
          <t>promo_time</t>
        </is>
      </c>
      <c r="F50" s="5" t="inlineStr">
        <is>
          <t>promo_time / net_weeks / 5</t>
        </is>
      </c>
      <c r="G50" s="128" t="inlineStr">
        <is>
          <t>#6FD183</t>
        </is>
      </c>
      <c r="H50" s="5" t="inlineStr">
        <is>
          <t>всегда</t>
        </is>
      </c>
      <c r="I50" s="5" t="inlineStr"/>
    </row>
    <row r="51">
      <c r="A51" s="61" t="n">
        <v>5</v>
      </c>
      <c r="B51" s="108" t="inlineStr">
        <is>
          <t>ВРЕМЯ</t>
        </is>
      </c>
      <c r="C51" s="6" t="inlineStr">
        <is>
          <t>wk_acc</t>
        </is>
      </c>
      <c r="D51" s="113" t="inlineStr">
        <is>
          <t>Учёт</t>
        </is>
      </c>
      <c r="E51" s="6" t="inlineStr">
        <is>
          <t>accounting_time</t>
        </is>
      </c>
      <c r="F51" s="5" t="inlineStr">
        <is>
          <t>accounting_time / net_weeks / 5</t>
        </is>
      </c>
      <c r="G51" s="129" t="inlineStr">
        <is>
          <t>#A6E5B2</t>
        </is>
      </c>
      <c r="H51" s="5" t="inlineStr">
        <is>
          <t>только при acc_mode = сам</t>
        </is>
      </c>
      <c r="I51" s="5" t="inlineStr"/>
    </row>
    <row r="52">
      <c r="A52" s="61" t="n">
        <v>6</v>
      </c>
      <c r="B52" s="108" t="inlineStr">
        <is>
          <t>ВРЕМЯ</t>
        </is>
      </c>
      <c r="C52" s="6" t="inlineStr">
        <is>
          <t>wk_fm</t>
        </is>
      </c>
      <c r="D52" s="113" t="inlineStr">
        <is>
          <t>Резерв на срывы</t>
        </is>
      </c>
      <c r="E52" s="6" t="inlineStr">
        <is>
          <t>fm_time</t>
        </is>
      </c>
      <c r="F52" s="5" t="inlineStr">
        <is>
          <t>fm_time / net_weeks / 5</t>
        </is>
      </c>
      <c r="G52" s="130" t="inlineStr">
        <is>
          <t>#CDF2D5</t>
        </is>
      </c>
      <c r="H52" s="5" t="inlineStr">
        <is>
          <t>только при fm_on</t>
        </is>
      </c>
      <c r="I52" s="5" t="inlineStr"/>
    </row>
    <row r="53">
      <c r="A53" s="61" t="n">
        <v>7</v>
      </c>
      <c r="B53" s="20" t="inlineStr">
        <is>
          <t>СЛУЖЕБНОЕ</t>
        </is>
      </c>
      <c r="C53" s="6" t="inlineStr">
        <is>
          <t>wk_lunch</t>
        </is>
      </c>
      <c r="D53" s="113" t="inlineStr">
        <is>
          <t>Обед</t>
        </is>
      </c>
      <c r="E53" s="6" t="inlineStr">
        <is>
          <t>—</t>
        </is>
      </c>
      <c r="F53" s="5" t="inlineStr">
        <is>
          <t>фиксированно 1 час в 14:00</t>
        </is>
      </c>
      <c r="G53" s="136" t="inlineStr">
        <is>
          <t>#E5E7EB</t>
        </is>
      </c>
      <c r="H53" s="5" t="inlineStr">
        <is>
          <t>всегда</t>
        </is>
      </c>
      <c r="I53" s="5" t="inlineStr">
        <is>
          <t>Нейтральный серый</t>
        </is>
      </c>
    </row>
    <row r="55">
      <c r="A55" s="3" t="inlineStr">
        <is>
          <t>Д4 · РЕЗЕРВ — заготовка под будущую диаграмму</t>
        </is>
      </c>
    </row>
    <row r="56">
      <c r="A56" s="2" t="inlineStr">
        <is>
          <t>Тип диаграммы</t>
        </is>
      </c>
      <c r="C56" s="46" t="inlineStr">
        <is>
          <t>(заполнить)</t>
        </is>
      </c>
      <c r="D56" s="72" t="n"/>
      <c r="E56" s="73" t="n"/>
      <c r="F56" s="25" t="inlineStr">
        <is>
          <t>Варианты: столбчатая, линейная, воронка</t>
        </is>
      </c>
    </row>
    <row r="57">
      <c r="A57" s="2" t="inlineStr">
        <is>
          <t>Где размещена</t>
        </is>
      </c>
      <c r="C57" s="46" t="inlineStr">
        <is>
          <t>(заполнить)</t>
        </is>
      </c>
      <c r="D57" s="72" t="n"/>
      <c r="E57" s="73" t="n"/>
      <c r="F57" s="25" t="inlineStr"/>
    </row>
    <row r="58">
      <c r="A58" s="2" t="inlineStr">
        <is>
          <t>Что показывает</t>
        </is>
      </c>
      <c r="C58" s="46" t="inlineStr">
        <is>
          <t>(заполнить)</t>
        </is>
      </c>
      <c r="D58" s="72" t="n"/>
      <c r="E58" s="73" t="n"/>
      <c r="F58" s="25" t="inlineStr"/>
    </row>
    <row r="59">
      <c r="A59" s="2" t="inlineStr">
        <is>
          <t>Идея 1</t>
        </is>
      </c>
      <c r="C59" s="46" t="inlineStr">
        <is>
          <t>Динамика ставки при разной длительности съёмки</t>
        </is>
      </c>
      <c r="D59" s="72" t="n"/>
      <c r="E59" s="73" t="n"/>
      <c r="F59" s="25" t="inlineStr">
        <is>
          <t>Как S влияет на цену часа</t>
        </is>
      </c>
    </row>
    <row r="60">
      <c r="A60" s="2" t="inlineStr">
        <is>
          <t>Идея 2</t>
        </is>
      </c>
      <c r="C60" s="46" t="inlineStr">
        <is>
          <t>Структура года: оплачиваемые и неоплачиваемые часы</t>
        </is>
      </c>
      <c r="D60" s="72" t="n"/>
      <c r="E60" s="73" t="n"/>
      <c r="F60" s="25" t="inlineStr">
        <is>
          <t>Наглядное соотношение</t>
        </is>
      </c>
    </row>
    <row r="61" ht="30" customHeight="1">
      <c r="A61" s="2" t="inlineStr">
        <is>
          <t>Идея 3</t>
        </is>
      </c>
      <c r="C61" s="46" t="inlineStr">
        <is>
          <t>Сравнение с наймом</t>
        </is>
      </c>
      <c r="D61" s="72" t="n"/>
      <c r="E61" s="73" t="n"/>
      <c r="F61" s="25" t="inlineStr">
        <is>
          <t>Ставка фрилансера против зарплаты в штате</t>
        </is>
      </c>
    </row>
    <row r="63">
      <c r="A63" s="26" t="inlineStr">
        <is>
          <t>№</t>
        </is>
      </c>
      <c r="B63" s="26" t="inlineStr">
        <is>
          <t>Группа</t>
        </is>
      </c>
      <c r="C63" s="26" t="inlineStr">
        <is>
          <t>Код сегмента</t>
        </is>
      </c>
      <c r="D63" s="26" t="inlineStr">
        <is>
          <t>Подпись в легенде</t>
        </is>
      </c>
      <c r="E63" s="26" t="inlineStr">
        <is>
          <t>Параметр расчёта</t>
        </is>
      </c>
      <c r="F63" s="26" t="inlineStr">
        <is>
          <t>Формула / что берём</t>
        </is>
      </c>
      <c r="G63" s="26" t="inlineStr">
        <is>
          <t>Цвет</t>
        </is>
      </c>
      <c r="H63" s="26" t="inlineStr">
        <is>
          <t>Условие</t>
        </is>
      </c>
      <c r="I63" s="26" t="inlineStr">
        <is>
          <t>Комментарий</t>
        </is>
      </c>
    </row>
    <row r="64">
      <c r="A64" s="61" t="n">
        <v>1</v>
      </c>
      <c r="B64" s="20" t="inlineStr"/>
      <c r="C64" s="6" t="inlineStr"/>
      <c r="D64" s="113" t="inlineStr"/>
      <c r="E64" s="6" t="inlineStr"/>
      <c r="F64" s="5" t="inlineStr"/>
      <c r="G64" s="6" t="inlineStr"/>
      <c r="H64" s="5" t="inlineStr"/>
      <c r="I64" s="5" t="inlineStr"/>
    </row>
    <row r="65">
      <c r="A65" s="61" t="n">
        <v>2</v>
      </c>
      <c r="B65" s="20" t="inlineStr"/>
      <c r="C65" s="6" t="inlineStr"/>
      <c r="D65" s="113" t="inlineStr"/>
      <c r="E65" s="6" t="inlineStr"/>
      <c r="F65" s="5" t="inlineStr"/>
      <c r="G65" s="6" t="inlineStr"/>
      <c r="H65" s="5" t="inlineStr"/>
      <c r="I65" s="5" t="inlineStr"/>
    </row>
    <row r="66">
      <c r="A66" s="61" t="n">
        <v>3</v>
      </c>
      <c r="B66" s="20" t="inlineStr"/>
      <c r="C66" s="6" t="inlineStr"/>
      <c r="D66" s="113" t="inlineStr"/>
      <c r="E66" s="6" t="inlineStr"/>
      <c r="F66" s="5" t="inlineStr"/>
      <c r="G66" s="6" t="inlineStr"/>
      <c r="H66" s="5" t="inlineStr"/>
      <c r="I66" s="5" t="inlineStr"/>
    </row>
    <row r="67">
      <c r="A67" s="61" t="n">
        <v>4</v>
      </c>
      <c r="B67" s="20" t="inlineStr"/>
      <c r="C67" s="6" t="inlineStr"/>
      <c r="D67" s="113" t="inlineStr"/>
      <c r="E67" s="6" t="inlineStr"/>
      <c r="F67" s="5" t="inlineStr"/>
      <c r="G67" s="6" t="inlineStr"/>
      <c r="H67" s="5" t="inlineStr"/>
      <c r="I67" s="5" t="inlineStr"/>
    </row>
    <row r="68">
      <c r="A68" s="61" t="n">
        <v>5</v>
      </c>
      <c r="B68" s="20" t="inlineStr"/>
      <c r="C68" s="6" t="inlineStr"/>
      <c r="D68" s="113" t="inlineStr"/>
      <c r="E68" s="6" t="inlineStr"/>
      <c r="F68" s="5" t="inlineStr"/>
      <c r="G68" s="6" t="inlineStr"/>
      <c r="H68" s="5" t="inlineStr"/>
      <c r="I68" s="5" t="inlineStr"/>
    </row>
    <row r="69">
      <c r="A69" s="61" t="n">
        <v>6</v>
      </c>
      <c r="B69" s="20" t="inlineStr"/>
      <c r="C69" s="6" t="inlineStr"/>
      <c r="D69" s="113" t="inlineStr"/>
      <c r="E69" s="6" t="inlineStr"/>
      <c r="F69" s="5" t="inlineStr"/>
      <c r="G69" s="6" t="inlineStr"/>
      <c r="H69" s="5" t="inlineStr"/>
      <c r="I69" s="5" t="inlineStr"/>
    </row>
    <row r="71">
      <c r="A71" s="3" t="inlineStr">
        <is>
          <t>ОБЩИЕ ПРАВИЛА</t>
        </is>
      </c>
    </row>
    <row r="72">
      <c r="A72" t="inlineStr">
        <is>
          <t>Порядок сегментов в таблице = порядок отрисовки по часовой стрелке от 12 часов.</t>
        </is>
      </c>
    </row>
    <row r="73">
      <c r="A73" t="inlineStr">
        <is>
          <t>Цвета едины для всех диаграмм: зелёная гамма — заработок, тёплая и холодная — расходы.</t>
        </is>
      </c>
    </row>
    <row r="74">
      <c r="A74" t="inlineStr">
        <is>
          <t>Проценты подписываются прямо на сегменте, если доля не меньше 3,2%. Мельче — не читается.</t>
        </is>
      </c>
    </row>
    <row r="75">
      <c r="A75" t="inlineStr">
        <is>
          <t>Сегмент с нулевым значением не отрисовывается и не попадает в легенду.</t>
        </is>
      </c>
    </row>
    <row r="76">
      <c r="A76" t="inlineStr">
        <is>
          <t>Условные сегменты (бухгалтер, резерв) исчезают, когда соответствующая опция выключена.</t>
        </is>
      </c>
    </row>
    <row r="77">
      <c r="A77" t="inlineStr">
        <is>
          <t>Сумма всех сегментов всегда равна выручке — это проверяется формулой в листе 05_Расчёт.</t>
        </is>
      </c>
    </row>
    <row r="78"/>
    <row r="79">
      <c r="A79" t="inlineStr">
        <is>
          <t>ЧТО ПРАВИТЬ В ЭТОМ ЛИСТЕ: подписи в легенде (жёлтая колонка) и состав групп.</t>
        </is>
      </c>
    </row>
    <row r="80">
      <c r="A80" t="inlineStr">
        <is>
          <t>Формулы и коды сегментов менять только вместе с кодом HTML.</t>
        </is>
      </c>
    </row>
  </sheetData>
  <mergeCells count="88">
    <mergeCell ref="C44:E44"/>
    <mergeCell ref="C31:E31"/>
    <mergeCell ref="C40:E40"/>
    <mergeCell ref="A27:I27"/>
    <mergeCell ref="C60:E60"/>
    <mergeCell ref="A2:I2"/>
    <mergeCell ref="A7:B7"/>
    <mergeCell ref="A41:B41"/>
    <mergeCell ref="F29:I29"/>
    <mergeCell ref="A56:B56"/>
    <mergeCell ref="C7:E7"/>
    <mergeCell ref="C57:E57"/>
    <mergeCell ref="A33:B33"/>
    <mergeCell ref="A42:B42"/>
    <mergeCell ref="F59:I59"/>
    <mergeCell ref="A39:I39"/>
    <mergeCell ref="C34:E34"/>
    <mergeCell ref="C42:E42"/>
    <mergeCell ref="A28:B28"/>
    <mergeCell ref="A79:I79"/>
    <mergeCell ref="A9:B9"/>
    <mergeCell ref="A30:B30"/>
    <mergeCell ref="F56:I56"/>
    <mergeCell ref="A59:B59"/>
    <mergeCell ref="F43:I43"/>
    <mergeCell ref="F58:I58"/>
    <mergeCell ref="A74:I74"/>
    <mergeCell ref="C59:E59"/>
    <mergeCell ref="A61:B61"/>
    <mergeCell ref="F60:I60"/>
    <mergeCell ref="A71:I71"/>
    <mergeCell ref="F57:I57"/>
    <mergeCell ref="A76:I76"/>
    <mergeCell ref="C61:E61"/>
    <mergeCell ref="F44:I44"/>
    <mergeCell ref="F34:I34"/>
    <mergeCell ref="F6:I6"/>
    <mergeCell ref="C32:E32"/>
    <mergeCell ref="F30:I30"/>
    <mergeCell ref="A77:I77"/>
    <mergeCell ref="F5:I5"/>
    <mergeCell ref="A8:B8"/>
    <mergeCell ref="F33:I33"/>
    <mergeCell ref="F42:I42"/>
    <mergeCell ref="C33:E33"/>
    <mergeCell ref="A10:B10"/>
    <mergeCell ref="A1:I1"/>
    <mergeCell ref="A78:I78"/>
    <mergeCell ref="A34:B34"/>
    <mergeCell ref="F28:I28"/>
    <mergeCell ref="C10:E10"/>
    <mergeCell ref="F9:I9"/>
    <mergeCell ref="A75:I75"/>
    <mergeCell ref="F61:I61"/>
    <mergeCell ref="C9:E9"/>
    <mergeCell ref="A80:I80"/>
    <mergeCell ref="A55:I55"/>
    <mergeCell ref="A4:I4"/>
    <mergeCell ref="F10:I10"/>
    <mergeCell ref="C28:E28"/>
    <mergeCell ref="F7:I7"/>
    <mergeCell ref="A57:B57"/>
    <mergeCell ref="A5:B5"/>
    <mergeCell ref="A32:B32"/>
    <mergeCell ref="C30:E30"/>
    <mergeCell ref="C6:E6"/>
    <mergeCell ref="A43:B43"/>
    <mergeCell ref="F8:I8"/>
    <mergeCell ref="A40:B40"/>
    <mergeCell ref="F31:I31"/>
    <mergeCell ref="C41:E41"/>
    <mergeCell ref="A60:B60"/>
    <mergeCell ref="C56:E56"/>
    <mergeCell ref="C43:E43"/>
    <mergeCell ref="A6:B6"/>
    <mergeCell ref="C8:E8"/>
    <mergeCell ref="A72:I72"/>
    <mergeCell ref="F40:I40"/>
    <mergeCell ref="C58:E58"/>
    <mergeCell ref="F32:I32"/>
    <mergeCell ref="A73:I73"/>
    <mergeCell ref="F41:I41"/>
    <mergeCell ref="A29:B29"/>
    <mergeCell ref="C5:E5"/>
    <mergeCell ref="A44:B44"/>
    <mergeCell ref="C29:E29"/>
    <mergeCell ref="A31:B31"/>
    <mergeCell ref="A58:B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4" customWidth="1" min="5" max="5"/>
    <col width="46" customWidth="1" min="6" max="6"/>
  </cols>
  <sheetData>
    <row r="1">
      <c r="A1" s="1" t="inlineStr">
        <is>
          <t>13 · СЕТКА ЦЕН ПО ОБЪЁМУ</t>
        </is>
      </c>
    </row>
    <row r="2">
      <c r="A2" s="25" t="inlineStr">
        <is>
          <t>Постоянная величина — час ПРОЕКТНОГО времени. Цена съёмочного часа падает за счёт накладных, а не дохода.</t>
        </is>
      </c>
    </row>
    <row r="4">
      <c r="A4" s="3" t="inlineStr">
        <is>
          <t>ПРИНЦИП</t>
        </is>
      </c>
    </row>
    <row r="5">
      <c r="A5" t="inlineStr">
        <is>
          <t>Час проектного времени = выручка / проектное время за год. Величина ПОСТОЯННАЯ.</t>
        </is>
      </c>
    </row>
    <row r="6">
      <c r="A6" t="inlineStr">
        <is>
          <t>Проект = S × (1 + коэффициент обработки) + 1 час на клиента.</t>
        </is>
      </c>
    </row>
    <row r="7">
      <c r="A7" t="inlineStr">
        <is>
          <t>Час на клиента одинаков и для съёмки на 2 часа, и для съёмки на 6 часов.</t>
        </is>
      </c>
    </row>
    <row r="8">
      <c r="A8" t="inlineStr">
        <is>
          <t>Чем длиннее съёмка, тем меньше накладных приходится на каждый съёмочный час.</t>
        </is>
      </c>
    </row>
    <row r="9"/>
    <row r="10">
      <c r="A10" t="inlineStr">
        <is>
          <t>ВАЖНО: доход специалиста НЕ уменьшается. Годовая выручка одинакова при любой длительности.</t>
        </is>
      </c>
    </row>
    <row r="12">
      <c r="A12" s="3" t="inlineStr">
        <is>
          <t>ПРИМЕР: минимальная съёмка 2 ч, коэффициент обработки 3</t>
        </is>
      </c>
    </row>
    <row r="13">
      <c r="A13" s="11" t="inlineStr">
        <is>
          <t>Длительность</t>
        </is>
      </c>
      <c r="B13" s="11" t="inlineStr">
        <is>
          <t>Проектное время</t>
        </is>
      </c>
      <c r="C13" s="11" t="inlineStr">
        <is>
          <t>Цена заказа</t>
        </is>
      </c>
      <c r="D13" s="11" t="inlineStr">
        <is>
          <t>Цена часа</t>
        </is>
      </c>
      <c r="E13" s="11" t="inlineStr">
        <is>
          <t>Скидка</t>
        </is>
      </c>
      <c r="F13" s="11" t="inlineStr">
        <is>
          <t>Комментарий</t>
        </is>
      </c>
    </row>
    <row r="14">
      <c r="A14" s="8" t="inlineStr">
        <is>
          <t>2 ч — базовая</t>
        </is>
      </c>
      <c r="B14" s="8" t="inlineStr">
        <is>
          <t>9 ч</t>
        </is>
      </c>
      <c r="C14" s="118" t="n">
        <v>18708</v>
      </c>
      <c r="D14" s="118" t="n">
        <v>9354</v>
      </c>
      <c r="E14" s="8" t="inlineStr">
        <is>
          <t>—</t>
        </is>
      </c>
      <c r="F14" s="8" t="inlineStr">
        <is>
          <t>Максимальная ставка</t>
        </is>
      </c>
    </row>
    <row r="15">
      <c r="A15" s="5" t="inlineStr">
        <is>
          <t>3 ч</t>
        </is>
      </c>
      <c r="B15" s="5" t="inlineStr">
        <is>
          <t>13 ч</t>
        </is>
      </c>
      <c r="C15" s="137" t="n">
        <v>27023</v>
      </c>
      <c r="D15" s="137" t="n">
        <v>9008</v>
      </c>
      <c r="E15" s="5" t="inlineStr">
        <is>
          <t>−3.7%</t>
        </is>
      </c>
      <c r="F15" s="5" t="inlineStr">
        <is>
          <t>Клиент экономит 346 ₽ с часа</t>
        </is>
      </c>
    </row>
    <row r="16">
      <c r="A16" s="5" t="inlineStr">
        <is>
          <t>4 ч</t>
        </is>
      </c>
      <c r="B16" s="5" t="inlineStr">
        <is>
          <t>17 ч</t>
        </is>
      </c>
      <c r="C16" s="137" t="n">
        <v>35338</v>
      </c>
      <c r="D16" s="137" t="n">
        <v>8835</v>
      </c>
      <c r="E16" s="5" t="inlineStr">
        <is>
          <t>−5.6%</t>
        </is>
      </c>
      <c r="F16" s="5" t="inlineStr">
        <is>
          <t>Клиент экономит 520 ₽ с часа</t>
        </is>
      </c>
    </row>
    <row r="17">
      <c r="A17" s="5" t="inlineStr">
        <is>
          <t>5 ч</t>
        </is>
      </c>
      <c r="B17" s="5" t="inlineStr">
        <is>
          <t>21 ч</t>
        </is>
      </c>
      <c r="C17" s="137" t="n">
        <v>43653</v>
      </c>
      <c r="D17" s="137" t="n">
        <v>8731</v>
      </c>
      <c r="E17" s="5" t="inlineStr">
        <is>
          <t>−6.7%</t>
        </is>
      </c>
      <c r="F17" s="5" t="inlineStr">
        <is>
          <t>Клиент экономит 624 ₽ с часа</t>
        </is>
      </c>
    </row>
    <row r="18">
      <c r="A18" s="5" t="inlineStr">
        <is>
          <t>6 ч</t>
        </is>
      </c>
      <c r="B18" s="5" t="inlineStr">
        <is>
          <t>25 ч</t>
        </is>
      </c>
      <c r="C18" s="137" t="n">
        <v>51968</v>
      </c>
      <c r="D18" s="137" t="n">
        <v>8661</v>
      </c>
      <c r="E18" s="5" t="inlineStr">
        <is>
          <t>−7.4%</t>
        </is>
      </c>
      <c r="F18" s="5" t="inlineStr">
        <is>
          <t>Клиент экономит 693 ₽ с часа</t>
        </is>
      </c>
    </row>
    <row r="19">
      <c r="A19" s="5" t="inlineStr">
        <is>
          <t>7 ч</t>
        </is>
      </c>
      <c r="B19" s="5" t="inlineStr">
        <is>
          <t>29 ч</t>
        </is>
      </c>
      <c r="C19" s="137" t="n">
        <v>60283</v>
      </c>
      <c r="D19" s="137" t="n">
        <v>8612</v>
      </c>
      <c r="E19" s="5" t="inlineStr">
        <is>
          <t>−7.9%</t>
        </is>
      </c>
      <c r="F19" s="5" t="inlineStr">
        <is>
          <t>Клиент экономит 742 ₽ с часа</t>
        </is>
      </c>
    </row>
    <row r="21">
      <c r="A21" s="108" t="inlineStr">
        <is>
          <t>ПРОВЕРКА</t>
        </is>
      </c>
      <c r="B21" s="108" t="inlineStr">
        <is>
          <t>Выручка за год при любом S</t>
        </is>
      </c>
      <c r="C21" s="116" t="n">
        <v>2138693</v>
      </c>
      <c r="D21" s="108" t="inlineStr"/>
      <c r="E21" s="108" t="inlineStr"/>
      <c r="F21" s="108" t="inlineStr">
        <is>
          <t>Сумма всех заказов одинакова</t>
        </is>
      </c>
    </row>
    <row r="23">
      <c r="A23" s="256" t="inlineStr">
        <is>
          <t>ПЕРЕСМОТР 06.08.2026 — база от 1 часа, ступени 2/4/6</t>
        </is>
      </c>
    </row>
    <row r="24">
      <c r="A24" s="2" t="inlineStr">
        <is>
          <t>Было</t>
        </is>
      </c>
      <c r="B24" s="229" t="inlineStr">
        <is>
          <t>Ступени S, S+1, S+2, S+3 — зависели от введённой длительности. Первая карточка считалась «базой», хотя при S=2 это уже цена со скидкой 10%</t>
        </is>
      </c>
    </row>
    <row r="25">
      <c r="A25" s="2" t="inlineStr">
        <is>
          <t>Стало</t>
        </is>
      </c>
      <c r="B25" s="229" t="inlineStr">
        <is>
          <t>База всегда 1 час — короче никто не работает. Ступени фиксированы: 2, 4, 6 часов</t>
        </is>
      </c>
    </row>
    <row r="26">
      <c r="A26" s="2" t="inlineStr">
        <is>
          <t>Формула</t>
        </is>
      </c>
      <c r="B26" s="229" t="inlineStr">
        <is>
          <t>час(S) = (S × (1+K) + cl) × hp / S, где hp = R / project_pool</t>
        </is>
      </c>
    </row>
    <row r="27">
      <c r="A27" s="2" t="inlineStr">
        <is>
          <t>Почему час дороже</t>
        </is>
      </c>
      <c r="B27" s="229" t="inlineStr">
        <is>
          <t>Час на работу с клиентом тратится на каждый заказ независимо от длины. При S=1 он занимает 20% проекта, при S=6 — только 4%</t>
        </is>
      </c>
    </row>
    <row r="28">
      <c r="A28" s="2" t="inlineStr">
        <is>
          <t>На демо-наборе</t>
        </is>
      </c>
      <c r="B28" s="229" t="inlineStr">
        <is>
          <t>1 ч → 9 874 ₽ · 2 ч → 8 887 ₽ (−10,0%) · 4 ч → 8 393 ₽ (−15,0%) · 6 ч → 8 228 ₽ (−16,7%)</t>
        </is>
      </c>
    </row>
  </sheetData>
  <mergeCells count="16">
    <mergeCell ref="A2:F2"/>
    <mergeCell ref="A10:F10"/>
    <mergeCell ref="B24:F24"/>
    <mergeCell ref="A1:F1"/>
    <mergeCell ref="A5:F5"/>
    <mergeCell ref="A9:F9"/>
    <mergeCell ref="A23:F23"/>
    <mergeCell ref="A8:F8"/>
    <mergeCell ref="B25:F25"/>
    <mergeCell ref="A6:F6"/>
    <mergeCell ref="B28:F28"/>
    <mergeCell ref="A12:F12"/>
    <mergeCell ref="A4:F4"/>
    <mergeCell ref="B26:F26"/>
    <mergeCell ref="B27:F27"/>
    <mergeCell ref="A7:F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6" customWidth="1" min="3" max="3"/>
    <col width="46" customWidth="1" min="4" max="4"/>
    <col width="14" customWidth="1" min="5" max="5"/>
    <col width="38" customWidth="1" min="6" max="6"/>
  </cols>
  <sheetData>
    <row r="1">
      <c r="A1" s="1" t="inlineStr">
        <is>
          <t>14 · ОПРОС — что доработать в первую очередь</t>
        </is>
      </c>
    </row>
    <row r="2">
      <c r="A2" s="25" t="inlineStr">
        <is>
          <t>Показываются все 4 варианта пула, всегда в одном порядке. Метрика — лайки / показы. Жёлтое редактируется, иконка берётся по коду.</t>
        </is>
      </c>
    </row>
    <row r="4">
      <c r="A4" s="3" t="inlineStr">
        <is>
          <t>ПУЛ ВАРИАНТОВ</t>
        </is>
      </c>
    </row>
    <row r="5">
      <c r="A5" s="11" t="inlineStr">
        <is>
          <t>№</t>
        </is>
      </c>
      <c r="B5" s="12" t="inlineStr">
        <is>
          <t>price</t>
        </is>
      </c>
      <c r="C5" s="113" t="inlineStr">
        <is>
          <t>Прайс для клиентов</t>
        </is>
      </c>
      <c r="D5" s="113" t="inlineStr">
        <is>
          <t>готовый прайс-лист, который не стыдно отправить</t>
        </is>
      </c>
      <c r="E5" s="11" t="inlineStr">
        <is>
          <t>да</t>
        </is>
      </c>
      <c r="F5" s="11" t="inlineStr"/>
    </row>
    <row r="6">
      <c r="A6" s="5" t="n">
        <v>1</v>
      </c>
      <c r="B6" s="6" t="inlineStr">
        <is>
          <t>invoice</t>
        </is>
      </c>
      <c r="C6" s="113" t="inlineStr">
        <is>
          <t>Счета и акты</t>
        </is>
      </c>
      <c r="D6" s="113" t="inlineStr">
        <is>
          <t>выставить за минуту, без бухгалтера</t>
        </is>
      </c>
      <c r="E6" s="113" t="inlineStr">
        <is>
          <t>да</t>
        </is>
      </c>
      <c r="F6" s="5" t="inlineStr"/>
    </row>
    <row r="7">
      <c r="A7" s="5" t="n">
        <v>2</v>
      </c>
      <c r="B7" s="6" t="inlineStr">
        <is>
          <t>pocket</t>
        </is>
      </c>
      <c r="C7" s="113" t="inlineStr">
        <is>
          <t>Карманный помощник</t>
        </is>
      </c>
      <c r="D7" s="113" t="inlineStr">
        <is>
          <t>приложение, которое всегда с вами</t>
        </is>
      </c>
      <c r="E7" s="113" t="inlineStr">
        <is>
          <t>да</t>
        </is>
      </c>
      <c r="F7" s="5" t="inlineStr"/>
    </row>
    <row r="8">
      <c r="A8" s="5" t="n">
        <v>3</v>
      </c>
      <c r="B8" s="6" t="inlineStr">
        <is>
          <t>search</t>
        </is>
      </c>
      <c r="C8" s="113" t="inlineStr">
        <is>
          <t>Поиск клиентов</t>
        </is>
      </c>
      <c r="D8" s="113" t="inlineStr">
        <is>
          <t>где брать заказы, когда сарафанное радио молчит</t>
        </is>
      </c>
      <c r="E8" s="113" t="inlineStr">
        <is>
          <t>да</t>
        </is>
      </c>
      <c r="F8" s="5" t="inlineStr"/>
    </row>
    <row r="9">
      <c r="A9" s="5" t="n">
        <v>4</v>
      </c>
      <c r="B9" s="6" t="inlineStr">
        <is>
          <t>tax</t>
        </is>
      </c>
      <c r="C9" s="113" t="inlineStr">
        <is>
          <t>Налоговый помощник</t>
        </is>
      </c>
      <c r="D9" s="113" t="inlineStr">
        <is>
          <t>какой режим выгоднее именно вам</t>
        </is>
      </c>
      <c r="E9" s="113" t="inlineStr">
        <is>
          <t>да</t>
        </is>
      </c>
      <c r="F9" s="139" t="inlineStr">
        <is>
          <t>УДАЛЕНО из HTML: пул сокращён до 4 фиксированных вариантов</t>
        </is>
      </c>
    </row>
    <row r="10">
      <c r="A10" s="5" t="n">
        <v>5</v>
      </c>
      <c r="B10" s="6" t="inlineStr">
        <is>
          <t>calendar</t>
        </is>
      </c>
      <c r="C10" s="113" t="inlineStr">
        <is>
          <t>Календарь съёмок</t>
        </is>
      </c>
      <c r="D10" s="113" t="inlineStr">
        <is>
          <t>планировать загрузку на месяц</t>
        </is>
      </c>
      <c r="E10" s="113" t="inlineStr">
        <is>
          <t>да</t>
        </is>
      </c>
      <c r="F10" s="139" t="inlineStr">
        <is>
          <t>УДАЛЕНО из HTML: пул сокращён до 4 фиксированных вариантов</t>
        </is>
      </c>
    </row>
    <row r="11">
      <c r="A11" s="5" t="n">
        <v>6</v>
      </c>
      <c r="B11" s="6" t="inlineStr">
        <is>
          <t>clients</t>
        </is>
      </c>
      <c r="C11" s="113" t="inlineStr">
        <is>
          <t>База клиентов</t>
        </is>
      </c>
      <c r="D11" s="113" t="inlineStr">
        <is>
          <t>помнить, кто и сколько заказывал</t>
        </is>
      </c>
      <c r="E11" s="113" t="inlineStr">
        <is>
          <t>да</t>
        </is>
      </c>
      <c r="F11" s="139" t="inlineStr">
        <is>
          <t>УДАЛЕНО из HTML: пул сокращён до 4 фиксированных вариантов</t>
        </is>
      </c>
    </row>
    <row r="12">
      <c r="A12" s="5" t="n">
        <v>7</v>
      </c>
      <c r="B12" s="6" t="inlineStr">
        <is>
          <t>contract</t>
        </is>
      </c>
      <c r="C12" s="113" t="inlineStr">
        <is>
          <t>Договоры</t>
        </is>
      </c>
      <c r="D12" s="113" t="inlineStr">
        <is>
          <t>шаблоны под съёмку и предоплату</t>
        </is>
      </c>
      <c r="E12" s="113" t="inlineStr">
        <is>
          <t>да</t>
        </is>
      </c>
      <c r="F12" s="139" t="inlineStr">
        <is>
          <t>УДАЛЕНО из HTML: пул сокращён до 4 фиксированных вариантов</t>
        </is>
      </c>
    </row>
    <row r="13">
      <c r="A13" s="5" t="n">
        <v>8</v>
      </c>
      <c r="B13" s="6" t="inlineStr">
        <is>
          <t>analytics</t>
        </is>
      </c>
      <c r="C13" s="113" t="inlineStr">
        <is>
          <t>Аналитика года</t>
        </is>
      </c>
      <c r="D13" s="113" t="inlineStr">
        <is>
          <t>сравнить месяцы и увидеть рост</t>
        </is>
      </c>
      <c r="E13" s="113" t="inlineStr">
        <is>
          <t>да</t>
        </is>
      </c>
      <c r="F13" s="139" t="inlineStr">
        <is>
          <t>УДАЛЕНО из HTML: пул сокращён до 4 фиксированных вариантов</t>
        </is>
      </c>
    </row>
    <row r="14">
      <c r="A14" s="5" t="n">
        <v>9</v>
      </c>
      <c r="B14" s="6" t="inlineStr">
        <is>
          <t>budget</t>
        </is>
      </c>
      <c r="C14" s="113" t="inlineStr">
        <is>
          <t>Сравнение с рынком</t>
        </is>
      </c>
      <c r="D14" s="113" t="inlineStr">
        <is>
          <t>какие цены у коллег в вашем городе</t>
        </is>
      </c>
      <c r="E14" s="113" t="inlineStr">
        <is>
          <t>да</t>
        </is>
      </c>
      <c r="F14" s="139" t="inlineStr">
        <is>
          <t>УДАЛЕНО из HTML: пул сокращён до 4 фиксированных вариантов</t>
        </is>
      </c>
    </row>
    <row r="15">
      <c r="A15" s="5" t="n">
        <v>10</v>
      </c>
      <c r="B15" s="6" t="inlineStr">
        <is>
          <t>analytics</t>
        </is>
      </c>
      <c r="C15" s="113" t="inlineStr">
        <is>
          <t>Расчёт на команду</t>
        </is>
      </c>
      <c r="D15" s="113" t="inlineStr">
        <is>
          <t>если работаете не одни</t>
        </is>
      </c>
      <c r="E15" s="113" t="inlineStr">
        <is>
          <t>да</t>
        </is>
      </c>
      <c r="F15" s="5" t="inlineStr">
        <is>
          <t>иконка переиспользована</t>
        </is>
      </c>
    </row>
    <row r="17">
      <c r="A17" s="3" t="inlineStr">
        <is>
          <t>КАК РАБОТАЕТ</t>
        </is>
      </c>
    </row>
    <row r="18">
      <c r="A18" t="inlineStr">
        <is>
          <t>Показываются все 4 варианта пула — без случайной выборки, порядок фиксирован.</t>
        </is>
      </c>
    </row>
    <row r="19">
      <c r="A19" t="inlineStr">
        <is>
          <t>Пользователь отмечает сердечком те, что ему нужны, и нажимает «Отправить».</t>
        </is>
      </c>
    </row>
    <row r="20"/>
    <row r="21">
      <c r="A21" t="inlineStr">
        <is>
          <t>ВАЖНО ПРО СТАТИСТИКУ: считаем не только лайки, но и показы.</t>
        </is>
      </c>
    </row>
    <row r="22">
      <c r="A22" t="inlineStr">
        <is>
          <t>Метрика = лайки / показы. Иначе сравнение нечестное: у вариантов разное число показов.</t>
        </is>
      </c>
    </row>
    <row r="23">
      <c r="A23" t="inlineStr">
        <is>
          <t>Показы = число расчётов: каждый вариант видят все, кто дошёл до отчёта.</t>
        </is>
      </c>
    </row>
    <row r="24"/>
    <row r="25">
      <c r="A25" t="inlineStr">
        <is>
          <t>Добавить вариант: впишите строку выше, продублируйте в POOL внутри HTML и добавьте иконку в ICONS.</t>
        </is>
      </c>
    </row>
    <row r="27">
      <c r="A27" s="3" t="inlineStr">
        <is>
          <t>ЦЕЛИ В ЯНДЕКС.МЕТРИКЕ</t>
        </is>
      </c>
    </row>
    <row r="28">
      <c r="A28" s="11" t="inlineStr">
        <is>
          <t>№</t>
        </is>
      </c>
      <c r="B28" s="12" t="inlineStr">
        <is>
          <t>Цель</t>
        </is>
      </c>
      <c r="C28" s="11" t="inlineStr">
        <is>
          <t>Когда срабатывает</t>
        </is>
      </c>
      <c r="D28" s="11" t="inlineStr">
        <is>
          <t>Параметры</t>
        </is>
      </c>
      <c r="E28" s="11" t="inlineStr"/>
      <c r="F28" s="11" t="inlineStr"/>
    </row>
    <row r="29">
      <c r="A29" s="5" t="n">
        <v>1</v>
      </c>
      <c r="B29" s="6" t="inlineStr">
        <is>
          <t>poll_show</t>
        </is>
      </c>
      <c r="C29" s="5" t="inlineStr">
        <is>
          <t>при отрисовке блока опроса</t>
        </is>
      </c>
      <c r="D29" s="5" t="inlineStr">
        <is>
          <t>shown — какие 4 варианта показаны</t>
        </is>
      </c>
      <c r="E29" s="5" t="inlineStr"/>
      <c r="F29" s="5" t="inlineStr"/>
    </row>
    <row r="30">
      <c r="A30" s="5" t="n">
        <v>2</v>
      </c>
      <c r="B30" s="6" t="inlineStr">
        <is>
          <t>poll_vote</t>
        </is>
      </c>
      <c r="C30" s="5" t="inlineStr">
        <is>
          <t>при нажатии «Отправить»</t>
        </is>
      </c>
      <c r="D30" s="5" t="inlineStr">
        <is>
          <t>liked — отмеченные, other — своя идея, shown</t>
        </is>
      </c>
      <c r="E30" s="5" t="inlineStr"/>
      <c r="F30" s="5" t="inlineStr"/>
    </row>
    <row r="31">
      <c r="A31" s="5" t="n">
        <v>3</v>
      </c>
      <c r="B31" s="6" t="inlineStr">
        <is>
          <t>buy_click</t>
        </is>
      </c>
      <c r="C31" s="5" t="inlineStr">
        <is>
          <t>клик по ценнику или кнопке оплаты</t>
        </is>
      </c>
      <c r="D31" s="5" t="inlineStr">
        <is>
          <t>—</t>
        </is>
      </c>
      <c r="E31" s="5" t="inlineStr"/>
      <c r="F31" s="5" t="inlineStr"/>
    </row>
    <row r="32">
      <c r="A32" s="5" t="n">
        <v>4</v>
      </c>
      <c r="B32" s="6" t="inlineStr">
        <is>
          <t>paid</t>
        </is>
      </c>
      <c r="C32" s="5" t="inlineStr">
        <is>
          <t>возврат на страницу с ?paid=1</t>
        </is>
      </c>
      <c r="D32" s="5" t="inlineStr">
        <is>
          <t>—</t>
        </is>
      </c>
      <c r="E32" s="5" t="inlineStr"/>
      <c r="F32" s="5" t="inlineStr"/>
    </row>
    <row r="34">
      <c r="A34" t="inlineStr">
        <is>
          <t>Номер счётчика пропишите в HTML: var YM_ID=0; → var YM_ID=ваш_номер;</t>
        </is>
      </c>
    </row>
    <row r="35">
      <c r="A35" t="inlineStr">
        <is>
          <t>Отчёт в Метрике: «Отчёты → Конверсии → Цели», параметры видны в «Содержание → Параметры визитов».</t>
        </is>
      </c>
    </row>
    <row r="37">
      <c r="A37" s="3" t="inlineStr">
        <is>
          <t>ЕСЛИ НУЖНО СОБИРАТЬ ОТВЕТЫ В TILDA</t>
        </is>
      </c>
    </row>
    <row r="38">
      <c r="A38" t="inlineStr">
        <is>
          <t>Вариант 1. Метрика — уже настроено, ничего не нужно. Смотрите статистику в отчётах.</t>
        </is>
      </c>
    </row>
    <row r="39">
      <c r="A39" t="inlineStr">
        <is>
          <t>Вариант 2. Форма Tilda — добавить скрытое поле и отправлять ответы в Заявки.</t>
        </is>
      </c>
    </row>
    <row r="40">
      <c r="A40" t="inlineStr">
        <is>
          <t xml:space="preserve">   В HTML заменить отправку в ym() на fetch к форме Tilda с полями liked и other.</t>
        </is>
      </c>
    </row>
    <row r="41">
      <c r="A41" t="inlineStr">
        <is>
          <t>Вариант 3. Google-таблица через Tilda — заявки автоматически падают в таблицу.</t>
        </is>
      </c>
    </row>
    <row r="42"/>
    <row r="43">
      <c r="A43" t="inlineStr">
        <is>
          <t>Для теста хватит Метрики: она уже стоит и не требует бэкенда.</t>
        </is>
      </c>
    </row>
  </sheetData>
  <mergeCells count="22">
    <mergeCell ref="A41:F41"/>
    <mergeCell ref="A37:F37"/>
    <mergeCell ref="A27:F27"/>
    <mergeCell ref="A18:F18"/>
    <mergeCell ref="A21:F21"/>
    <mergeCell ref="A2:F2"/>
    <mergeCell ref="A42:F42"/>
    <mergeCell ref="A23:F23"/>
    <mergeCell ref="A22:F22"/>
    <mergeCell ref="A17:F17"/>
    <mergeCell ref="A35:F35"/>
    <mergeCell ref="A4:F4"/>
    <mergeCell ref="A20:F20"/>
    <mergeCell ref="A43:F43"/>
    <mergeCell ref="A38:F38"/>
    <mergeCell ref="A19:F19"/>
    <mergeCell ref="A34:F34"/>
    <mergeCell ref="A40:F40"/>
    <mergeCell ref="A39:F39"/>
    <mergeCell ref="A24:F24"/>
    <mergeCell ref="A1:F1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2026-08-01T12:21:38Z</dcterms:created>
  <dcterms:modified xmlns:dcterms="http://purl.org/dc/terms/" xmlns:xsi="http://www.w3.org/2001/XMLSchema-instance" xsi:type="dcterms:W3CDTF">2026-08-07T13:06:34Z</dcterms:modified>
</cp:coreProperties>
</file>