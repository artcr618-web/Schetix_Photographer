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ные обозначения" sheetId="1" state="visible" r:id="rId1"/>
    <sheet xmlns:r="http://schemas.openxmlformats.org/officeDocument/2006/relationships" name="Блоки" sheetId="2" state="visible" r:id="rId2"/>
    <sheet xmlns:r="http://schemas.openxmlformats.org/officeDocument/2006/relationships" name="Формы" sheetId="3" state="visible" r:id="rId3"/>
    <sheet xmlns:r="http://schemas.openxmlformats.org/officeDocument/2006/relationships" name="Данные из форм" sheetId="4" state="visible" r:id="rId4"/>
    <sheet xmlns:r="http://schemas.openxmlformats.org/officeDocument/2006/relationships" name="Расчё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 ##0 ₽"/>
    <numFmt numFmtId="165" formatCode="# ##0.00 ₽"/>
    <numFmt numFmtId="166" formatCode="0.0%"/>
    <numFmt numFmtId="167" formatCode="# ##0.00"/>
    <numFmt numFmtId="168" formatCode="# 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808080"/>
      <sz val="9"/>
    </font>
    <font>
      <i val="1"/>
      <color rgb="00C00000"/>
      <sz val="9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F2F2F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3" fillId="0" borderId="0" pivotButton="0" quotePrefix="0" xfId="0"/>
    <xf numFmtId="165" fontId="3" fillId="5" borderId="1" pivotButton="0" quotePrefix="0" xfId="0"/>
    <xf numFmtId="0" fontId="4" fillId="0" borderId="0" pivotButton="0" quotePrefix="0" xfId="0"/>
    <xf numFmtId="165" fontId="3" fillId="6" borderId="1" pivotButton="0" quotePrefix="0" xfId="0"/>
    <xf numFmtId="164" fontId="0" fillId="0" borderId="1" pivotButton="0" quotePrefix="0" xfId="0"/>
    <xf numFmtId="0" fontId="5" fillId="0" borderId="0" pivotButton="0" quotePrefix="0" xfId="0"/>
    <xf numFmtId="166" fontId="0" fillId="0" borderId="1" pivotButton="0" quotePrefix="0" xfId="0"/>
    <xf numFmtId="164" fontId="3" fillId="5" borderId="1" pivotButton="0" quotePrefix="0" xfId="0"/>
    <xf numFmtId="164" fontId="3" fillId="6" borderId="1" pivotButton="0" quotePrefix="0" xfId="0"/>
    <xf numFmtId="10" fontId="0" fillId="4" borderId="1" pivotButton="0" quotePrefix="0" xfId="0"/>
    <xf numFmtId="166" fontId="0" fillId="4" borderId="1" pivotButton="0" quotePrefix="0" xfId="0"/>
    <xf numFmtId="1" fontId="0" fillId="4" borderId="1" pivotButton="0" quotePrefix="0" xfId="0"/>
    <xf numFmtId="1" fontId="0" fillId="3" borderId="1" pivotButton="0" quotePrefix="0" xfId="0"/>
    <xf numFmtId="1" fontId="0" fillId="6" borderId="1" pivotButton="0" quotePrefix="0" xfId="0"/>
    <xf numFmtId="167" fontId="0" fillId="3" borderId="1" pivotButton="0" quotePrefix="0" xfId="0"/>
    <xf numFmtId="167" fontId="0" fillId="4" borderId="1" pivotButton="0" quotePrefix="0" xfId="0"/>
    <xf numFmtId="167" fontId="0" fillId="6" borderId="1" pivotButton="0" quotePrefix="0" xfId="0"/>
    <xf numFmtId="164" fontId="0" fillId="3" borderId="1" pivotButton="0" quotePrefix="0" xfId="0"/>
    <xf numFmtId="164" fontId="0" fillId="6" borderId="1" pivotButton="0" quotePrefix="0" xfId="0"/>
    <xf numFmtId="10" fontId="0" fillId="3" borderId="1" pivotButton="0" quotePrefix="0" xfId="0"/>
    <xf numFmtId="165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5" borderId="1" pivotButton="0" quotePrefix="0" xfId="0"/>
    <xf numFmtId="166" fontId="3" fillId="5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168" fontId="0" fillId="0" borderId="1" pivotButton="0" quotePrefix="0" xfId="0"/>
    <xf numFmtId="168" fontId="3" fillId="6" borderId="1" pivotButton="0" quotePrefix="0" xfId="0"/>
    <xf numFmtId="167" fontId="0" fillId="0" borderId="1" pivotButton="0" quotePrefix="0" xfId="0"/>
    <xf numFmtId="10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style="48" min="1" max="1"/>
    <col width="30" customWidth="1" style="48" min="2" max="2"/>
    <col width="20" customWidth="1" style="48" min="3" max="3"/>
    <col width="13" customWidth="1" style="48" min="4" max="4"/>
    <col width="66" customWidth="1" style="48" min="5" max="5"/>
    <col width="34" customWidth="1" style="48" min="6" max="6"/>
  </cols>
  <sheetData>
    <row r="1">
      <c r="A1" s="1" t="inlineStr">
        <is>
          <t>УСЛОВНЫЕ ОБОЗНАЧЕНИЯ — единый реестр понятий</t>
        </is>
      </c>
    </row>
    <row r="2">
      <c r="A2" s="10" t="inlineStr">
        <is>
          <t>Тип: const — фиксированная аксиома из достоверного источника | calc — вычисляется формулой | default — предзаполнено, пользователь меняет | meta — служебное понятие реестра | ui — тип поля интерфейса</t>
        </is>
      </c>
    </row>
    <row r="4">
      <c r="A4" s="2" t="inlineStr">
        <is>
          <t>A. МАРКЕРЫ ТИПОВ — служебные обозначения реестра</t>
        </is>
      </c>
    </row>
    <row r="5" ht="26" customHeight="1" s="48">
      <c r="A5" s="49" t="inlineStr">
        <is>
          <t>№</t>
        </is>
      </c>
      <c r="B5" s="49" t="inlineStr">
        <is>
          <t>Наименование</t>
        </is>
      </c>
      <c r="C5" s="49" t="inlineStr">
        <is>
          <t>ID</t>
        </is>
      </c>
      <c r="D5" s="49" t="inlineStr">
        <is>
          <t>Тип</t>
        </is>
      </c>
      <c r="E5" s="49" t="inlineStr">
        <is>
          <t>Описание</t>
        </is>
      </c>
      <c r="F5" s="49" t="inlineStr">
        <is>
          <t>Формула / значение</t>
        </is>
      </c>
    </row>
    <row r="6">
      <c r="A6" s="52" t="n">
        <v>1</v>
      </c>
      <c r="B6" s="52" t="inlineStr">
        <is>
          <t>Константа</t>
        </is>
      </c>
      <c r="C6" s="53" t="inlineStr">
        <is>
          <t>const</t>
        </is>
      </c>
      <c r="D6" s="54" t="inlineStr">
        <is>
          <t>meta</t>
        </is>
      </c>
      <c r="E6" s="52" t="inlineStr">
        <is>
          <t>Фиксированное значение-аксиома из достоверного источника (закон, производственный календарь, статистика). Пользователь не меняет</t>
        </is>
      </c>
      <c r="F6" s="52" t="inlineStr">
        <is>
          <t>247 рабочих дня, 57 390 ₽</t>
        </is>
      </c>
    </row>
    <row r="7">
      <c r="A7" s="52" t="n">
        <v>2</v>
      </c>
      <c r="B7" s="52" t="inlineStr">
        <is>
          <t>Формула</t>
        </is>
      </c>
      <c r="C7" s="53" t="inlineStr">
        <is>
          <t>calc</t>
        </is>
      </c>
      <c r="D7" s="54" t="inlineStr">
        <is>
          <t>meta</t>
        </is>
      </c>
      <c r="E7" s="52" t="inlineStr">
        <is>
          <t>Поле вычисляется из других значений. Пользователю показывается результат, ввод недоступен</t>
        </is>
      </c>
      <c r="F7" s="52" t="inlineStr">
        <is>
          <t>чистое время = (247−20−8)×7</t>
        </is>
      </c>
    </row>
    <row r="8">
      <c r="A8" s="52" t="n">
        <v>3</v>
      </c>
      <c r="B8" s="52" t="inlineStr">
        <is>
          <t>Значение по умолчанию</t>
        </is>
      </c>
      <c r="C8" s="53" t="inlineStr">
        <is>
          <t>default</t>
        </is>
      </c>
      <c r="D8" s="54" t="inlineStr">
        <is>
          <t>meta</t>
        </is>
      </c>
      <c r="E8" s="52" t="inlineStr">
        <is>
          <t>Предзаполнено нашим значением (в т.ч. расчётным), пользователь может скорректировать</t>
        </is>
      </c>
      <c r="F8" s="52" t="inlineStr">
        <is>
          <t>желаемый доход 108 999 ₽</t>
        </is>
      </c>
    </row>
    <row r="9">
      <c r="A9" s="52" t="n">
        <v>4</v>
      </c>
      <c r="B9" s="52" t="inlineStr">
        <is>
          <t>Служебное понятие</t>
        </is>
      </c>
      <c r="C9" s="53" t="inlineStr">
        <is>
          <t>meta</t>
        </is>
      </c>
      <c r="D9" s="54" t="inlineStr">
        <is>
          <t>meta</t>
        </is>
      </c>
      <c r="E9" s="52" t="inlineStr">
        <is>
          <t>Термин, описывающий устройство самого реестра, а не предметную область</t>
        </is>
      </c>
      <c r="F9" s="52" t="inlineStr">
        <is>
          <t>block, section, form</t>
        </is>
      </c>
    </row>
    <row r="10">
      <c r="A10" s="52" t="n">
        <v>5</v>
      </c>
      <c r="B10" s="52" t="inlineStr">
        <is>
          <t>Тип поля интерфейса</t>
        </is>
      </c>
      <c r="C10" s="53" t="inlineStr">
        <is>
          <t>ui</t>
        </is>
      </c>
      <c r="D10" s="54" t="inlineStr">
        <is>
          <t>meta</t>
        </is>
      </c>
      <c r="E10" s="52" t="inlineStr">
        <is>
          <t>Обозначение способа ввода данных в калькуляторе</t>
        </is>
      </c>
      <c r="F10" s="52" t="inlineStr">
        <is>
          <t>input_number, dropdown</t>
        </is>
      </c>
    </row>
    <row r="11">
      <c r="A11" s="38" t="n">
        <v>6</v>
      </c>
      <c r="B11" s="38" t="inlineStr">
        <is>
          <t>Скрытое поле</t>
        </is>
      </c>
      <c r="C11" s="39" t="inlineStr">
        <is>
          <t>hidden_field</t>
        </is>
      </c>
      <c r="D11" s="55" t="inlineStr">
        <is>
          <t>meta</t>
        </is>
      </c>
      <c r="E11" s="38" t="inlineStr">
        <is>
          <t>Считается автоматически, пользователю не показывается</t>
        </is>
      </c>
      <c r="F11" s="38" t="inlineStr">
        <is>
          <t>пересчёт покупки в ₽/год</t>
        </is>
      </c>
    </row>
    <row r="12">
      <c r="A12" s="38" t="n">
        <v>7</v>
      </c>
      <c r="B12" s="38" t="inlineStr">
        <is>
          <t>Галочка «Не учитывать»</t>
        </is>
      </c>
      <c r="C12" s="39" t="inlineStr">
        <is>
          <t>exclude_flag</t>
        </is>
      </c>
      <c r="D12" s="55" t="inlineStr">
        <is>
          <t>meta</t>
        </is>
      </c>
      <c r="E12" s="38" t="inlineStr">
        <is>
          <t>Переключатель, исключающий блок или его часть из расчёта</t>
        </is>
      </c>
      <c r="F12" s="38" t="inlineStr">
        <is>
          <t>Block6–Block15</t>
        </is>
      </c>
    </row>
    <row r="13">
      <c r="A13" s="2" t="inlineStr">
        <is>
          <t>B. ТИПЫ ПОЛЕЙ ИНТЕРФЕЙСА  (значения столбца «Тип» на листе «Блоки»)</t>
        </is>
      </c>
    </row>
    <row r="14" ht="26" customHeight="1" s="48">
      <c r="A14" s="49" t="inlineStr">
        <is>
          <t>№</t>
        </is>
      </c>
      <c r="B14" s="49" t="inlineStr">
        <is>
          <t>Наименование</t>
        </is>
      </c>
      <c r="C14" s="49" t="inlineStr">
        <is>
          <t>ID</t>
        </is>
      </c>
      <c r="D14" s="49" t="inlineStr">
        <is>
          <t>Тип</t>
        </is>
      </c>
      <c r="E14" s="49" t="inlineStr">
        <is>
          <t>Описание</t>
        </is>
      </c>
      <c r="F14" s="49" t="inlineStr">
        <is>
          <t>Формула / значение</t>
        </is>
      </c>
    </row>
    <row r="15">
      <c r="A15" s="38" t="n">
        <v>8</v>
      </c>
      <c r="B15" s="38" t="inlineStr">
        <is>
          <t>Числовое поле</t>
        </is>
      </c>
      <c r="C15" s="39" t="inlineStr">
        <is>
          <t>input_number</t>
        </is>
      </c>
      <c r="D15" s="55" t="inlineStr">
        <is>
          <t>ui</t>
        </is>
      </c>
      <c r="E15" s="38" t="inlineStr">
        <is>
          <t>Одно поле для ввода числа</t>
        </is>
      </c>
      <c r="F15" s="38" t="inlineStr">
        <is>
          <t>Block1, Block3, Block13</t>
        </is>
      </c>
    </row>
    <row r="16">
      <c r="A16" s="38" t="n">
        <v>9</v>
      </c>
      <c r="B16" s="38" t="inlineStr">
        <is>
          <t>Выпадающий список</t>
        </is>
      </c>
      <c r="C16" s="39" t="inlineStr">
        <is>
          <t>dropdown</t>
        </is>
      </c>
      <c r="D16" s="55" t="inlineStr">
        <is>
          <t>ui</t>
        </is>
      </c>
      <c r="E16" s="38" t="inlineStr">
        <is>
          <t>Готовый набор вариантов, выбирается один</t>
        </is>
      </c>
      <c r="F16" s="38" t="inlineStr">
        <is>
          <t>Block4, Block14</t>
        </is>
      </c>
    </row>
    <row r="17">
      <c r="A17" s="38" t="n">
        <v>10</v>
      </c>
      <c r="B17" s="38" t="inlineStr">
        <is>
          <t>Расширенный ввод</t>
        </is>
      </c>
      <c r="C17" s="39" t="inlineStr">
        <is>
          <t>input_extended</t>
        </is>
      </c>
      <c r="D17" s="55" t="inlineStr">
        <is>
          <t>ui</t>
        </is>
      </c>
      <c r="E17" s="38" t="inlineStr">
        <is>
          <t>Несколько связанных полей, дающих один итог</t>
        </is>
      </c>
      <c r="F17" s="38" t="inlineStr">
        <is>
          <t>Block10 обучение</t>
        </is>
      </c>
    </row>
    <row r="18">
      <c r="A18" s="38" t="n">
        <v>11</v>
      </c>
      <c r="B18" s="38" t="inlineStr">
        <is>
          <t>Переключатель + поле</t>
        </is>
      </c>
      <c r="C18" s="39" t="inlineStr">
        <is>
          <t>radio + input</t>
        </is>
      </c>
      <c r="D18" s="55" t="inlineStr">
        <is>
          <t>ui</t>
        </is>
      </c>
      <c r="E18" s="38" t="inlineStr">
        <is>
          <t>Выбор варианта и числовое поле, меняющее смысл</t>
        </is>
      </c>
      <c r="F18" s="38" t="inlineStr">
        <is>
          <t>Block12 сайт</t>
        </is>
      </c>
    </row>
    <row r="19">
      <c r="A19" s="38" t="n">
        <v>12</v>
      </c>
      <c r="B19" s="38" t="inlineStr">
        <is>
          <t>Динамическая таблица</t>
        </is>
      </c>
      <c r="C19" s="39" t="inlineStr">
        <is>
          <t>dynamic_table</t>
        </is>
      </c>
      <c r="D19" s="55" t="inlineStr">
        <is>
          <t>ui</t>
        </is>
      </c>
      <c r="E19" s="38" t="inlineStr">
        <is>
          <t>Пользователь добавляет и удаляет строки</t>
        </is>
      </c>
      <c r="F19" s="38" t="inlineStr">
        <is>
          <t>Block6, Block7</t>
        </is>
      </c>
    </row>
    <row r="20">
      <c r="A20" s="38" t="n">
        <v>13</v>
      </c>
      <c r="B20" s="38" t="inlineStr">
        <is>
          <t>Несколько таблиц</t>
        </is>
      </c>
      <c r="C20" s="39" t="inlineStr">
        <is>
          <t>dynamic_tables</t>
        </is>
      </c>
      <c r="D20" s="55" t="inlineStr">
        <is>
          <t>ui</t>
        </is>
      </c>
      <c r="E20" s="38" t="inlineStr">
        <is>
          <t>Блок содержит несколько независимых таблиц</t>
        </is>
      </c>
      <c r="F20" s="38" t="inlineStr">
        <is>
          <t>Block8 ПО</t>
        </is>
      </c>
    </row>
    <row r="21">
      <c r="A21" s="38" t="n">
        <v>14</v>
      </c>
      <c r="B21" s="38" t="inlineStr">
        <is>
          <t>Список + таблица</t>
        </is>
      </c>
      <c r="C21" s="39" t="inlineStr">
        <is>
          <t>dropdown + dynamic_table</t>
        </is>
      </c>
      <c r="D21" s="55" t="inlineStr">
        <is>
          <t>ui</t>
        </is>
      </c>
      <c r="E21" s="38" t="inlineStr">
        <is>
          <t>Выбор варианта, под него появляется таблица</t>
        </is>
      </c>
      <c r="F21" s="38" t="inlineStr">
        <is>
          <t>Block9 рабочее место</t>
        </is>
      </c>
    </row>
    <row r="22">
      <c r="A22" s="38" t="n">
        <v>15</v>
      </c>
      <c r="B22" s="38" t="inlineStr">
        <is>
          <t>Составной блок</t>
        </is>
      </c>
      <c r="C22" s="39" t="inlineStr">
        <is>
          <t>2 parts</t>
        </is>
      </c>
      <c r="D22" s="55" t="inlineStr">
        <is>
          <t>ui</t>
        </is>
      </c>
      <c r="E22" s="38" t="inlineStr">
        <is>
          <t>Две разные формы в одном блоке: время и деньги</t>
        </is>
      </c>
      <c r="F22" s="38" t="inlineStr">
        <is>
          <t>Block11, Block15</t>
        </is>
      </c>
    </row>
    <row r="23">
      <c r="A23" s="38" t="n">
        <v>16</v>
      </c>
      <c r="B23" s="38" t="inlineStr">
        <is>
          <t>Информационный блок</t>
        </is>
      </c>
      <c r="C23" s="39" t="inlineStr">
        <is>
          <t>info_block</t>
        </is>
      </c>
      <c r="D23" s="55" t="inlineStr">
        <is>
          <t>ui</t>
        </is>
      </c>
      <c r="E23" s="38" t="inlineStr">
        <is>
          <t>Только поясняющий текст, полей ввода нет</t>
        </is>
      </c>
      <c r="F23" s="38" t="inlineStr">
        <is>
          <t>Block5</t>
        </is>
      </c>
    </row>
    <row r="24">
      <c r="A24" s="38" t="n">
        <v>17</v>
      </c>
      <c r="B24" s="38" t="inlineStr">
        <is>
          <t>Блок вывода</t>
        </is>
      </c>
      <c r="C24" s="39" t="inlineStr">
        <is>
          <t>report</t>
        </is>
      </c>
      <c r="D24" s="55" t="inlineStr">
        <is>
          <t>ui</t>
        </is>
      </c>
      <c r="E24" s="38" t="inlineStr">
        <is>
          <t>Итоговая страница с результатами, без формул</t>
        </is>
      </c>
      <c r="F24" s="38" t="inlineStr">
        <is>
          <t>Block16–Block18</t>
        </is>
      </c>
    </row>
    <row r="25">
      <c r="A25" s="2" t="inlineStr">
        <is>
          <t>C. СТРУКТУРА РЕЕСТРА</t>
        </is>
      </c>
    </row>
    <row r="26" ht="26" customHeight="1" s="48">
      <c r="A26" s="49" t="inlineStr">
        <is>
          <t>№</t>
        </is>
      </c>
      <c r="B26" s="49" t="inlineStr">
        <is>
          <t>Наименование</t>
        </is>
      </c>
      <c r="C26" s="49" t="inlineStr">
        <is>
          <t>ID</t>
        </is>
      </c>
      <c r="D26" s="49" t="inlineStr">
        <is>
          <t>Тип</t>
        </is>
      </c>
      <c r="E26" s="49" t="inlineStr">
        <is>
          <t>Описание</t>
        </is>
      </c>
      <c r="F26" s="49" t="inlineStr">
        <is>
          <t>Формула / значение</t>
        </is>
      </c>
    </row>
    <row r="27">
      <c r="A27" s="38" t="n">
        <v>18</v>
      </c>
      <c r="B27" s="38" t="inlineStr">
        <is>
          <t>Реестр данных</t>
        </is>
      </c>
      <c r="C27" s="39" t="inlineStr">
        <is>
          <t>registry</t>
        </is>
      </c>
      <c r="D27" s="55" t="inlineStr">
        <is>
          <t>meta</t>
        </is>
      </c>
      <c r="E27" s="38" t="inlineStr">
        <is>
          <t>Рабочая книга со всеми параметрами, формулами и формами. Редактируется, видна изнутри</t>
        </is>
      </c>
      <c r="F27" s="38" t="inlineStr">
        <is>
          <t>эта книга</t>
        </is>
      </c>
    </row>
    <row r="28">
      <c r="A28" s="38" t="n">
        <v>19</v>
      </c>
      <c r="B28" s="38" t="inlineStr">
        <is>
          <t>Калькулятор</t>
        </is>
      </c>
      <c r="C28" s="39" t="inlineStr">
        <is>
          <t>calculator</t>
        </is>
      </c>
      <c r="D28" s="55" t="inlineStr">
        <is>
          <t>meta</t>
        </is>
      </c>
      <c r="E28" s="38" t="inlineStr">
        <is>
          <t>Конечный продукт: тот же реестр в интерфейсе, формулы скрыты</t>
        </is>
      </c>
      <c r="F28" s="38" t="inlineStr"/>
    </row>
    <row r="29">
      <c r="A29" s="38" t="n">
        <v>20</v>
      </c>
      <c r="B29" s="38" t="inlineStr">
        <is>
          <t>Раздел</t>
        </is>
      </c>
      <c r="C29" s="39" t="inlineStr">
        <is>
          <t>section</t>
        </is>
      </c>
      <c r="D29" s="55" t="inlineStr">
        <is>
          <t>meta</t>
        </is>
      </c>
      <c r="E29" s="38" t="inlineStr">
        <is>
          <t>Логическое объединение блоков. Соответствует шагу интерфейса</t>
        </is>
      </c>
      <c r="F29" s="38" t="inlineStr">
        <is>
          <t>Section1–Section5</t>
        </is>
      </c>
    </row>
    <row r="30">
      <c r="A30" s="38" t="n">
        <v>21</v>
      </c>
      <c r="B30" s="38" t="inlineStr">
        <is>
          <t>Блок</t>
        </is>
      </c>
      <c r="C30" s="39" t="inlineStr">
        <is>
          <t>block</t>
        </is>
      </c>
      <c r="D30" s="55" t="inlineStr">
        <is>
          <t>meta</t>
        </is>
      </c>
      <c r="E30" s="38" t="inlineStr">
        <is>
          <t>Совокупность данных, объединённых логически. Экран или его часть</t>
        </is>
      </c>
      <c r="F30" s="38" t="inlineStr">
        <is>
          <t>Block1–Block18</t>
        </is>
      </c>
    </row>
    <row r="31">
      <c r="A31" s="38" t="n">
        <v>22</v>
      </c>
      <c r="B31" s="38" t="inlineStr">
        <is>
          <t>Форма</t>
        </is>
      </c>
      <c r="C31" s="39" t="inlineStr">
        <is>
          <t>form</t>
        </is>
      </c>
      <c r="D31" s="55" t="inlineStr">
        <is>
          <t>meta</t>
        </is>
      </c>
      <c r="E31" s="38" t="inlineStr">
        <is>
          <t>Таблица с данными для формы калькулятора. В блоке может быть несколько</t>
        </is>
      </c>
      <c r="F31" s="38" t="inlineStr">
        <is>
          <t>Form001–Form016</t>
        </is>
      </c>
    </row>
    <row r="32">
      <c r="A32" s="38" t="n">
        <v>23</v>
      </c>
      <c r="B32" s="38" t="inlineStr">
        <is>
          <t>Поле</t>
        </is>
      </c>
      <c r="C32" s="39" t="inlineStr">
        <is>
          <t>item</t>
        </is>
      </c>
      <c r="D32" s="55" t="inlineStr">
        <is>
          <t>meta</t>
        </is>
      </c>
      <c r="E32" s="38" t="inlineStr">
        <is>
          <t>Поле для ввода данных пользователем</t>
        </is>
      </c>
      <c r="F32" s="38" t="inlineStr"/>
    </row>
    <row r="33">
      <c r="A33" s="38" t="n">
        <v>24</v>
      </c>
      <c r="B33" s="38" t="inlineStr">
        <is>
          <t>Вопрос</t>
        </is>
      </c>
      <c r="C33" s="39" t="inlineStr">
        <is>
          <t>question</t>
        </is>
      </c>
      <c r="D33" s="55" t="inlineStr">
        <is>
          <t>meta</t>
        </is>
      </c>
      <c r="E33" s="38" t="inlineStr">
        <is>
          <t>Формулировка рядом с полем — объясняет, что вписать</t>
        </is>
      </c>
      <c r="F33" s="38" t="inlineStr"/>
    </row>
    <row r="34">
      <c r="A34" s="38" t="n">
        <v>25</v>
      </c>
      <c r="B34" s="38" t="inlineStr">
        <is>
          <t>Отчёт</t>
        </is>
      </c>
      <c r="C34" s="39" t="inlineStr">
        <is>
          <t>report</t>
        </is>
      </c>
      <c r="D34" s="55" t="inlineStr">
        <is>
          <t>meta</t>
        </is>
      </c>
      <c r="E34" s="38" t="inlineStr">
        <is>
          <t>Итоговая страница с результатами для пользователя</t>
        </is>
      </c>
      <c r="F34" s="38" t="inlineStr">
        <is>
          <t>Section5</t>
        </is>
      </c>
    </row>
    <row r="35">
      <c r="A35" s="38" t="n">
        <v>26</v>
      </c>
      <c r="B35" s="38" t="inlineStr">
        <is>
          <t>Пользователь</t>
        </is>
      </c>
      <c r="C35" s="39" t="inlineStr">
        <is>
          <t>user</t>
        </is>
      </c>
      <c r="D35" s="55" t="inlineStr">
        <is>
          <t>meta</t>
        </is>
      </c>
      <c r="E35" s="38" t="inlineStr">
        <is>
          <t>Человек, использующий калькулятор по назначению</t>
        </is>
      </c>
      <c r="F35" s="38" t="inlineStr"/>
    </row>
    <row r="36">
      <c r="A36" s="2" t="inlineStr">
        <is>
          <t>D. ВРЕМЯ — иерархия сверху вниз</t>
        </is>
      </c>
    </row>
    <row r="37" ht="26" customHeight="1" s="48">
      <c r="A37" s="49" t="inlineStr">
        <is>
          <t>№</t>
        </is>
      </c>
      <c r="B37" s="49" t="inlineStr">
        <is>
          <t>Наименование</t>
        </is>
      </c>
      <c r="C37" s="49" t="inlineStr">
        <is>
          <t>ID</t>
        </is>
      </c>
      <c r="D37" s="49" t="inlineStr">
        <is>
          <t>Тип</t>
        </is>
      </c>
      <c r="E37" s="49" t="inlineStr">
        <is>
          <t>Описание</t>
        </is>
      </c>
      <c r="F37" s="49" t="inlineStr">
        <is>
          <t>Формула / значение</t>
        </is>
      </c>
    </row>
    <row r="38">
      <c r="A38" s="38" t="n">
        <v>27</v>
      </c>
      <c r="B38" s="38" t="inlineStr">
        <is>
          <t>Рабочее время</t>
        </is>
      </c>
      <c r="C38" s="39" t="inlineStr">
        <is>
          <t>work_time</t>
        </is>
      </c>
      <c r="D38" s="55" t="inlineStr">
        <is>
          <t>const</t>
        </is>
      </c>
      <c r="E38" s="38" t="inlineStr">
        <is>
          <t>Время без выходных и праздников по производственному календарю РФ 2026</t>
        </is>
      </c>
      <c r="F38" s="38" t="inlineStr">
        <is>
          <t>247 дней × 8 ч = 1 976 ч</t>
        </is>
      </c>
    </row>
    <row r="39">
      <c r="A39" s="40" t="n">
        <v>28</v>
      </c>
      <c r="B39" s="40" t="inlineStr">
        <is>
          <t>Чистое (эффективное) время</t>
        </is>
      </c>
      <c r="C39" s="41" t="inlineStr">
        <is>
          <t>net_time</t>
        </is>
      </c>
      <c r="D39" s="56" t="inlineStr">
        <is>
          <t>calc</t>
        </is>
      </c>
      <c r="E39" s="40" t="inlineStr">
        <is>
          <t>Рабочее время минус отпуск, больничный и 1 час в день на перерывы и второстепенные дела. ВЕРХНИЙ УРОВЕНЬ</t>
        </is>
      </c>
      <c r="F39" s="40" t="inlineStr">
        <is>
          <t>(247−20−8) × 7 = 1 533 ч/год</t>
        </is>
      </c>
    </row>
    <row r="40">
      <c r="A40" s="42" t="n">
        <v>29</v>
      </c>
      <c r="B40" s="42" t="inlineStr">
        <is>
          <t>Операционное время</t>
        </is>
      </c>
      <c r="C40" s="43" t="inlineStr">
        <is>
          <t>side_time</t>
        </is>
      </c>
      <c r="D40" s="57" t="inlineStr">
        <is>
          <t>calc</t>
        </is>
      </c>
      <c r="E40" s="42" t="inlineStr">
        <is>
          <t>Обязанности вне проектов: продвижение и учёт. Клиенту напрямую не продаётся</t>
        </is>
      </c>
      <c r="F40" s="42" t="inlineStr">
        <is>
          <t>438 + 12 = 450 ч/год</t>
        </is>
      </c>
    </row>
    <row r="41">
      <c r="A41" s="40" t="n">
        <v>30</v>
      </c>
      <c r="B41" s="40" t="inlineStr">
        <is>
          <t>Профильное время</t>
        </is>
      </c>
      <c r="C41" s="41" t="inlineStr">
        <is>
          <t>core_time</t>
        </is>
      </c>
      <c r="D41" s="56" t="inlineStr">
        <is>
          <t>calc</t>
        </is>
      </c>
      <c r="E41" s="40" t="inlineStr">
        <is>
          <t>Работа по специальности: съёмка, постпродакшн, работа с клиентом</t>
        </is>
      </c>
      <c r="F41" s="40" t="inlineStr">
        <is>
          <t>1 533 − 450 = 1 083 ч/год</t>
        </is>
      </c>
    </row>
    <row r="42">
      <c r="A42" s="42" t="n">
        <v>31</v>
      </c>
      <c r="B42" s="42" t="inlineStr">
        <is>
          <t>Проектное время</t>
        </is>
      </c>
      <c r="C42" s="43" t="inlineStr">
        <is>
          <t>project_time</t>
        </is>
      </c>
      <c r="D42" s="57" t="inlineStr">
        <is>
          <t>calc</t>
        </is>
      </c>
      <c r="E42" s="42" t="inlineStr">
        <is>
          <t>Время на один законченный проект</t>
        </is>
      </c>
      <c r="F42" s="42" t="inlineStr">
        <is>
          <t>S×(1+K) + client_time = 29 ч</t>
        </is>
      </c>
    </row>
    <row r="43">
      <c r="A43" s="40" t="n">
        <v>32</v>
      </c>
      <c r="B43" s="40" t="inlineStr">
        <is>
          <t>Съёмочное время</t>
        </is>
      </c>
      <c r="C43" s="41" t="inlineStr">
        <is>
          <t>shooting_time</t>
        </is>
      </c>
      <c r="D43" s="56" t="inlineStr">
        <is>
          <t>calc</t>
        </is>
      </c>
      <c r="E43" s="40" t="inlineStr">
        <is>
          <t>Часы на площадке. ИМЕННО ОНИ ПРОДАЮТСЯ и стоят в знаменателе ставки</t>
        </is>
      </c>
      <c r="F43" s="40" t="inlineStr">
        <is>
          <t>37,34 × 7 = 261 ч/год</t>
        </is>
      </c>
    </row>
    <row r="44">
      <c r="A44" s="38" t="n">
        <v>33</v>
      </c>
      <c r="B44" s="38" t="inlineStr">
        <is>
          <t>Постпродакшн</t>
        </is>
      </c>
      <c r="C44" s="39" t="inlineStr">
        <is>
          <t>post_time</t>
        </is>
      </c>
      <c r="D44" s="55" t="inlineStr">
        <is>
          <t>calc</t>
        </is>
      </c>
      <c r="E44" s="38" t="inlineStr">
        <is>
          <t>Обработка материала. Задаётся коэффициентом обработки</t>
        </is>
      </c>
      <c r="F44" s="38" t="inlineStr">
        <is>
          <t>261 × 3 = 784 ч/год</t>
        </is>
      </c>
    </row>
    <row r="45">
      <c r="A45" s="38" t="n">
        <v>34</v>
      </c>
      <c r="B45" s="38" t="inlineStr">
        <is>
          <t>Продолжительность съёмки</t>
        </is>
      </c>
      <c r="C45" s="39" t="inlineStr">
        <is>
          <t>shoot_duration</t>
        </is>
      </c>
      <c r="D45" s="55" t="inlineStr">
        <is>
          <t>default</t>
        </is>
      </c>
      <c r="E45" s="38" t="inlineStr">
        <is>
          <t>Средняя длительность одной съёмки. Ключевой ввод пользователя</t>
        </is>
      </c>
      <c r="F45" s="38" t="inlineStr">
        <is>
          <t>S = 7 ч</t>
        </is>
      </c>
    </row>
    <row r="46">
      <c r="A46" s="38" t="n">
        <v>35</v>
      </c>
      <c r="B46" s="38" t="inlineStr">
        <is>
          <t>Коэффициент обработки</t>
        </is>
      </c>
      <c r="C46" s="39" t="inlineStr">
        <is>
          <t>post_ratio</t>
        </is>
      </c>
      <c r="D46" s="55" t="inlineStr">
        <is>
          <t>default</t>
        </is>
      </c>
      <c r="E46" s="38" t="inlineStr">
        <is>
          <t>Часов обработки на 1 час съёмки</t>
        </is>
      </c>
      <c r="F46" s="38" t="inlineStr">
        <is>
          <t>K = 3</t>
        </is>
      </c>
    </row>
    <row r="47">
      <c r="A47" s="38" t="n">
        <v>36</v>
      </c>
      <c r="B47" s="38" t="inlineStr">
        <is>
          <t>Работа с клиентом</t>
        </is>
      </c>
      <c r="C47" s="39" t="inlineStr">
        <is>
          <t>client_time</t>
        </is>
      </c>
      <c r="D47" s="55" t="inlineStr">
        <is>
          <t>default</t>
        </is>
      </c>
      <c r="E47" s="38" t="inlineStr">
        <is>
          <t>Административное общение по проекту. Входит в проектное время</t>
        </is>
      </c>
      <c r="F47" s="38" t="inlineStr">
        <is>
          <t>1 ч/проект → 37 ч/год</t>
        </is>
      </c>
    </row>
    <row r="48">
      <c r="A48" s="38" t="n">
        <v>37</v>
      </c>
      <c r="B48" s="38" t="inlineStr">
        <is>
          <t>Продвижение</t>
        </is>
      </c>
      <c r="C48" s="39" t="inlineStr">
        <is>
          <t>promo_time</t>
        </is>
      </c>
      <c r="D48" s="55" t="inlineStr">
        <is>
          <t>default</t>
        </is>
      </c>
      <c r="E48" s="38" t="inlineStr">
        <is>
          <t>Собственные часы на поиск заказов: соцсети, отклики</t>
        </is>
      </c>
      <c r="F48" s="38" t="inlineStr">
        <is>
          <t>2 ч/день × 219 = 438 ч/год</t>
        </is>
      </c>
    </row>
    <row r="49">
      <c r="A49" s="38" t="n">
        <v>38</v>
      </c>
      <c r="B49" s="38" t="inlineStr">
        <is>
          <t>Учёт и планирование (время)</t>
        </is>
      </c>
      <c r="C49" s="39" t="inlineStr">
        <is>
          <t>accounting_time</t>
        </is>
      </c>
      <c r="D49" s="55" t="inlineStr">
        <is>
          <t>default</t>
        </is>
      </c>
      <c r="E49" s="38" t="inlineStr">
        <is>
          <t>Часы на бухгалтерию, если ведёте сами. Альтернатива accounting_money</t>
        </is>
      </c>
      <c r="F49" s="38" t="inlineStr">
        <is>
          <t>3 ч/квартал × 4 = 12 ч/год</t>
        </is>
      </c>
    </row>
    <row r="50">
      <c r="A50" s="38" t="n">
        <v>39</v>
      </c>
      <c r="B50" s="38" t="inlineStr">
        <is>
          <t>Проектов в год</t>
        </is>
      </c>
      <c r="C50" s="39" t="inlineStr">
        <is>
          <t>projects_year</t>
        </is>
      </c>
      <c r="D50" s="55" t="inlineStr">
        <is>
          <t>calc</t>
        </is>
      </c>
      <c r="E50" s="38" t="inlineStr">
        <is>
          <t>Сколько проектов помещается в профильное время</t>
        </is>
      </c>
      <c r="F50" s="38" t="inlineStr">
        <is>
          <t>1 083 / 29 = 37,34</t>
        </is>
      </c>
    </row>
    <row r="51">
      <c r="A51" s="38" t="n">
        <v>40</v>
      </c>
      <c r="B51" s="38" t="inlineStr">
        <is>
          <t>Операционное время на час съёмки</t>
        </is>
      </c>
      <c r="C51" s="39" t="inlineStr">
        <is>
          <t>ops_per_shoot</t>
        </is>
      </c>
      <c r="D51" s="55" t="inlineStr">
        <is>
          <t>calc</t>
        </is>
      </c>
      <c r="E51" s="38" t="inlineStr">
        <is>
          <t>Сколько непродаваемых часов приходится на один оплачиваемый</t>
        </is>
      </c>
      <c r="F51" s="38" t="inlineStr">
        <is>
          <t>450 / 261 = 1,72</t>
        </is>
      </c>
    </row>
    <row r="52">
      <c r="A52" s="38" t="n">
        <v>41</v>
      </c>
      <c r="B52" s="38" t="inlineStr">
        <is>
          <t>Отпуск</t>
        </is>
      </c>
      <c r="C52" s="39" t="inlineStr">
        <is>
          <t>vacation</t>
        </is>
      </c>
      <c r="D52" s="55" t="inlineStr">
        <is>
          <t>const</t>
        </is>
      </c>
      <c r="E52" s="38" t="inlineStr">
        <is>
          <t>Ежегодный оплачиваемый отпуск, ст. 115 ТК РФ. В расчёте — рабочие дни</t>
        </is>
      </c>
      <c r="F52" s="38" t="inlineStr">
        <is>
          <t>28 календарных = 20 рабочих</t>
        </is>
      </c>
    </row>
    <row r="53">
      <c r="A53" s="38" t="n">
        <v>42</v>
      </c>
      <c r="B53" s="38" t="inlineStr">
        <is>
          <t>Больничный</t>
        </is>
      </c>
      <c r="C53" s="39" t="inlineStr">
        <is>
          <t>sick_leave</t>
        </is>
      </c>
      <c r="D53" s="55" t="inlineStr">
        <is>
          <t>const</t>
        </is>
      </c>
      <c r="E53" s="38" t="inlineStr">
        <is>
          <t>Средний показатель нетрудоспособности за год</t>
        </is>
      </c>
      <c r="F53" s="38" t="inlineStr">
        <is>
          <t>10 календарных = 8 рабочих</t>
        </is>
      </c>
    </row>
    <row r="54">
      <c r="A54" s="2" t="inlineStr">
        <is>
          <t>E. ДЕНЬГИ — доходы и расходы</t>
        </is>
      </c>
    </row>
    <row r="55" ht="26" customHeight="1" s="48">
      <c r="A55" s="49" t="inlineStr">
        <is>
          <t>№</t>
        </is>
      </c>
      <c r="B55" s="49" t="inlineStr">
        <is>
          <t>Наименование</t>
        </is>
      </c>
      <c r="C55" s="49" t="inlineStr">
        <is>
          <t>ID</t>
        </is>
      </c>
      <c r="D55" s="49" t="inlineStr">
        <is>
          <t>Тип</t>
        </is>
      </c>
      <c r="E55" s="49" t="inlineStr">
        <is>
          <t>Описание</t>
        </is>
      </c>
      <c r="F55" s="49" t="inlineStr">
        <is>
          <t>Формула / значение</t>
        </is>
      </c>
    </row>
    <row r="56">
      <c r="A56" s="40" t="n">
        <v>43</v>
      </c>
      <c r="B56" s="40" t="inlineStr">
        <is>
          <t>Желаемый доход</t>
        </is>
      </c>
      <c r="C56" s="41" t="inlineStr">
        <is>
          <t>target_income</t>
        </is>
      </c>
      <c r="D56" s="56" t="inlineStr">
        <is>
          <t>default</t>
        </is>
      </c>
      <c r="E56" s="40" t="inlineStr">
        <is>
          <t>Сумма на руки ежемесячно. Точка отсчёта всего расчёта</t>
        </is>
      </c>
      <c r="F56" s="40" t="inlineStr">
        <is>
          <t>N = 108 999 × 12 = 1 307 988 ₽</t>
        </is>
      </c>
    </row>
    <row r="57">
      <c r="A57" s="40" t="n">
        <v>44</v>
      </c>
      <c r="B57" s="40" t="inlineStr">
        <is>
          <t>Выручка</t>
        </is>
      </c>
      <c r="C57" s="41" t="inlineStr">
        <is>
          <t>revenue</t>
        </is>
      </c>
      <c r="D57" s="56" t="inlineStr">
        <is>
          <t>calc</t>
        </is>
      </c>
      <c r="E57" s="40" t="inlineStr">
        <is>
          <t>Сколько нужно выставить клиентам за год. ГЛАВНЫЙ РЕЗУЛЬТАТ</t>
        </is>
      </c>
      <c r="F57" s="40" t="inlineStr">
        <is>
          <t>R = 2 293 553 ₽ (УСН 6%)</t>
        </is>
      </c>
    </row>
    <row r="58">
      <c r="A58" s="42" t="n">
        <v>45</v>
      </c>
      <c r="B58" s="42" t="inlineStr">
        <is>
          <t>Всего расходов</t>
        </is>
      </c>
      <c r="C58" s="43" t="inlineStr">
        <is>
          <t>total_costs</t>
        </is>
      </c>
      <c r="D58" s="57" t="inlineStr">
        <is>
          <t>calc</t>
        </is>
      </c>
      <c r="E58" s="42" t="inlineStr">
        <is>
          <t>Амортизация плюс переменные расходы за год. Без эквайринга</t>
        </is>
      </c>
      <c r="F58" s="42" t="inlineStr">
        <is>
          <t>C = 786 026 ₽/год</t>
        </is>
      </c>
    </row>
    <row r="59">
      <c r="A59" s="38" t="n">
        <v>46</v>
      </c>
      <c r="B59" s="38" t="inlineStr">
        <is>
          <t>Инвестиции в бизнес</t>
        </is>
      </c>
      <c r="C59" s="39" t="inlineStr">
        <is>
          <t>investment</t>
        </is>
      </c>
      <c r="D59" s="55" t="inlineStr">
        <is>
          <t>calc</t>
        </is>
      </c>
      <c r="E59" s="38" t="inlineStr">
        <is>
          <t>Деньги, вложенные заранее ради возможности работать: оборудование, ПО, место, обучение</t>
        </is>
      </c>
      <c r="F59" s="38" t="inlineStr">
        <is>
          <t>308 126 ₽/год после амортизации</t>
        </is>
      </c>
    </row>
    <row r="60">
      <c r="A60" s="38" t="n">
        <v>47</v>
      </c>
      <c r="B60" s="38" t="inlineStr">
        <is>
          <t>Амортизация</t>
        </is>
      </c>
      <c r="C60" s="39" t="inlineStr">
        <is>
          <t>depreciation</t>
        </is>
      </c>
      <c r="D60" s="55" t="inlineStr">
        <is>
          <t>calc</t>
        </is>
      </c>
      <c r="E60" s="38" t="inlineStr">
        <is>
          <t>Распределение стоимости разовой покупки на срок службы</t>
        </is>
      </c>
      <c r="F60" s="38" t="inlineStr">
        <is>
          <t>стоимость / срок службы</t>
        </is>
      </c>
    </row>
    <row r="61">
      <c r="A61" s="38" t="n">
        <v>48</v>
      </c>
      <c r="B61" s="38" t="inlineStr">
        <is>
          <t>Срок полезного использования</t>
        </is>
      </c>
      <c r="C61" s="39" t="inlineStr">
        <is>
          <t>useful_life</t>
        </is>
      </c>
      <c r="D61" s="55" t="inlineStr">
        <is>
          <t>default</t>
        </is>
      </c>
      <c r="E61" s="38" t="inlineStr">
        <is>
          <t>За сколько лет списывается покупка. Задаётся по каждой позиции</t>
        </is>
      </c>
      <c r="F61" s="38" t="inlineStr">
        <is>
          <t>камера 3 года, рюкзак 7 лет</t>
        </is>
      </c>
    </row>
    <row r="62">
      <c r="A62" s="42" t="n">
        <v>49</v>
      </c>
      <c r="B62" s="42" t="inlineStr">
        <is>
          <t>Переменные расходы</t>
        </is>
      </c>
      <c r="C62" s="43" t="inlineStr">
        <is>
          <t>variable_costs</t>
        </is>
      </c>
      <c r="D62" s="57" t="inlineStr">
        <is>
          <t>calc</t>
        </is>
      </c>
      <c r="E62" s="42" t="inlineStr">
        <is>
          <t>Регулярные платежи за год: подписки, реклама, банк, бухгалтер, рабочее место</t>
        </is>
      </c>
      <c r="F62" s="42" t="inlineStr">
        <is>
          <t>477 900 ₽/год</t>
        </is>
      </c>
    </row>
    <row r="63">
      <c r="A63" s="38" t="n">
        <v>50</v>
      </c>
      <c r="B63" s="38" t="inlineStr">
        <is>
          <t>Съёмочное оборудование</t>
        </is>
      </c>
      <c r="C63" s="39" t="inlineStr">
        <is>
          <t>shoot_gear</t>
        </is>
      </c>
      <c r="D63" s="55" t="inlineStr">
        <is>
          <t>default</t>
        </is>
      </c>
      <c r="E63" s="38" t="inlineStr">
        <is>
          <t>Только обязательное для базовой съёмки</t>
        </is>
      </c>
      <c r="F63" s="38" t="inlineStr">
        <is>
          <t>137 893 ₽/год</t>
        </is>
      </c>
    </row>
    <row r="64">
      <c r="A64" s="38" t="n">
        <v>51</v>
      </c>
      <c r="B64" s="38" t="inlineStr">
        <is>
          <t>Офисное оборудование</t>
        </is>
      </c>
      <c r="C64" s="39" t="inlineStr">
        <is>
          <t>office_gear</t>
        </is>
      </c>
      <c r="D64" s="55" t="inlineStr">
        <is>
          <t>default</t>
        </is>
      </c>
      <c r="E64" s="38" t="inlineStr">
        <is>
          <t>Только обязательное для обработки и операционных задач</t>
        </is>
      </c>
      <c r="F64" s="38" t="inlineStr">
        <is>
          <t>65 733 ₽/год</t>
        </is>
      </c>
    </row>
    <row r="65">
      <c r="A65" s="38" t="n">
        <v>52</v>
      </c>
      <c r="B65" s="38" t="inlineStr">
        <is>
          <t>Программное обеспечение</t>
        </is>
      </c>
      <c r="C65" s="39" t="inlineStr">
        <is>
          <t>software</t>
        </is>
      </c>
      <c r="D65" s="55" t="inlineStr">
        <is>
          <t>default</t>
        </is>
      </c>
      <c r="E65" s="38" t="inlineStr">
        <is>
          <t>Подписки (переменные) и разовые покупки (амортизация)</t>
        </is>
      </c>
      <c r="F65" s="38" t="inlineStr">
        <is>
          <t>27 000 + 11 500 ₽/год</t>
        </is>
      </c>
    </row>
    <row r="66">
      <c r="A66" s="38" t="n">
        <v>53</v>
      </c>
      <c r="B66" s="38" t="inlineStr">
        <is>
          <t>Рабочее место</t>
        </is>
      </c>
      <c r="C66" s="39" t="inlineStr">
        <is>
          <t>workspace</t>
        </is>
      </c>
      <c r="D66" s="55" t="inlineStr">
        <is>
          <t>meta</t>
        </is>
      </c>
      <c r="E66" s="38" t="inlineStr">
        <is>
          <t>Пространство для работы вне площадки: дом или помещение</t>
        </is>
      </c>
      <c r="F66" s="38" t="inlineStr"/>
    </row>
    <row r="67">
      <c r="A67" s="38" t="n">
        <v>54</v>
      </c>
      <c r="B67" s="38" t="inlineStr">
        <is>
          <t>Обустройство рабочего места</t>
        </is>
      </c>
      <c r="C67" s="39" t="inlineStr">
        <is>
          <t>workspace_setup</t>
        </is>
      </c>
      <c r="D67" s="55" t="inlineStr">
        <is>
          <t>default</t>
        </is>
      </c>
      <c r="E67" s="38" t="inlineStr">
        <is>
          <t>Разовые вложения: мебель, ремонт. Амортизируются</t>
        </is>
      </c>
      <c r="F67" s="38" t="inlineStr">
        <is>
          <t>9 286 ₽/год</t>
        </is>
      </c>
    </row>
    <row r="68">
      <c r="A68" s="38" t="n">
        <v>55</v>
      </c>
      <c r="B68" s="38" t="inlineStr">
        <is>
          <t>Содержание рабочего места</t>
        </is>
      </c>
      <c r="C68" s="39" t="inlineStr">
        <is>
          <t>workspace_upkeep</t>
        </is>
      </c>
      <c r="D68" s="55" t="inlineStr">
        <is>
          <t>calc</t>
        </is>
      </c>
      <c r="E68" s="38" t="inlineStr">
        <is>
          <t>Аренда и коммунальные. Берутся ПО ДОЛЕ площади кабинета</t>
        </is>
      </c>
      <c r="F68" s="38" t="inlineStr">
        <is>
          <t>(40 000+7 000) × 12% × 12</t>
        </is>
      </c>
    </row>
    <row r="69">
      <c r="A69" s="38" t="n">
        <v>56</v>
      </c>
      <c r="B69" s="38" t="inlineStr">
        <is>
          <t>Доля кабинета</t>
        </is>
      </c>
      <c r="C69" s="39" t="inlineStr">
        <is>
          <t>room_share</t>
        </is>
      </c>
      <c r="D69" s="55" t="inlineStr">
        <is>
          <t>calc</t>
        </is>
      </c>
      <c r="E69" s="38" t="inlineStr">
        <is>
          <t>Площадь кабинета к общей площади жилья</t>
        </is>
      </c>
      <c r="F69" s="38" t="inlineStr">
        <is>
          <t>6 / 50 = 12%</t>
        </is>
      </c>
    </row>
    <row r="70">
      <c r="A70" s="38" t="n">
        <v>57</v>
      </c>
      <c r="B70" s="38" t="inlineStr">
        <is>
          <t>Обучение</t>
        </is>
      </c>
      <c r="C70" s="39" t="inlineStr">
        <is>
          <t>education</t>
        </is>
      </c>
      <c r="D70" s="55" t="inlineStr">
        <is>
          <t>default</t>
        </is>
      </c>
      <c r="E70" s="38" t="inlineStr">
        <is>
          <t>Курс плюс упущенный доход за месяцы учёбы</t>
        </is>
      </c>
      <c r="F70" s="38" t="inlineStr">
        <is>
          <t>(80 000 + 4×108 999) / 7</t>
        </is>
      </c>
    </row>
    <row r="71">
      <c r="A71" s="38" t="n">
        <v>58</v>
      </c>
      <c r="B71" s="38" t="inlineStr">
        <is>
          <t>Упущенная выгода</t>
        </is>
      </c>
      <c r="C71" s="39" t="inlineStr">
        <is>
          <t>opportunity_cost</t>
        </is>
      </c>
      <c r="D71" s="55" t="inlineStr">
        <is>
          <t>calc</t>
        </is>
      </c>
      <c r="E71" s="38" t="inlineStr">
        <is>
          <t>Доход, не полученный за время учёбы. Можно отключить флагом</t>
        </is>
      </c>
      <c r="F71" s="38" t="inlineStr">
        <is>
          <t>4 мес × 108 999 = 435 996 ₽</t>
        </is>
      </c>
    </row>
    <row r="72">
      <c r="A72" s="38" t="n">
        <v>59</v>
      </c>
      <c r="B72" s="38" t="inlineStr">
        <is>
          <t>Реклама</t>
        </is>
      </c>
      <c r="C72" s="39" t="inlineStr">
        <is>
          <t>ads_money</t>
        </is>
      </c>
      <c r="D72" s="55" t="inlineStr">
        <is>
          <t>default</t>
        </is>
      </c>
      <c r="E72" s="38" t="inlineStr">
        <is>
          <t>Деньги за привлечение клиентов: таргет, контекст, размещения</t>
        </is>
      </c>
      <c r="F72" s="38" t="inlineStr">
        <is>
          <t>187 500 ₽/год</t>
        </is>
      </c>
    </row>
    <row r="73">
      <c r="A73" s="40" t="n">
        <v>60</v>
      </c>
      <c r="B73" s="40" t="inlineStr">
        <is>
          <t>Учёт и планирование (деньги)</t>
        </is>
      </c>
      <c r="C73" s="41" t="inlineStr">
        <is>
          <t>accounting_money</t>
        </is>
      </c>
      <c r="D73" s="56" t="inlineStr">
        <is>
          <t>default</t>
        </is>
      </c>
      <c r="E73" s="40" t="inlineStr">
        <is>
          <t>Нанятый бухгалтер. Взаимоисключающе с accounting_time</t>
        </is>
      </c>
      <c r="F73" s="40" t="inlineStr">
        <is>
          <t>120 000 ₽/год</t>
        </is>
      </c>
    </row>
    <row r="74">
      <c r="A74" s="38" t="n">
        <v>61</v>
      </c>
      <c r="B74" s="38" t="inlineStr">
        <is>
          <t>Банковские расходы (фикс.)</t>
        </is>
      </c>
      <c r="C74" s="39" t="inlineStr">
        <is>
          <t>bank_fixed</t>
        </is>
      </c>
      <c r="D74" s="55" t="inlineStr">
        <is>
          <t>default</t>
        </is>
      </c>
      <c r="E74" s="38" t="inlineStr">
        <is>
          <t>РКО и СМС. Обычный расход, входит в C</t>
        </is>
      </c>
      <c r="F74" s="38" t="inlineStr">
        <is>
          <t>1 800 ₽/год</t>
        </is>
      </c>
    </row>
    <row r="75">
      <c r="A75" s="40" t="n">
        <v>62</v>
      </c>
      <c r="B75" s="40" t="inlineStr">
        <is>
          <t>Эквайринг</t>
        </is>
      </c>
      <c r="C75" s="41" t="inlineStr">
        <is>
          <t>acquiring</t>
        </is>
      </c>
      <c r="D75" s="56" t="inlineStr">
        <is>
          <t>default</t>
        </is>
      </c>
      <c r="E75" s="40" t="inlineStr">
        <is>
          <t>Процент С ОБОРОТА. НЕ расход — идёт в знаменатель формулы выручки</t>
        </is>
      </c>
      <c r="F75" s="40" t="inlineStr">
        <is>
          <t>2,7% от выручки</t>
        </is>
      </c>
    </row>
    <row r="76">
      <c r="A76" s="2" t="inlineStr">
        <is>
          <t>F. НАЛОГИ И ВЗНОСЫ 2026  (в исходном глоссарии отсутствовали полностью)</t>
        </is>
      </c>
    </row>
    <row r="77" ht="26" customHeight="1" s="48">
      <c r="A77" s="49" t="inlineStr">
        <is>
          <t>№</t>
        </is>
      </c>
      <c r="B77" s="49" t="inlineStr">
        <is>
          <t>Наименование</t>
        </is>
      </c>
      <c r="C77" s="49" t="inlineStr">
        <is>
          <t>ID</t>
        </is>
      </c>
      <c r="D77" s="49" t="inlineStr">
        <is>
          <t>Тип</t>
        </is>
      </c>
      <c r="E77" s="49" t="inlineStr">
        <is>
          <t>Описание</t>
        </is>
      </c>
      <c r="F77" s="49" t="inlineStr">
        <is>
          <t>Формула / значение</t>
        </is>
      </c>
    </row>
    <row r="78">
      <c r="A78" s="44" t="n">
        <v>63</v>
      </c>
      <c r="B78" s="44" t="inlineStr">
        <is>
          <t>НПД (самозанятость)</t>
        </is>
      </c>
      <c r="C78" s="45" t="inlineStr">
        <is>
          <t>npd</t>
        </is>
      </c>
      <c r="D78" s="58" t="inlineStr">
        <is>
          <t>const</t>
        </is>
      </c>
      <c r="E78" s="44" t="inlineStr">
        <is>
          <t>Налог на профессиональный доход. Взносов нет, расходы не вычитаются, лимит 2,4 млн ₽/год</t>
        </is>
      </c>
      <c r="F78" s="44" t="inlineStr">
        <is>
          <t>4% с физлиц, 6% с юрлиц</t>
        </is>
      </c>
    </row>
    <row r="79">
      <c r="A79" s="44" t="n">
        <v>64</v>
      </c>
      <c r="B79" s="44" t="inlineStr">
        <is>
          <t>УСН «Доходы»</t>
        </is>
      </c>
      <c r="C79" s="45" t="inlineStr">
        <is>
          <t>usn_income</t>
        </is>
      </c>
      <c r="D79" s="58" t="inlineStr">
        <is>
          <t>const</t>
        </is>
      </c>
      <c r="E79" s="44" t="inlineStr">
        <is>
          <t>Налог с полной выручки. Взносы ВЫЧИТАЮТСЯ из налога до нуля</t>
        </is>
      </c>
      <c r="F79" s="44" t="inlineStr">
        <is>
          <t>6% (регион может снизить до 1%)</t>
        </is>
      </c>
    </row>
    <row r="80">
      <c r="A80" s="44" t="n">
        <v>65</v>
      </c>
      <c r="B80" s="44" t="inlineStr">
        <is>
          <t>УСН «Доходы минус расходы»</t>
        </is>
      </c>
      <c r="C80" s="45" t="inlineStr">
        <is>
          <t>usn_profit</t>
        </is>
      </c>
      <c r="D80" s="58" t="inlineStr">
        <is>
          <t>const</t>
        </is>
      </c>
      <c r="E80" s="44" t="inlineStr">
        <is>
          <t>Налог с прибыли. Взносы уменьшают базу</t>
        </is>
      </c>
      <c r="F80" s="44" t="inlineStr">
        <is>
          <t>15% (регион может снизить до 5%)</t>
        </is>
      </c>
    </row>
    <row r="81">
      <c r="A81" s="44" t="n">
        <v>66</v>
      </c>
      <c r="B81" s="44" t="inlineStr">
        <is>
          <t>АУСН «Доходы»</t>
        </is>
      </c>
      <c r="C81" s="45" t="inlineStr">
        <is>
          <t>ausn_income</t>
        </is>
      </c>
      <c r="D81" s="58" t="inlineStr">
        <is>
          <t>const</t>
        </is>
      </c>
      <c r="E81" s="44" t="inlineStr">
        <is>
          <t>Автоматизированная УСН. Взносы ИП за себя НЕ платятся, лимит 60 млн ₽</t>
        </is>
      </c>
      <c r="F81" s="44" t="inlineStr">
        <is>
          <t>8%</t>
        </is>
      </c>
    </row>
    <row r="82">
      <c r="A82" s="44" t="n">
        <v>67</v>
      </c>
      <c r="B82" s="44" t="inlineStr">
        <is>
          <t>АУСН «Доходы минус расходы»</t>
        </is>
      </c>
      <c r="C82" s="45" t="inlineStr">
        <is>
          <t>ausn_profit</t>
        </is>
      </c>
      <c r="D82" s="58" t="inlineStr">
        <is>
          <t>const</t>
        </is>
      </c>
      <c r="E82" s="44" t="inlineStr">
        <is>
          <t>То же с учётом расходов. Минимальный налог 3%</t>
        </is>
      </c>
      <c r="F82" s="44" t="inlineStr">
        <is>
          <t>20%</t>
        </is>
      </c>
    </row>
    <row r="83">
      <c r="A83" s="44" t="n">
        <v>68</v>
      </c>
      <c r="B83" s="44" t="inlineStr">
        <is>
          <t>Фиксированные страховые взносы</t>
        </is>
      </c>
      <c r="C83" s="45" t="inlineStr">
        <is>
          <t>fixed_contrib</t>
        </is>
      </c>
      <c r="D83" s="58" t="inlineStr">
        <is>
          <t>const</t>
        </is>
      </c>
      <c r="E83" s="44" t="inlineStr">
        <is>
          <t>Платит каждый ИП независимо от дохода. Срок — 28 декабря</t>
        </is>
      </c>
      <c r="F83" s="44" t="inlineStr">
        <is>
          <t>57 390 ₽ за 2026 год</t>
        </is>
      </c>
    </row>
    <row r="84">
      <c r="A84" s="44" t="n">
        <v>69</v>
      </c>
      <c r="B84" s="44" t="inlineStr">
        <is>
          <t>Дополнительный взнос</t>
        </is>
      </c>
      <c r="C84" s="45" t="inlineStr">
        <is>
          <t>extra_contrib</t>
        </is>
      </c>
      <c r="D84" s="58" t="inlineStr">
        <is>
          <t>const</t>
        </is>
      </c>
      <c r="E84" s="44" t="inlineStr">
        <is>
          <t>1% с дохода сверх порога. Срок — 1 июля следующего года</t>
        </is>
      </c>
      <c r="F84" s="44" t="inlineStr">
        <is>
          <t>1% × (база − 300 000)</t>
        </is>
      </c>
    </row>
    <row r="85">
      <c r="A85" s="44" t="n">
        <v>70</v>
      </c>
      <c r="B85" s="44" t="inlineStr">
        <is>
          <t>Предельная величина дохода</t>
        </is>
      </c>
      <c r="C85" s="45" t="inlineStr">
        <is>
          <t>contrib_threshold</t>
        </is>
      </c>
      <c r="D85" s="58" t="inlineStr">
        <is>
          <t>const</t>
        </is>
      </c>
      <c r="E85" s="44" t="inlineStr">
        <is>
          <t>Порог, свыше которого начисляется допвзнос. ЗА ГОД, не за месяц</t>
        </is>
      </c>
      <c r="F85" s="44" t="inlineStr">
        <is>
          <t>300 000 ₽/год</t>
        </is>
      </c>
    </row>
    <row r="86">
      <c r="A86" s="44" t="n">
        <v>71</v>
      </c>
      <c r="B86" s="44" t="inlineStr">
        <is>
          <t>Максимум допвзноса</t>
        </is>
      </c>
      <c r="C86" s="45" t="inlineStr">
        <is>
          <t>contrib_cap</t>
        </is>
      </c>
      <c r="D86" s="58" t="inlineStr">
        <is>
          <t>const</t>
        </is>
      </c>
      <c r="E86" s="44" t="inlineStr">
        <is>
          <t>Потолок дополнительного взноса за год</t>
        </is>
      </c>
      <c r="F86" s="44" t="inlineStr">
        <is>
          <t>321 818 ₽ (достигается ~32,5 млн)</t>
        </is>
      </c>
    </row>
    <row r="87">
      <c r="A87" s="40" t="n">
        <v>72</v>
      </c>
      <c r="B87" s="40" t="inlineStr">
        <is>
          <t>Вычет взносов из налога</t>
        </is>
      </c>
      <c r="C87" s="41" t="inlineStr">
        <is>
          <t>contrib_deduction</t>
        </is>
      </c>
      <c r="D87" s="56" t="inlineStr">
        <is>
          <t>calc</t>
        </is>
      </c>
      <c r="E87" s="40" t="inlineStr">
        <is>
          <t>На УСН «Доходы» без сотрудников взносы уменьшают налог ДО НУЛЯ. Поэтому платёж = MAX(налог; взносы), а НЕ их сумма</t>
        </is>
      </c>
      <c r="F87" s="40" t="inlineStr">
        <is>
          <t>ключевая механика расчёта</t>
        </is>
      </c>
    </row>
    <row r="88">
      <c r="A88" s="44" t="n">
        <v>73</v>
      </c>
      <c r="B88" s="44" t="inlineStr">
        <is>
          <t>Минимальный налог</t>
        </is>
      </c>
      <c r="C88" s="45" t="inlineStr">
        <is>
          <t>min_tax</t>
        </is>
      </c>
      <c r="D88" s="58" t="inlineStr">
        <is>
          <t>const</t>
        </is>
      </c>
      <c r="E88" s="44" t="inlineStr">
        <is>
          <t>Нижняя граница на режимах «доходы минус расходы»</t>
        </is>
      </c>
      <c r="F88" s="44" t="inlineStr">
        <is>
          <t>УСН 1% от выручки, АУСН 3%</t>
        </is>
      </c>
    </row>
    <row r="89">
      <c r="A89" s="38" t="n">
        <v>74</v>
      </c>
      <c r="B89" s="38" t="inlineStr">
        <is>
          <t>Взнос на травматизм</t>
        </is>
      </c>
      <c r="C89" s="39" t="inlineStr">
        <is>
          <t>injury_contrib</t>
        </is>
      </c>
      <c r="D89" s="55" t="inlineStr">
        <is>
          <t>const</t>
        </is>
      </c>
      <c r="E89" s="38" t="inlineStr">
        <is>
          <t>Только на АУСН и только при наличии сотрудников</t>
        </is>
      </c>
      <c r="F89" s="38" t="inlineStr">
        <is>
          <t>2 959 ₽/год, для соло — 0</t>
        </is>
      </c>
    </row>
    <row r="90">
      <c r="A90" s="44" t="n">
        <v>75</v>
      </c>
      <c r="B90" s="44" t="inlineStr">
        <is>
          <t>Порог освобождения от НДС</t>
        </is>
      </c>
      <c r="C90" s="45" t="inlineStr">
        <is>
          <t>vat_threshold</t>
        </is>
      </c>
      <c r="D90" s="58" t="inlineStr">
        <is>
          <t>const</t>
        </is>
      </c>
      <c r="E90" s="44" t="inlineStr">
        <is>
          <t>Выручка прошлого года, свыше которой на УСН возникает НДС. Заморожен до 2029</t>
        </is>
      </c>
      <c r="F90" s="44" t="inlineStr">
        <is>
          <t>20 млн ₽ (закон 228-ФЗ от 04.07.2026)</t>
        </is>
      </c>
    </row>
    <row r="91">
      <c r="A91" s="44" t="n">
        <v>76</v>
      </c>
      <c r="B91" s="44" t="inlineStr">
        <is>
          <t>Лимит режима</t>
        </is>
      </c>
      <c r="C91" s="45" t="inlineStr">
        <is>
          <t>regime_limit</t>
        </is>
      </c>
      <c r="D91" s="58" t="inlineStr">
        <is>
          <t>const</t>
        </is>
      </c>
      <c r="E91" s="44" t="inlineStr">
        <is>
          <t>Предел выручки, свыше которого режим слетает</t>
        </is>
      </c>
      <c r="F91" s="44" t="inlineStr">
        <is>
          <t>НПД 2,4 млн, АУСН 60 млн, УСН 490,5 млн</t>
        </is>
      </c>
    </row>
    <row r="92">
      <c r="A92" s="44" t="n">
        <v>77</v>
      </c>
      <c r="B92" s="44" t="inlineStr">
        <is>
          <t>Налогооблагаемая база</t>
        </is>
      </c>
      <c r="C92" s="45" t="inlineStr">
        <is>
          <t>tax_base</t>
        </is>
      </c>
      <c r="D92" s="58" t="inlineStr">
        <is>
          <t>calc</t>
        </is>
      </c>
      <c r="E92" s="44" t="inlineStr">
        <is>
          <t>«Доходы» и НПД: вся ВЫРУЧКА. «Доходы минус расходы»: доходы − расходы − взносы</t>
        </is>
      </c>
      <c r="F92" s="44" t="inlineStr">
        <is>
          <t>НЕ равна revenue_base</t>
        </is>
      </c>
    </row>
    <row r="93">
      <c r="A93" s="42" t="n">
        <v>78</v>
      </c>
      <c r="B93" s="42" t="inlineStr">
        <is>
          <t>База для выручки</t>
        </is>
      </c>
      <c r="C93" s="43" t="inlineStr">
        <is>
          <t>revenue_base</t>
        </is>
      </c>
      <c r="D93" s="57" t="inlineStr">
        <is>
          <t>calc</t>
        </is>
      </c>
      <c r="E93" s="42" t="inlineStr">
        <is>
          <t>Расходы плюс желаемый доход. Сумма, которую нужно получить ПОСЛЕ всех платежей</t>
        </is>
      </c>
      <c r="F93" s="42" t="inlineStr">
        <is>
          <t>N + C = 2 094 014 ₽</t>
        </is>
      </c>
    </row>
    <row r="94">
      <c r="A94" s="38" t="n">
        <v>79</v>
      </c>
      <c r="B94" s="38" t="inlineStr">
        <is>
          <t>Всего налогов и взносов</t>
        </is>
      </c>
      <c r="C94" s="39" t="inlineStr">
        <is>
          <t>total_tax</t>
        </is>
      </c>
      <c r="D94" s="55" t="inlineStr">
        <is>
          <t>calc</t>
        </is>
      </c>
      <c r="E94" s="38" t="inlineStr">
        <is>
          <t>Итоговая нагрузка за год по выбранному режиму</t>
        </is>
      </c>
      <c r="F94" s="38" t="inlineStr">
        <is>
          <t>137 613 ₽ на УСН 6%</t>
        </is>
      </c>
    </row>
    <row r="95">
      <c r="A95" s="40" t="n">
        <v>80</v>
      </c>
      <c r="B95" s="40" t="inlineStr">
        <is>
          <t>Общая процентная ставка</t>
        </is>
      </c>
      <c r="C95" s="41" t="inlineStr">
        <is>
          <t>effective_rate</t>
        </is>
      </c>
      <c r="D95" s="56" t="inlineStr">
        <is>
          <t>calc</t>
        </is>
      </c>
      <c r="E95" s="40" t="inlineStr">
        <is>
          <t>Эффективная нагрузка: все платежи к выручке. РАСЧЁТНАЯ, не сумма ставок</t>
        </is>
      </c>
      <c r="F95" s="40" t="inlineStr">
        <is>
          <t>137 613 / 2 293 553 = 6,0%</t>
        </is>
      </c>
    </row>
    <row r="96">
      <c r="A96" s="2" t="inlineStr">
        <is>
          <t>G. СТАВКИ ЧАСА — лестница от наивной к полной (все на съёмочный час)</t>
        </is>
      </c>
    </row>
    <row r="97" ht="26" customHeight="1" s="48">
      <c r="A97" s="49" t="inlineStr">
        <is>
          <t>№</t>
        </is>
      </c>
      <c r="B97" s="49" t="inlineStr">
        <is>
          <t>Наименование</t>
        </is>
      </c>
      <c r="C97" s="49" t="inlineStr">
        <is>
          <t>ID</t>
        </is>
      </c>
      <c r="D97" s="49" t="inlineStr">
        <is>
          <t>Тип</t>
        </is>
      </c>
      <c r="E97" s="49" t="inlineStr">
        <is>
          <t>Описание</t>
        </is>
      </c>
      <c r="F97" s="49" t="inlineStr">
        <is>
          <t>Формула / значение</t>
        </is>
      </c>
    </row>
    <row r="98">
      <c r="A98" s="44" t="n">
        <v>81</v>
      </c>
      <c r="B98" s="44" t="inlineStr">
        <is>
          <t>Наивная ставка</t>
        </is>
      </c>
      <c r="C98" s="45" t="inlineStr">
        <is>
          <t>naive_rate</t>
        </is>
      </c>
      <c r="D98" s="58" t="inlineStr">
        <is>
          <t>calc</t>
        </is>
      </c>
      <c r="E98" s="44" t="inlineStr">
        <is>
          <t>Доход делить на съёмочные часы. Без расходов и налогов. Демонстрация типичной ошибки</t>
        </is>
      </c>
      <c r="F98" s="44" t="inlineStr">
        <is>
          <t>1 307 988 / 261 = 5 004 ₽/ч</t>
        </is>
      </c>
    </row>
    <row r="99">
      <c r="A99" s="46" t="n">
        <v>82</v>
      </c>
      <c r="B99" s="46" t="inlineStr">
        <is>
          <t>Базовая ставка часа</t>
        </is>
      </c>
      <c r="C99" s="47" t="inlineStr">
        <is>
          <t>base_rate</t>
        </is>
      </c>
      <c r="D99" s="59" t="inlineStr">
        <is>
          <t>calc</t>
        </is>
      </c>
      <c r="E99" s="46" t="inlineStr">
        <is>
          <t>Доход, делённый на чистое время. Справочно «сколько стоит час моего времени вообще»</t>
        </is>
      </c>
      <c r="F99" s="46" t="inlineStr">
        <is>
          <t>1 307 988 / 1 533 = 853 ₽/ч</t>
        </is>
      </c>
    </row>
    <row r="100">
      <c r="A100" s="46" t="n">
        <v>83</v>
      </c>
      <c r="B100" s="46" t="inlineStr">
        <is>
          <t>Ставка найма</t>
        </is>
      </c>
      <c r="C100" s="47" t="inlineStr">
        <is>
          <t>hire_rate</t>
        </is>
      </c>
      <c r="D100" s="59" t="inlineStr">
        <is>
          <t>default</t>
        </is>
      </c>
      <c r="E100" s="46" t="inlineStr">
        <is>
          <t>Ставка «как в найме» для сравнения. 8 номинальных часов. Только ориентир</t>
        </is>
      </c>
      <c r="F100" s="46" t="inlineStr">
        <is>
          <t>6 000 ₽/ч</t>
        </is>
      </c>
    </row>
    <row r="101">
      <c r="A101" s="46" t="n">
        <v>84</v>
      </c>
      <c r="B101" s="46" t="inlineStr">
        <is>
          <t>Текущая ставка часа</t>
        </is>
      </c>
      <c r="C101" s="47" t="inlineStr">
        <is>
          <t>current_rate</t>
        </is>
      </c>
      <c r="D101" s="59" t="inlineStr">
        <is>
          <t>default</t>
        </is>
      </c>
      <c r="E101" s="46" t="inlineStr">
        <is>
          <t>По которой работаете сейчас. Для блока «Сколько вы теряете»</t>
        </is>
      </c>
      <c r="F101" s="46" t="inlineStr">
        <is>
          <t>вводится пользователем</t>
        </is>
      </c>
    </row>
    <row r="102">
      <c r="A102" s="42" t="n">
        <v>85</v>
      </c>
      <c r="B102" s="42" t="inlineStr">
        <is>
          <t>Операционная ставка часа</t>
        </is>
      </c>
      <c r="C102" s="43" t="inlineStr">
        <is>
          <t>ops_rate</t>
        </is>
      </c>
      <c r="D102" s="57" t="inlineStr">
        <is>
          <t>calc</t>
        </is>
      </c>
      <c r="E102" s="42" t="inlineStr">
        <is>
          <t>Покрывает доход и все расходы, но БЕЗ налога и эквайринга</t>
        </is>
      </c>
      <c r="F102" s="42" t="inlineStr">
        <is>
          <t>(N + C) / 261 = 8 011 ₽/ч</t>
        </is>
      </c>
    </row>
    <row r="103">
      <c r="A103" s="40" t="n">
        <v>86</v>
      </c>
      <c r="B103" s="40" t="inlineStr">
        <is>
          <t>Полная (реальная) ставка часа</t>
        </is>
      </c>
      <c r="C103" s="41" t="inlineStr">
        <is>
          <t>real_rate</t>
        </is>
      </c>
      <c r="D103" s="56" t="inlineStr">
        <is>
          <t>calc</t>
        </is>
      </c>
      <c r="E103" s="40" t="inlineStr">
        <is>
          <t>Покрывает доход, расходы, налог и эквайринг. ЦЕНА ЧАСА ДЛЯ КЛИЕНТА</t>
        </is>
      </c>
      <c r="F103" s="40" t="inlineStr">
        <is>
          <t>НПД 4% — 8 586 ₽, УСН 6% — 8 774 ₽</t>
        </is>
      </c>
    </row>
    <row r="104">
      <c r="A104" s="38" t="n">
        <v>87</v>
      </c>
      <c r="B104" s="38" t="inlineStr">
        <is>
          <t>Ставка непроданного времени</t>
        </is>
      </c>
      <c r="C104" s="39" t="inlineStr">
        <is>
          <t>tax_rate_hour</t>
        </is>
      </c>
      <c r="D104" s="55" t="inlineStr">
        <is>
          <t>calc</t>
        </is>
      </c>
      <c r="E104" s="38" t="inlineStr">
        <is>
          <t>Синоним real_rate. Для оценки часов, не продаваемых клиенту (обучение, своя бухгалтерия)</t>
        </is>
      </c>
      <c r="F104" s="38">
        <f> real_rate</f>
        <v/>
      </c>
    </row>
    <row r="105">
      <c r="A105" s="38" t="n">
        <v>88</v>
      </c>
      <c r="B105" s="38" t="inlineStr">
        <is>
          <t>Стоимость проекта</t>
        </is>
      </c>
      <c r="C105" s="39" t="inlineStr">
        <is>
          <t>project_price</t>
        </is>
      </c>
      <c r="D105" s="55" t="inlineStr">
        <is>
          <t>calc</t>
        </is>
      </c>
      <c r="E105" s="38" t="inlineStr">
        <is>
          <t>Цена одного законченного заказа</t>
        </is>
      </c>
      <c r="F105" s="38" t="inlineStr">
        <is>
          <t>R / 37,34 = 61 416 ₽</t>
        </is>
      </c>
    </row>
    <row r="106">
      <c r="A106" s="38" t="n">
        <v>89</v>
      </c>
      <c r="B106" s="38" t="inlineStr">
        <is>
          <t>Точка безубыточности</t>
        </is>
      </c>
      <c r="C106" s="39" t="inlineStr">
        <is>
          <t>breakeven</t>
        </is>
      </c>
      <c r="D106" s="55" t="inlineStr">
        <is>
          <t>calc</t>
        </is>
      </c>
      <c r="E106" s="38" t="inlineStr">
        <is>
          <t>Минимальная выручка при нулевом личном доходе</t>
        </is>
      </c>
      <c r="F106" s="38" t="inlineStr">
        <is>
          <t>подставить N = 0</t>
        </is>
      </c>
    </row>
    <row r="107">
      <c r="A107" s="2" t="inlineStr">
        <is>
          <t>H. МЕТОДОЛОГИЯ РАСЧЁТА</t>
        </is>
      </c>
    </row>
    <row r="108" ht="26" customHeight="1" s="48">
      <c r="A108" s="49" t="inlineStr">
        <is>
          <t>№</t>
        </is>
      </c>
      <c r="B108" s="49" t="inlineStr">
        <is>
          <t>Наименование</t>
        </is>
      </c>
      <c r="C108" s="49" t="inlineStr">
        <is>
          <t>ID</t>
        </is>
      </c>
      <c r="D108" s="49" t="inlineStr">
        <is>
          <t>Тип</t>
        </is>
      </c>
      <c r="E108" s="49" t="inlineStr">
        <is>
          <t>Описание</t>
        </is>
      </c>
      <c r="F108" s="49" t="inlineStr">
        <is>
          <t>Формула / значение</t>
        </is>
      </c>
    </row>
    <row r="109">
      <c r="A109" s="40" t="n">
        <v>90</v>
      </c>
      <c r="B109" s="40" t="inlineStr">
        <is>
          <t>Обратный расчёт (gross-up)</t>
        </is>
      </c>
      <c r="C109" s="41" t="inlineStr">
        <is>
          <t>gross_up</t>
        </is>
      </c>
      <c r="D109" s="56" t="inlineStr">
        <is>
          <t>meta</t>
        </is>
      </c>
      <c r="E109" s="40" t="inlineStr">
        <is>
          <t>Идём от желаемого «на руки» к выручке, а не наоборот. Ставки применяются к выручке, поэтому делим, а не умножаем</t>
        </is>
      </c>
      <c r="F109" s="40" t="inlineStr">
        <is>
          <t>R = (N + C) / (1 − ставка)</t>
        </is>
      </c>
    </row>
    <row r="110">
      <c r="A110" s="44" t="n">
        <v>91</v>
      </c>
      <c r="B110" s="44" t="inlineStr">
        <is>
          <t>Циклическая зависимость</t>
        </is>
      </c>
      <c r="C110" s="45" t="inlineStr">
        <is>
          <t>circular_ref</t>
        </is>
      </c>
      <c r="D110" s="58" t="inlineStr">
        <is>
          <t>meta</t>
        </is>
      </c>
      <c r="E110" s="44" t="inlineStr">
        <is>
          <t>Величина зависит сама от себя через цепочку. Возникает, когда своё время оценивается по расчётной ставке</t>
        </is>
      </c>
      <c r="F110" s="44" t="inlineStr">
        <is>
          <t>Block12 «сайт своими руками»</t>
        </is>
      </c>
    </row>
    <row r="111">
      <c r="A111" s="44" t="n">
        <v>92</v>
      </c>
      <c r="B111" s="44" t="inlineStr">
        <is>
          <t>Взвешенная ставка</t>
        </is>
      </c>
      <c r="C111" s="45" t="inlineStr">
        <is>
          <t>weighted_rate</t>
        </is>
      </c>
      <c r="D111" s="58" t="inlineStr">
        <is>
          <t>calc</t>
        </is>
      </c>
      <c r="E111" s="44" t="inlineStr">
        <is>
          <t>Эффективная ставка при смешанной клиентской базе. Заменяет несуществующую «среднюю ставку НПД»</t>
        </is>
      </c>
      <c r="F111" s="44" t="inlineStr">
        <is>
          <t>4%×доля_физлиц + 6%×доля_юрлиц</t>
        </is>
      </c>
    </row>
    <row r="112">
      <c r="A112" s="38" t="n">
        <v>93</v>
      </c>
      <c r="B112" s="38" t="inlineStr">
        <is>
          <t>Валидация</t>
        </is>
      </c>
      <c r="C112" s="39" t="inlineStr">
        <is>
          <t>validation</t>
        </is>
      </c>
      <c r="D112" s="55" t="inlineStr">
        <is>
          <t>meta</t>
        </is>
      </c>
      <c r="E112" s="38" t="inlineStr">
        <is>
          <t>Проверка ввода на границы применимости: лимиты режимов, деление на ноль, расходимость формул</t>
        </is>
      </c>
      <c r="F112" s="38" t="inlineStr">
        <is>
          <t>НПД &gt; 2,4 млн → предупреждение</t>
        </is>
      </c>
    </row>
    <row r="113">
      <c r="A113" s="38" t="n">
        <v>94</v>
      </c>
      <c r="B113" s="38" t="inlineStr">
        <is>
          <t>Ветвление формулы</t>
        </is>
      </c>
      <c r="C113" s="39" t="inlineStr">
        <is>
          <t>branch</t>
        </is>
      </c>
      <c r="D113" s="55" t="inlineStr">
        <is>
          <t>meta</t>
        </is>
      </c>
      <c r="E113" s="38" t="inlineStr">
        <is>
          <t>Формула имеет несколько веток, выбор через MAX или IF. Не ошибка, а свойство налоговой механики</t>
        </is>
      </c>
      <c r="F113" s="38" t="inlineStr">
        <is>
          <t>УСН 6%: MAX(взносы; налог)</t>
        </is>
      </c>
    </row>
    <row r="114">
      <c r="A114" s="2" t="inlineStr">
        <is>
          <t>ЧТО ДОБАВЛЕНО И ИЗМЕНЕНО</t>
        </is>
      </c>
    </row>
    <row r="115">
      <c r="A115" t="inlineStr">
        <is>
          <t>ДОБАВЛЕНО 33 ПОНЯТИЯ. Главный пробел — блок F: в исходном глоссарии не было НИ ОДНОГО налогового термина,</t>
        </is>
      </c>
    </row>
    <row r="116">
      <c r="A116" t="inlineStr">
        <is>
          <t>хотя весь расчёт построен на них. Не описаны были режимы, взносы, порог 300 000, потолок 321 818,</t>
        </is>
      </c>
    </row>
    <row r="117">
      <c r="A117" t="inlineStr">
        <is>
          <t>минимальный налог, лимиты НПД и АУСН, порог НДС. Теперь это отдельный раздел с актуальными значениями 2026.</t>
        </is>
      </c>
    </row>
    <row r="118">
      <c r="A118" t="inlineStr"/>
    </row>
    <row r="119">
      <c r="A119" t="inlineStr">
        <is>
          <t>КЛЮЧЕВОЕ ПОНЯТИЕ contrib_deduction (вычет взносов из налога) — механика, из-за которой нельзя складывать</t>
        </is>
      </c>
    </row>
    <row r="120">
      <c r="A120" t="inlineStr">
        <is>
          <t>ставки. Именно её отсутствие в глоссарии и породило «общую процентную ставку 7,70».</t>
        </is>
      </c>
    </row>
    <row r="121">
      <c r="A121" t="inlineStr"/>
    </row>
    <row r="122">
      <c r="A122" t="inlineStr">
        <is>
          <t>ДОБАВЛЕН БЛОК A — сами маркеры типов как понятия реестра: const, calc, default плюс два новых —</t>
        </is>
      </c>
    </row>
    <row r="123">
      <c r="A123" t="inlineStr">
        <is>
          <t>meta (служебные термины) и ui (типы полей). Без них столбец «Тип» пришлось бы заполнять наугад.</t>
        </is>
      </c>
    </row>
    <row r="124">
      <c r="A124" t="inlineStr"/>
    </row>
    <row r="125">
      <c r="A125" t="inlineStr">
        <is>
          <t>ДОБАВЛЕН БЛОК H «Методология» — четыре приёма, которые нигде не были названы, хотя используются:</t>
        </is>
      </c>
    </row>
    <row r="126">
      <c r="A126" t="inlineStr">
        <is>
          <t>обратный расчёт, циклическая зависимость, взвешенная ставка, ветвление формулы.</t>
        </is>
      </c>
    </row>
    <row r="127">
      <c r="A127" t="inlineStr"/>
    </row>
    <row r="128">
      <c r="A128" t="inlineStr">
        <is>
          <t>ЗАПОЛНЕН СТОЛБЕЦ «ТИП» для всех 96 понятий, с выпадающим списком для правки.</t>
        </is>
      </c>
    </row>
    <row r="129">
      <c r="A129" t="inlineStr">
        <is>
          <t>Логика разметки: const — то, что закреплено законом или календарём; default — то, что пользователь видит</t>
        </is>
      </c>
    </row>
    <row r="130">
      <c r="A130" t="inlineStr">
        <is>
          <t>предзаполненным и может изменить; calc — то, что вычисляется; meta и ui — служебное.</t>
        </is>
      </c>
    </row>
    <row r="131">
      <c r="A131" t="inlineStr"/>
    </row>
    <row r="132">
      <c r="A132" t="inlineStr">
        <is>
          <t>СПОРНЫЕ СЛУЧАИ РАЗМЕТКИ (поправьте под себя):</t>
        </is>
      </c>
    </row>
    <row r="133">
      <c r="A133" t="inlineStr">
        <is>
          <t xml:space="preserve">  • shoot_gear, office_gear, software помечены default: пользователь заполняет таблицу, но состав предлагаем мы.</t>
        </is>
      </c>
    </row>
    <row r="134">
      <c r="A134" t="inlineStr">
        <is>
          <t xml:space="preserve">  • acquiring — default, а не const: ставка эквайринга зависит от банка и тарифа.</t>
        </is>
      </c>
    </row>
    <row r="135">
      <c r="A135" t="inlineStr">
        <is>
          <t xml:space="preserve">  • vacation, sick_leave — const: отпуск закреплён ст. 115 ТК, больничный — усреднённая статистика.</t>
        </is>
      </c>
    </row>
    <row r="136">
      <c r="A136" t="inlineStr">
        <is>
          <t xml:space="preserve">    Если дадите пользователю их менять, поменяйте на default.</t>
        </is>
      </c>
    </row>
    <row r="137">
      <c r="A137" t="inlineStr">
        <is>
          <t xml:space="preserve">  • report встречается дважды: как тип поля (ui) и как страница результата (meta). Это не дубль, а два уровня.</t>
        </is>
      </c>
    </row>
    <row r="138">
      <c r="A138" t="inlineStr"/>
    </row>
    <row r="139">
      <c r="A139" t="inlineStr">
        <is>
          <t>ДОБАВЛЕНА КОЛОНКА «Формула / значение» — у каждого понятия видно, чему оно равно в цифрах.</t>
        </is>
      </c>
    </row>
    <row r="140">
      <c r="A140" t="inlineStr">
        <is>
          <t>Это превращает глоссарий из словаря в проверочную таблицу: любое расхождение с листом «Расчёт» сразу заметно.</t>
        </is>
      </c>
    </row>
  </sheetData>
  <mergeCells count="37">
    <mergeCell ref="A54:F54"/>
    <mergeCell ref="A137:F137"/>
    <mergeCell ref="A128:F128"/>
    <mergeCell ref="A118:F118"/>
    <mergeCell ref="A133:F133"/>
    <mergeCell ref="A120:F120"/>
    <mergeCell ref="A136:F136"/>
    <mergeCell ref="A139:F139"/>
    <mergeCell ref="A2:F2"/>
    <mergeCell ref="A129:F129"/>
    <mergeCell ref="A76:F76"/>
    <mergeCell ref="A116:F116"/>
    <mergeCell ref="A126:F126"/>
    <mergeCell ref="A135:F135"/>
    <mergeCell ref="A131:F131"/>
    <mergeCell ref="A4:F4"/>
    <mergeCell ref="A122:F122"/>
    <mergeCell ref="A96:F96"/>
    <mergeCell ref="A140:F140"/>
    <mergeCell ref="A134:F134"/>
    <mergeCell ref="A125:F125"/>
    <mergeCell ref="A121:F121"/>
    <mergeCell ref="A115:F115"/>
    <mergeCell ref="A13:F13"/>
    <mergeCell ref="A117:F117"/>
    <mergeCell ref="A127:F127"/>
    <mergeCell ref="A130:F130"/>
    <mergeCell ref="A114:F114"/>
    <mergeCell ref="A107:F107"/>
    <mergeCell ref="A36:F36"/>
    <mergeCell ref="A123:F123"/>
    <mergeCell ref="A138:F138"/>
    <mergeCell ref="A1:F1"/>
    <mergeCell ref="A132:F132"/>
    <mergeCell ref="A119:F119"/>
    <mergeCell ref="A124:F124"/>
    <mergeCell ref="A25:F25"/>
  </mergeCells>
  <dataValidations count="1">
    <dataValidation sqref="D6:D113" showDropDown="0" showInputMessage="0" showErrorMessage="0" allowBlank="1" type="list">
      <formula1>"const,calc,default,meta,ui"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48" min="1" max="1"/>
    <col width="13" customWidth="1" style="48" min="2" max="2"/>
    <col width="26" customWidth="1" style="48" min="3" max="3"/>
    <col width="40" customWidth="1" style="48" min="4" max="4"/>
    <col width="22" customWidth="1" style="48" min="5" max="5"/>
    <col width="17" customWidth="1" style="48" min="6" max="6"/>
    <col width="44" customWidth="1" style="48" min="7" max="7"/>
    <col width="13" customWidth="1" style="48" min="8" max="8"/>
    <col width="13" customWidth="1" style="48" min="9" max="9"/>
    <col width="16" customWidth="1" style="48" min="10" max="10"/>
  </cols>
  <sheetData>
    <row r="1">
      <c r="A1" s="1" t="inlineStr">
        <is>
          <t>СПЕЦИФИКАЦИЯ БЛОКОВ ИНТЕРФЕЙСА</t>
        </is>
      </c>
    </row>
    <row r="3">
      <c r="A3" s="2" t="inlineStr">
        <is>
          <t>SECTION 1 — О ВАС И ВАШЕЙ РАБОТЕ</t>
        </is>
      </c>
    </row>
    <row r="4" ht="30" customHeight="1" s="48">
      <c r="A4" s="49" t="inlineStr">
        <is>
          <t>ID</t>
        </is>
      </c>
      <c r="B4" s="49" t="inlineStr">
        <is>
          <t>Раздел</t>
        </is>
      </c>
      <c r="C4" s="49" t="inlineStr">
        <is>
          <t>H2 (Заголовок)</t>
        </is>
      </c>
      <c r="D4" s="49" t="inlineStr">
        <is>
          <t>H3 (Подзаголовок)</t>
        </is>
      </c>
      <c r="E4" s="49" t="inlineStr">
        <is>
          <t>Тип</t>
        </is>
      </c>
      <c r="F4" s="49" t="inlineStr">
        <is>
          <t>Формы_ID</t>
        </is>
      </c>
      <c r="G4" s="49" t="inlineStr">
        <is>
          <t>Описание под полем</t>
        </is>
      </c>
      <c r="H4" s="49" t="inlineStr">
        <is>
          <t>Исключаемый</t>
        </is>
      </c>
      <c r="I4" s="49" t="inlineStr">
        <is>
          <t>По умолч.</t>
        </is>
      </c>
      <c r="J4" s="49" t="inlineStr">
        <is>
          <t>Куда идёт в расчёт</t>
        </is>
      </c>
    </row>
    <row r="5">
      <c r="A5" s="41" t="inlineStr">
        <is>
          <t>Block1</t>
        </is>
      </c>
      <c r="B5" s="40" t="inlineStr">
        <is>
          <t>Section1</t>
        </is>
      </c>
      <c r="C5" s="40" t="inlineStr">
        <is>
          <t>Желаемый доход</t>
        </is>
      </c>
      <c r="D5" s="40" t="inlineStr">
        <is>
          <t>Сколько хотите получать на руки ежемесячно</t>
        </is>
      </c>
      <c r="E5" s="40" t="inlineStr">
        <is>
          <t>input_number</t>
        </is>
      </c>
      <c r="F5" s="41" t="inlineStr">
        <is>
          <t>—</t>
        </is>
      </c>
      <c r="G5" s="40" t="inlineStr">
        <is>
          <t>По умолчанию — средняя номинальная зарплата по РФ, Росстат 2026</t>
        </is>
      </c>
      <c r="H5" s="40" t="inlineStr">
        <is>
          <t>Нет</t>
        </is>
      </c>
      <c r="I5" s="40" t="inlineStr">
        <is>
          <t>108 999</t>
        </is>
      </c>
      <c r="J5" s="40" t="inlineStr">
        <is>
          <t>target_income → N</t>
        </is>
      </c>
    </row>
    <row r="6">
      <c r="A6" s="47" t="inlineStr">
        <is>
          <t>Block2</t>
        </is>
      </c>
      <c r="B6" s="46" t="inlineStr">
        <is>
          <t>Section1</t>
        </is>
      </c>
      <c r="C6" s="46" t="inlineStr">
        <is>
          <t>Текущая стоимость часа</t>
        </is>
      </c>
      <c r="D6" s="46" t="inlineStr">
        <is>
          <t>Ваша текущая ставка — для сравнения</t>
        </is>
      </c>
      <c r="E6" s="46" t="inlineStr">
        <is>
          <t>input_number</t>
        </is>
      </c>
      <c r="F6" s="47" t="inlineStr">
        <is>
          <t>—</t>
        </is>
      </c>
      <c r="G6" s="46" t="inlineStr">
        <is>
          <t>Необязательное. Нужно для блока «Сколько вы теряете»</t>
        </is>
      </c>
      <c r="H6" s="46" t="inlineStr">
        <is>
          <t>Да</t>
        </is>
      </c>
      <c r="I6" s="46" t="inlineStr">
        <is>
          <t>6 000</t>
        </is>
      </c>
      <c r="J6" s="46" t="inlineStr">
        <is>
          <t>current_rate, в расчёт НЕ идёт</t>
        </is>
      </c>
    </row>
    <row r="7">
      <c r="A7" s="45" t="inlineStr">
        <is>
          <t>Block3</t>
        </is>
      </c>
      <c r="B7" s="44" t="inlineStr">
        <is>
          <t>Section1</t>
        </is>
      </c>
      <c r="C7" s="44" t="inlineStr">
        <is>
          <t>Продолжительность съёмки</t>
        </is>
      </c>
      <c r="D7" s="44" t="inlineStr">
        <is>
          <t>Средняя длительность одной съёмки, часов</t>
        </is>
      </c>
      <c r="E7" s="44" t="inlineStr">
        <is>
          <t>input_number</t>
        </is>
      </c>
      <c r="F7" s="45" t="inlineStr">
        <is>
          <t>—</t>
        </is>
      </c>
      <c r="G7" s="44" t="inlineStr">
        <is>
          <t>Сложите часы съёмок за период и разделите на число съёмок</t>
        </is>
      </c>
      <c r="H7" s="44" t="inlineStr">
        <is>
          <t>Нет</t>
        </is>
      </c>
      <c r="I7" s="44" t="inlineStr">
        <is>
          <t>7  ← было 0</t>
        </is>
      </c>
      <c r="J7" s="44" t="inlineStr">
        <is>
          <t>S → проектное время</t>
        </is>
      </c>
    </row>
    <row r="8">
      <c r="A8" s="45" t="inlineStr">
        <is>
          <t>Block3a</t>
        </is>
      </c>
      <c r="B8" s="44" t="inlineStr">
        <is>
          <t>Section1</t>
        </is>
      </c>
      <c r="C8" s="44" t="inlineStr">
        <is>
          <t>Коэффициент обработки</t>
        </is>
      </c>
      <c r="D8" s="44" t="inlineStr">
        <is>
          <t>Сколько часов обработки на 1 час съёмки</t>
        </is>
      </c>
      <c r="E8" s="44" t="inlineStr">
        <is>
          <t>input_number</t>
        </is>
      </c>
      <c r="F8" s="45" t="inlineStr">
        <is>
          <t>—</t>
        </is>
      </c>
      <c r="G8" s="44" t="inlineStr">
        <is>
          <t>НОВЫЙ БЛОК. Без него проектное время не считается</t>
        </is>
      </c>
      <c r="H8" s="44" t="inlineStr">
        <is>
          <t>Нет</t>
        </is>
      </c>
      <c r="I8" s="44" t="inlineStr">
        <is>
          <t>3</t>
        </is>
      </c>
      <c r="J8" s="44" t="inlineStr">
        <is>
          <t>K → проектное время</t>
        </is>
      </c>
    </row>
    <row r="9">
      <c r="A9" s="45" t="inlineStr">
        <is>
          <t>Block4</t>
        </is>
      </c>
      <c r="B9" s="44" t="inlineStr">
        <is>
          <t>Section1</t>
        </is>
      </c>
      <c r="C9" s="44" t="inlineStr">
        <is>
          <t>Ваш режим налогообложения</t>
        </is>
      </c>
      <c r="D9" s="44" t="inlineStr">
        <is>
          <t>—</t>
        </is>
      </c>
      <c r="E9" s="44" t="inlineStr">
        <is>
          <t>dropdown</t>
        </is>
      </c>
      <c r="F9" s="45" t="inlineStr">
        <is>
          <t>Form015, Form016</t>
        </is>
      </c>
      <c r="G9" s="44" t="inlineStr">
        <is>
          <t>Если работаете и с юрлицами, и с физлицами — укажите доли выручки</t>
        </is>
      </c>
      <c r="H9" s="44" t="inlineStr">
        <is>
          <t>Нет</t>
        </is>
      </c>
      <c r="I9" s="44" t="inlineStr">
        <is>
          <t>УСН 6%</t>
        </is>
      </c>
      <c r="J9" s="44" t="inlineStr">
        <is>
          <t>ставка налога</t>
        </is>
      </c>
    </row>
    <row r="10">
      <c r="A10" s="47" t="inlineStr">
        <is>
          <t>Block5</t>
        </is>
      </c>
      <c r="B10" s="46" t="inlineStr">
        <is>
          <t>Section1</t>
        </is>
      </c>
      <c r="C10" s="46" t="inlineStr">
        <is>
          <t>Как мы считаем</t>
        </is>
      </c>
      <c r="D10" s="46" t="inlineStr">
        <is>
          <t>Мы опираемся на нормы трудового законодательства РФ</t>
        </is>
      </c>
      <c r="E10" s="46" t="inlineStr">
        <is>
          <t>info_block</t>
        </is>
      </c>
      <c r="F10" s="47" t="inlineStr">
        <is>
          <t>—</t>
        </is>
      </c>
      <c r="G10" s="46" t="inlineStr">
        <is>
          <t>Про отпуск, больничный, эффективные часы. Ссылку на ст. 152 ТК убрать</t>
        </is>
      </c>
      <c r="H10" s="46" t="inlineStr">
        <is>
          <t>Нет</t>
        </is>
      </c>
      <c r="I10" s="46" t="inlineStr">
        <is>
          <t>—</t>
        </is>
      </c>
      <c r="J10" s="46" t="inlineStr">
        <is>
          <t>—</t>
        </is>
      </c>
    </row>
    <row r="12">
      <c r="A12" s="2" t="inlineStr">
        <is>
          <t>SECTION 2 — ВАШИ ИНВЕСТИЦИИ В СВОЁ ДЕЛО  (амортизируются)</t>
        </is>
      </c>
    </row>
    <row r="13" ht="30" customHeight="1" s="48">
      <c r="A13" s="49" t="inlineStr">
        <is>
          <t>ID</t>
        </is>
      </c>
      <c r="B13" s="49" t="inlineStr">
        <is>
          <t>Раздел</t>
        </is>
      </c>
      <c r="C13" s="49" t="inlineStr">
        <is>
          <t>H2 (Заголовок)</t>
        </is>
      </c>
      <c r="D13" s="49" t="inlineStr">
        <is>
          <t>H3 (Подзаголовок)</t>
        </is>
      </c>
      <c r="E13" s="49" t="inlineStr">
        <is>
          <t>Тип</t>
        </is>
      </c>
      <c r="F13" s="49" t="inlineStr">
        <is>
          <t>Формы_ID</t>
        </is>
      </c>
      <c r="G13" s="49" t="inlineStr">
        <is>
          <t>Описание под полем</t>
        </is>
      </c>
      <c r="H13" s="49" t="inlineStr">
        <is>
          <t>Исключаемый</t>
        </is>
      </c>
      <c r="I13" s="49" t="inlineStr">
        <is>
          <t>По умолч.</t>
        </is>
      </c>
      <c r="J13" s="49" t="inlineStr">
        <is>
          <t>Куда идёт в расчёт</t>
        </is>
      </c>
    </row>
    <row r="14">
      <c r="A14" s="39" t="inlineStr">
        <is>
          <t>Block6</t>
        </is>
      </c>
      <c r="B14" s="38" t="inlineStr">
        <is>
          <t>Section2</t>
        </is>
      </c>
      <c r="C14" s="38" t="inlineStr">
        <is>
          <t>Съёмочное оборудование</t>
        </is>
      </c>
      <c r="D14" s="38" t="inlineStr">
        <is>
          <t>Базовый комплект для каждой съёмки</t>
        </is>
      </c>
      <c r="E14" s="38" t="inlineStr">
        <is>
          <t>dynamic_table</t>
        </is>
      </c>
      <c r="F14" s="39" t="inlineStr">
        <is>
          <t>Form001</t>
        </is>
      </c>
      <c r="G14" s="38" t="inlineStr">
        <is>
          <t>Актуальная рыночная стоимость; для снятых с производства — аналог. Разовую аренду не включать</t>
        </is>
      </c>
      <c r="H14" s="38" t="inlineStr">
        <is>
          <t>Да</t>
        </is>
      </c>
      <c r="I14" s="38" t="inlineStr">
        <is>
          <t>—</t>
        </is>
      </c>
      <c r="J14" s="38" t="inlineStr">
        <is>
          <t>investment → амортизация</t>
        </is>
      </c>
    </row>
    <row r="15">
      <c r="A15" s="39" t="inlineStr">
        <is>
          <t>Block7</t>
        </is>
      </c>
      <c r="B15" s="38" t="inlineStr">
        <is>
          <t>Section2</t>
        </is>
      </c>
      <c r="C15" s="38" t="inlineStr">
        <is>
          <t>Офисное оборудование</t>
        </is>
      </c>
      <c r="D15" s="38" t="inlineStr">
        <is>
          <t>Для работы вне съёмочной площадки</t>
        </is>
      </c>
      <c r="E15" s="38" t="inlineStr">
        <is>
          <t>dynamic_table</t>
        </is>
      </c>
      <c r="F15" s="39" t="inlineStr">
        <is>
          <t>Form002</t>
        </is>
      </c>
      <c r="G15" s="38" t="inlineStr">
        <is>
          <t>Аналогично Block6</t>
        </is>
      </c>
      <c r="H15" s="38" t="inlineStr">
        <is>
          <t>Да</t>
        </is>
      </c>
      <c r="I15" s="38" t="inlineStr">
        <is>
          <t>—</t>
        </is>
      </c>
      <c r="J15" s="38" t="inlineStr">
        <is>
          <t>investment → амортизация</t>
        </is>
      </c>
    </row>
    <row r="16">
      <c r="A16" s="39" t="inlineStr">
        <is>
          <t>Block8</t>
        </is>
      </c>
      <c r="B16" s="38" t="inlineStr">
        <is>
          <t>Section2</t>
        </is>
      </c>
      <c r="C16" s="38" t="inlineStr">
        <is>
          <t>Программное обеспечение</t>
        </is>
      </c>
      <c r="D16" s="38" t="inlineStr">
        <is>
          <t>Программы и сервисы</t>
        </is>
      </c>
      <c r="E16" s="38" t="inlineStr">
        <is>
          <t>dynamic_tables</t>
        </is>
      </c>
      <c r="F16" s="39" t="inlineStr">
        <is>
          <t>Form003, Form004</t>
        </is>
      </c>
      <c r="G16" s="38" t="inlineStr">
        <is>
          <t>Form003 — подписки (переменные). Form004 — разовые покупки (амортизация)</t>
        </is>
      </c>
      <c r="H16" s="38" t="inlineStr">
        <is>
          <t>Да</t>
        </is>
      </c>
      <c r="I16" s="38" t="inlineStr">
        <is>
          <t>—</t>
        </is>
      </c>
      <c r="J16" s="38" t="inlineStr">
        <is>
          <t>Form003 → переменные, Form004 → амортизация</t>
        </is>
      </c>
    </row>
    <row r="17">
      <c r="A17" s="39" t="inlineStr">
        <is>
          <t>Block9</t>
        </is>
      </c>
      <c r="B17" s="38" t="inlineStr">
        <is>
          <t>Section2</t>
        </is>
      </c>
      <c r="C17" s="38" t="inlineStr">
        <is>
          <t>Рабочее место</t>
        </is>
      </c>
      <c r="D17" s="38" t="inlineStr">
        <is>
          <t>Работаете из дома или арендуете?</t>
        </is>
      </c>
      <c r="E17" s="38" t="inlineStr">
        <is>
          <t>dropdown + dynamic_table</t>
        </is>
      </c>
      <c r="F17" s="39" t="inlineStr">
        <is>
          <t>Form005, Form013</t>
        </is>
      </c>
      <c r="G17" s="38" t="inlineStr">
        <is>
          <t>Form013 — обустройство (амортизация). Form005 — содержание (переменные, по доле площади)</t>
        </is>
      </c>
      <c r="H17" s="38" t="inlineStr">
        <is>
          <t>Да</t>
        </is>
      </c>
      <c r="I17" s="38" t="inlineStr">
        <is>
          <t>—</t>
        </is>
      </c>
      <c r="J17" s="38" t="inlineStr">
        <is>
          <t>Form013 → амортизация, Form005 → переменные</t>
        </is>
      </c>
    </row>
    <row r="18">
      <c r="A18" s="39" t="inlineStr">
        <is>
          <t>Block10</t>
        </is>
      </c>
      <c r="B18" s="38" t="inlineStr">
        <is>
          <t>Section2</t>
        </is>
      </c>
      <c r="C18" s="38" t="inlineStr">
        <is>
          <t>Проф. обучение</t>
        </is>
      </c>
      <c r="D18" s="38" t="inlineStr">
        <is>
          <t>—</t>
        </is>
      </c>
      <c r="E18" s="38" t="inlineStr">
        <is>
          <t>input_extended</t>
        </is>
      </c>
      <c r="F18" s="39" t="inlineStr">
        <is>
          <t>Form006</t>
        </is>
      </c>
      <c r="G18" s="38" t="inlineStr">
        <is>
          <t>Стоимость курса, месяцев без дохода, срок амортизации. Упущенную выгоду можно отключить</t>
        </is>
      </c>
      <c r="H18" s="38" t="inlineStr">
        <is>
          <t>Да</t>
        </is>
      </c>
      <c r="I18" s="38" t="inlineStr">
        <is>
          <t>—</t>
        </is>
      </c>
      <c r="J18" s="38" t="inlineStr">
        <is>
          <t>investment → амортизация</t>
        </is>
      </c>
    </row>
    <row r="19">
      <c r="A19" s="45" t="inlineStr">
        <is>
          <t>Block12</t>
        </is>
      </c>
      <c r="B19" s="44" t="inlineStr">
        <is>
          <t>Section2</t>
        </is>
      </c>
      <c r="C19" s="44" t="inlineStr">
        <is>
          <t>Создание сайта</t>
        </is>
      </c>
      <c r="D19" s="44" t="inlineStr">
        <is>
          <t>Сами делали (часы) или нанимали (₽)?</t>
        </is>
      </c>
      <c r="E19" s="44" t="inlineStr">
        <is>
          <t>radio + input</t>
        </is>
      </c>
      <c r="F19" s="45" t="inlineStr">
        <is>
          <t>Form014</t>
        </is>
      </c>
      <c r="G19" s="44" t="inlineStr">
        <is>
          <t>ВНИМАНИЕ: вариант «сам» создаёт цикл. Формула ниже, в блоке «Особые случаи»</t>
        </is>
      </c>
      <c r="H19" s="44" t="inlineStr">
        <is>
          <t>Да</t>
        </is>
      </c>
      <c r="I19" s="44" t="inlineStr">
        <is>
          <t>нанимал, 70 000</t>
        </is>
      </c>
      <c r="J19" s="44" t="inlineStr">
        <is>
          <t>investment → амортизация</t>
        </is>
      </c>
    </row>
    <row r="21">
      <c r="A21" s="2" t="inlineStr">
        <is>
          <t>SECTION 3 — РЕГУЛЯРНЫЕ РАСХОДЫ</t>
        </is>
      </c>
    </row>
    <row r="22" ht="30" customHeight="1" s="48">
      <c r="A22" s="49" t="inlineStr">
        <is>
          <t>ID</t>
        </is>
      </c>
      <c r="B22" s="49" t="inlineStr">
        <is>
          <t>Раздел</t>
        </is>
      </c>
      <c r="C22" s="49" t="inlineStr">
        <is>
          <t>H2 (Заголовок)</t>
        </is>
      </c>
      <c r="D22" s="49" t="inlineStr">
        <is>
          <t>H3 (Подзаголовок)</t>
        </is>
      </c>
      <c r="E22" s="49" t="inlineStr">
        <is>
          <t>Тип</t>
        </is>
      </c>
      <c r="F22" s="49" t="inlineStr">
        <is>
          <t>Формы_ID</t>
        </is>
      </c>
      <c r="G22" s="49" t="inlineStr">
        <is>
          <t>Описание под полем</t>
        </is>
      </c>
      <c r="H22" s="49" t="inlineStr">
        <is>
          <t>Исключаемый</t>
        </is>
      </c>
      <c r="I22" s="49" t="inlineStr">
        <is>
          <t>По умолч.</t>
        </is>
      </c>
      <c r="J22" s="49" t="inlineStr">
        <is>
          <t>Куда идёт в расчёт</t>
        </is>
      </c>
    </row>
    <row r="23">
      <c r="A23" s="45" t="inlineStr">
        <is>
          <t>Block11</t>
        </is>
      </c>
      <c r="B23" s="44" t="inlineStr">
        <is>
          <t>Section3</t>
        </is>
      </c>
      <c r="C23" s="44" t="inlineStr">
        <is>
          <t>Поиск заказов (продвижение и реклама)</t>
        </is>
      </c>
      <c r="D23" s="44" t="inlineStr">
        <is>
          <t>—</t>
        </is>
      </c>
      <c r="E23" s="44" t="inlineStr">
        <is>
          <t>2 parts</t>
        </is>
      </c>
      <c r="F23" s="45" t="inlineStr">
        <is>
          <t>Form009, Form010</t>
        </is>
      </c>
      <c r="G23" s="44" t="inlineStr">
        <is>
          <t>Form009 — время (часов/день). Form010 — деньги (реклама, домен, хостинг). ПЕРЕНЕСЁН из Section2</t>
        </is>
      </c>
      <c r="H23" s="44" t="inlineStr">
        <is>
          <t>Да</t>
        </is>
      </c>
      <c r="I23" s="44" t="inlineStr">
        <is>
          <t>2 ч/день</t>
        </is>
      </c>
      <c r="J23" s="44" t="inlineStr">
        <is>
          <t>Form009 → promo_time, Form010 → переменные</t>
        </is>
      </c>
    </row>
    <row r="24">
      <c r="A24" s="39" t="inlineStr">
        <is>
          <t>Block14</t>
        </is>
      </c>
      <c r="B24" s="38" t="inlineStr">
        <is>
          <t>Section3</t>
        </is>
      </c>
      <c r="C24" s="38" t="inlineStr">
        <is>
          <t>Учёт и планирование</t>
        </is>
      </c>
      <c r="D24" s="38" t="inlineStr">
        <is>
          <t>Сами ведёте или нанимаете бухгалтера?</t>
        </is>
      </c>
      <c r="E24" s="38" t="inlineStr">
        <is>
          <t>dropdown</t>
        </is>
      </c>
      <c r="F24" s="39" t="inlineStr">
        <is>
          <t>Form011</t>
        </is>
      </c>
      <c r="G24" s="38" t="inlineStr">
        <is>
          <t>Взаимоисключающий выбор: либо часы, либо рубли. Оба сразу не учитываются</t>
        </is>
      </c>
      <c r="H24" s="38" t="inlineStr">
        <is>
          <t>Да</t>
        </is>
      </c>
      <c r="I24" s="38" t="inlineStr">
        <is>
          <t>бухгалтер 10 000/мес</t>
        </is>
      </c>
      <c r="J24" s="38" t="inlineStr">
        <is>
          <t>время ИЛИ переменные</t>
        </is>
      </c>
    </row>
    <row r="25">
      <c r="A25" s="45" t="inlineStr">
        <is>
          <t>Block15</t>
        </is>
      </c>
      <c r="B25" s="44" t="inlineStr">
        <is>
          <t>Section3</t>
        </is>
      </c>
      <c r="C25" s="44" t="inlineStr">
        <is>
          <t>Банковские расходы</t>
        </is>
      </c>
      <c r="D25" s="44" t="inlineStr">
        <is>
          <t>—</t>
        </is>
      </c>
      <c r="E25" s="44" t="inlineStr">
        <is>
          <t>2 parts</t>
        </is>
      </c>
      <c r="F25" s="45" t="inlineStr">
        <is>
          <t>Form007, Form008</t>
        </is>
      </c>
      <c r="G25" s="44" t="inlineStr">
        <is>
          <t>Form007 — РКО и СМС (расход). Form008 — эквайринг (% с оборота, в знаменатель)</t>
        </is>
      </c>
      <c r="H25" s="44" t="inlineStr">
        <is>
          <t>Да</t>
        </is>
      </c>
      <c r="I25" s="44" t="inlineStr">
        <is>
          <t>2,7%</t>
        </is>
      </c>
      <c r="J25" s="44" t="inlineStr">
        <is>
          <t>Form007 → переменные, Form008 → знаменатель</t>
        </is>
      </c>
    </row>
    <row r="27">
      <c r="A27" s="2" t="inlineStr">
        <is>
          <t>SECTION 4 — ВРЕМЯ НА ПРОЕКТ  (новый раздел)</t>
        </is>
      </c>
    </row>
    <row r="28" ht="30" customHeight="1" s="48">
      <c r="A28" s="49" t="inlineStr">
        <is>
          <t>ID</t>
        </is>
      </c>
      <c r="B28" s="49" t="inlineStr">
        <is>
          <t>Раздел</t>
        </is>
      </c>
      <c r="C28" s="49" t="inlineStr">
        <is>
          <t>H2 (Заголовок)</t>
        </is>
      </c>
      <c r="D28" s="49" t="inlineStr">
        <is>
          <t>H3 (Подзаголовок)</t>
        </is>
      </c>
      <c r="E28" s="49" t="inlineStr">
        <is>
          <t>Тип</t>
        </is>
      </c>
      <c r="F28" s="49" t="inlineStr">
        <is>
          <t>Формы_ID</t>
        </is>
      </c>
      <c r="G28" s="49" t="inlineStr">
        <is>
          <t>Описание под полем</t>
        </is>
      </c>
      <c r="H28" s="49" t="inlineStr">
        <is>
          <t>Исключаемый</t>
        </is>
      </c>
      <c r="I28" s="49" t="inlineStr">
        <is>
          <t>По умолч.</t>
        </is>
      </c>
      <c r="J28" s="49" t="inlineStr">
        <is>
          <t>Куда идёт в расчёт</t>
        </is>
      </c>
    </row>
    <row r="29">
      <c r="A29" s="45" t="inlineStr">
        <is>
          <t>Block13</t>
        </is>
      </c>
      <c r="B29" s="44" t="inlineStr">
        <is>
          <t>Section4</t>
        </is>
      </c>
      <c r="C29" s="44" t="inlineStr">
        <is>
          <t>Работа с клиентом</t>
        </is>
      </c>
      <c r="D29" s="44" t="inlineStr">
        <is>
          <t>Время на административную работу по одному проекту</t>
        </is>
      </c>
      <c r="E29" s="44" t="inlineStr">
        <is>
          <t>input_number</t>
        </is>
      </c>
      <c r="F29" s="45" t="inlineStr">
        <is>
          <t>Form012</t>
        </is>
      </c>
      <c r="G29" s="44" t="inlineStr">
        <is>
          <t>ПЕРЕНЕСЁН из Section3: это время, а не расход</t>
        </is>
      </c>
      <c r="H29" s="44" t="inlineStr">
        <is>
          <t>Да</t>
        </is>
      </c>
      <c r="I29" s="44" t="inlineStr">
        <is>
          <t>1 ч/проект</t>
        </is>
      </c>
      <c r="J29" s="44" t="inlineStr">
        <is>
          <t>client_time → проектное время</t>
        </is>
      </c>
    </row>
    <row r="31">
      <c r="A31" s="2" t="inlineStr">
        <is>
          <t>SECTION 5 — РЕЗУЛЬТАТ  (отсутствовал в спецификации)</t>
        </is>
      </c>
    </row>
    <row r="32" ht="30" customHeight="1" s="48">
      <c r="A32" s="49" t="inlineStr">
        <is>
          <t>ID</t>
        </is>
      </c>
      <c r="B32" s="49" t="inlineStr">
        <is>
          <t>Раздел</t>
        </is>
      </c>
      <c r="C32" s="49" t="inlineStr">
        <is>
          <t>H2 (Заголовок)</t>
        </is>
      </c>
      <c r="D32" s="49" t="inlineStr">
        <is>
          <t>H3 (Подзаголовок)</t>
        </is>
      </c>
      <c r="E32" s="49" t="inlineStr">
        <is>
          <t>Тип</t>
        </is>
      </c>
      <c r="F32" s="49" t="inlineStr">
        <is>
          <t>Формы_ID</t>
        </is>
      </c>
      <c r="G32" s="49" t="inlineStr">
        <is>
          <t>Описание под полем</t>
        </is>
      </c>
      <c r="H32" s="49" t="inlineStr">
        <is>
          <t>Исключаемый</t>
        </is>
      </c>
      <c r="I32" s="49" t="inlineStr">
        <is>
          <t>По умолч.</t>
        </is>
      </c>
      <c r="J32" s="49" t="inlineStr">
        <is>
          <t>Куда идёт в расчёт</t>
        </is>
      </c>
    </row>
    <row r="33">
      <c r="A33" s="50" t="inlineStr">
        <is>
          <t>Block16</t>
        </is>
      </c>
      <c r="B33" s="51" t="inlineStr">
        <is>
          <t>Section5</t>
        </is>
      </c>
      <c r="C33" s="51" t="inlineStr">
        <is>
          <t>Ваша ставка часа</t>
        </is>
      </c>
      <c r="D33" s="51" t="inlineStr">
        <is>
          <t>Сколько должен стоить час вашей съёмки</t>
        </is>
      </c>
      <c r="E33" s="51" t="inlineStr">
        <is>
          <t>report</t>
        </is>
      </c>
      <c r="F33" s="50" t="inlineStr">
        <is>
          <t>—</t>
        </is>
      </c>
      <c r="G33" s="51" t="inlineStr">
        <is>
          <t>real_rate по выбранному режиму + стоимость проекта</t>
        </is>
      </c>
      <c r="H33" s="51" t="inlineStr">
        <is>
          <t>Нет</t>
        </is>
      </c>
      <c r="I33" s="51" t="inlineStr">
        <is>
          <t>—</t>
        </is>
      </c>
      <c r="J33" s="51" t="inlineStr">
        <is>
          <t>вывод</t>
        </is>
      </c>
    </row>
    <row r="34">
      <c r="A34" s="50" t="inlineStr">
        <is>
          <t>Block17</t>
        </is>
      </c>
      <c r="B34" s="51" t="inlineStr">
        <is>
          <t>Section5</t>
        </is>
      </c>
      <c r="C34" s="51" t="inlineStr">
        <is>
          <t>Сколько вы теряете</t>
        </is>
      </c>
      <c r="D34" s="51" t="inlineStr">
        <is>
          <t>Сравнение с текущей ставкой</t>
        </is>
      </c>
      <c r="E34" s="51" t="inlineStr">
        <is>
          <t>report</t>
        </is>
      </c>
      <c r="F34" s="50" t="inlineStr">
        <is>
          <t>—</t>
        </is>
      </c>
      <c r="G34" s="51" t="inlineStr">
        <is>
          <t>Работает только если заполнен Block2. Наивная vs полная ставка</t>
        </is>
      </c>
      <c r="H34" s="51" t="inlineStr">
        <is>
          <t>Да</t>
        </is>
      </c>
      <c r="I34" s="51" t="inlineStr">
        <is>
          <t>—</t>
        </is>
      </c>
      <c r="J34" s="51" t="inlineStr">
        <is>
          <t>вывод</t>
        </is>
      </c>
    </row>
    <row r="35">
      <c r="A35" s="50" t="inlineStr">
        <is>
          <t>Block18</t>
        </is>
      </c>
      <c r="B35" s="51" t="inlineStr">
        <is>
          <t>Section5</t>
        </is>
      </c>
      <c r="C35" s="51" t="inlineStr">
        <is>
          <t>Сравнение режимов</t>
        </is>
      </c>
      <c r="D35" s="51" t="inlineStr">
        <is>
          <t>Какой режим выгоднее</t>
        </is>
      </c>
      <c r="E35" s="51" t="inlineStr">
        <is>
          <t>report</t>
        </is>
      </c>
      <c r="F35" s="50" t="inlineStr">
        <is>
          <t>—</t>
        </is>
      </c>
      <c r="G35" s="51" t="inlineStr">
        <is>
          <t>Шесть колонок, подсветка минимума. Предупреждения о лимитах НПД / НДС</t>
        </is>
      </c>
      <c r="H35" s="51" t="inlineStr">
        <is>
          <t>Нет</t>
        </is>
      </c>
      <c r="I35" s="51" t="inlineStr">
        <is>
          <t>—</t>
        </is>
      </c>
      <c r="J35" s="51" t="inlineStr">
        <is>
          <t>вывод</t>
        </is>
      </c>
    </row>
    <row r="38">
      <c r="A38" s="2" t="inlineStr">
        <is>
          <t>СПИСОК ФОРМ  (ошибки #ИМЯ? устранены — связи проставлены явно)</t>
        </is>
      </c>
    </row>
    <row r="39">
      <c r="A39" s="4" t="inlineStr">
        <is>
          <t>Form_ID</t>
        </is>
      </c>
      <c r="B39" s="4" t="inlineStr">
        <is>
          <t>Блок_ID</t>
        </is>
      </c>
      <c r="C39" s="4" t="inlineStr">
        <is>
          <t>Наименование</t>
        </is>
      </c>
      <c r="D39" s="4" t="inlineStr">
        <is>
          <t>Что содержит</t>
        </is>
      </c>
      <c r="E39" s="4" t="inlineStr">
        <is>
          <t>Куда попадает</t>
        </is>
      </c>
    </row>
    <row r="40">
      <c r="A40" s="39" t="inlineStr">
        <is>
          <t>Form001</t>
        </is>
      </c>
      <c r="B40" s="39" t="inlineStr">
        <is>
          <t>Block6</t>
        </is>
      </c>
      <c r="C40" s="38" t="inlineStr">
        <is>
          <t>Съёмочное оборудование</t>
        </is>
      </c>
      <c r="D40" s="38" t="inlineStr">
        <is>
          <t>позиция, стоимость, срок</t>
        </is>
      </c>
      <c r="E40" s="38" t="inlineStr">
        <is>
          <t>амортизация</t>
        </is>
      </c>
    </row>
    <row r="41">
      <c r="A41" s="39" t="inlineStr">
        <is>
          <t>Form002</t>
        </is>
      </c>
      <c r="B41" s="39" t="inlineStr">
        <is>
          <t>Block7</t>
        </is>
      </c>
      <c r="C41" s="38" t="inlineStr">
        <is>
          <t>Офисное оборудование</t>
        </is>
      </c>
      <c r="D41" s="38" t="inlineStr">
        <is>
          <t>позиция, стоимость, срок</t>
        </is>
      </c>
      <c r="E41" s="38" t="inlineStr">
        <is>
          <t>амортизация</t>
        </is>
      </c>
    </row>
    <row r="42">
      <c r="A42" s="39" t="inlineStr">
        <is>
          <t>Form003</t>
        </is>
      </c>
      <c r="B42" s="39" t="inlineStr">
        <is>
          <t>Block8</t>
        </is>
      </c>
      <c r="C42" s="38" t="inlineStr">
        <is>
          <t>ПО — подписки</t>
        </is>
      </c>
      <c r="D42" s="38" t="inlineStr">
        <is>
          <t>позиция, стоимость, период</t>
        </is>
      </c>
      <c r="E42" s="38" t="inlineStr">
        <is>
          <t>переменные</t>
        </is>
      </c>
    </row>
    <row r="43">
      <c r="A43" s="39" t="inlineStr">
        <is>
          <t>Form004</t>
        </is>
      </c>
      <c r="B43" s="39" t="inlineStr">
        <is>
          <t>Block8</t>
        </is>
      </c>
      <c r="C43" s="38" t="inlineStr">
        <is>
          <t>ПО — разовые покупки</t>
        </is>
      </c>
      <c r="D43" s="38" t="inlineStr">
        <is>
          <t>позиция, стоимость, срок</t>
        </is>
      </c>
      <c r="E43" s="38" t="inlineStr">
        <is>
          <t>амортизация</t>
        </is>
      </c>
    </row>
    <row r="44">
      <c r="A44" s="39" t="inlineStr">
        <is>
          <t>Form005</t>
        </is>
      </c>
      <c r="B44" s="39" t="inlineStr">
        <is>
          <t>Block9</t>
        </is>
      </c>
      <c r="C44" s="38" t="inlineStr">
        <is>
          <t>Рабочее место — содержание</t>
        </is>
      </c>
      <c r="D44" s="38" t="inlineStr">
        <is>
          <t>аренда, коммуналка, площади</t>
        </is>
      </c>
      <c r="E44" s="38" t="inlineStr">
        <is>
          <t>переменные (по доле)</t>
        </is>
      </c>
    </row>
    <row r="45">
      <c r="A45" s="39" t="inlineStr">
        <is>
          <t>Form006</t>
        </is>
      </c>
      <c r="B45" s="39" t="inlineStr">
        <is>
          <t>Block10</t>
        </is>
      </c>
      <c r="C45" s="38" t="inlineStr">
        <is>
          <t>Проф. обучение</t>
        </is>
      </c>
      <c r="D45" s="38" t="inlineStr">
        <is>
          <t>курс, месяцев, срок, флаг упущенной выгоды</t>
        </is>
      </c>
      <c r="E45" s="38" t="inlineStr">
        <is>
          <t>амортизация</t>
        </is>
      </c>
    </row>
    <row r="46">
      <c r="A46" s="39" t="inlineStr">
        <is>
          <t>Form007</t>
        </is>
      </c>
      <c r="B46" s="39" t="inlineStr">
        <is>
          <t>Block15</t>
        </is>
      </c>
      <c r="C46" s="38" t="inlineStr">
        <is>
          <t>Банк — регулярные</t>
        </is>
      </c>
      <c r="D46" s="38" t="inlineStr">
        <is>
          <t>РКО, СМС</t>
        </is>
      </c>
      <c r="E46" s="38" t="inlineStr">
        <is>
          <t>переменные</t>
        </is>
      </c>
    </row>
    <row r="47">
      <c r="A47" s="39" t="inlineStr">
        <is>
          <t>Form008</t>
        </is>
      </c>
      <c r="B47" s="39" t="inlineStr">
        <is>
          <t>Block15</t>
        </is>
      </c>
      <c r="C47" s="38" t="inlineStr">
        <is>
          <t>Банк — эквайринг</t>
        </is>
      </c>
      <c r="D47" s="38" t="inlineStr">
        <is>
          <t>% и доля безнала</t>
        </is>
      </c>
      <c r="E47" s="38" t="inlineStr">
        <is>
          <t>знаменатель формулы</t>
        </is>
      </c>
    </row>
    <row r="48">
      <c r="A48" s="39" t="inlineStr">
        <is>
          <t>Form009</t>
        </is>
      </c>
      <c r="B48" s="39" t="inlineStr">
        <is>
          <t>Block11</t>
        </is>
      </c>
      <c r="C48" s="38" t="inlineStr">
        <is>
          <t>Продвижение — время</t>
        </is>
      </c>
      <c r="D48" s="38" t="inlineStr">
        <is>
          <t>часов/день</t>
        </is>
      </c>
      <c r="E48" s="38" t="inlineStr">
        <is>
          <t>promo_time</t>
        </is>
      </c>
    </row>
    <row r="49">
      <c r="A49" s="39" t="inlineStr">
        <is>
          <t>Form010</t>
        </is>
      </c>
      <c r="B49" s="39" t="inlineStr">
        <is>
          <t>Block11</t>
        </is>
      </c>
      <c r="C49" s="38" t="inlineStr">
        <is>
          <t>Продвижение — деньги</t>
        </is>
      </c>
      <c r="D49" s="38" t="inlineStr">
        <is>
          <t>реклама, домен, хостинг</t>
        </is>
      </c>
      <c r="E49" s="38" t="inlineStr">
        <is>
          <t>переменные</t>
        </is>
      </c>
    </row>
    <row r="50">
      <c r="A50" s="39" t="inlineStr">
        <is>
          <t>Form011</t>
        </is>
      </c>
      <c r="B50" s="39" t="inlineStr">
        <is>
          <t>Block14</t>
        </is>
      </c>
      <c r="C50" s="38" t="inlineStr">
        <is>
          <t>Учёт и планирование</t>
        </is>
      </c>
      <c r="D50" s="38" t="inlineStr">
        <is>
          <t>радио: сам / бухгалтер</t>
        </is>
      </c>
      <c r="E50" s="38" t="inlineStr">
        <is>
          <t>время ИЛИ переменные</t>
        </is>
      </c>
    </row>
    <row r="51">
      <c r="A51" s="39" t="inlineStr">
        <is>
          <t>Form012</t>
        </is>
      </c>
      <c r="B51" s="39" t="inlineStr">
        <is>
          <t>Block13</t>
        </is>
      </c>
      <c r="C51" s="38" t="inlineStr">
        <is>
          <t>Работа с клиентом</t>
        </is>
      </c>
      <c r="D51" s="38" t="inlineStr">
        <is>
          <t>часов на проект</t>
        </is>
      </c>
      <c r="E51" s="38" t="inlineStr">
        <is>
          <t>проектное время</t>
        </is>
      </c>
    </row>
    <row r="52">
      <c r="A52" s="39" t="inlineStr">
        <is>
          <t>Form013</t>
        </is>
      </c>
      <c r="B52" s="39" t="inlineStr">
        <is>
          <t>Block9</t>
        </is>
      </c>
      <c r="C52" s="38" t="inlineStr">
        <is>
          <t>Рабочее место — обустройство</t>
        </is>
      </c>
      <c r="D52" s="38" t="inlineStr">
        <is>
          <t>мебель, ремонт</t>
        </is>
      </c>
      <c r="E52" s="38" t="inlineStr">
        <is>
          <t>амортизация</t>
        </is>
      </c>
    </row>
    <row r="53">
      <c r="A53" s="39" t="inlineStr">
        <is>
          <t>Form014</t>
        </is>
      </c>
      <c r="B53" s="39" t="inlineStr">
        <is>
          <t>Block12</t>
        </is>
      </c>
      <c r="C53" s="38" t="inlineStr">
        <is>
          <t>Создание сайта</t>
        </is>
      </c>
      <c r="D53" s="38" t="inlineStr">
        <is>
          <t>радио: сам (часы) / нанимал (₽)</t>
        </is>
      </c>
      <c r="E53" s="38" t="inlineStr">
        <is>
          <t>амортизация</t>
        </is>
      </c>
    </row>
    <row r="54">
      <c r="A54" s="39" t="inlineStr">
        <is>
          <t>Form015</t>
        </is>
      </c>
      <c r="B54" s="39" t="inlineStr">
        <is>
          <t>Block4</t>
        </is>
      </c>
      <c r="C54" s="38" t="inlineStr">
        <is>
          <t>Режим — выбор</t>
        </is>
      </c>
      <c r="D54" s="38" t="inlineStr">
        <is>
          <t>НПД / УСН / АУСН</t>
        </is>
      </c>
      <c r="E54" s="38" t="inlineStr">
        <is>
          <t>ставка налога</t>
        </is>
      </c>
    </row>
    <row r="55">
      <c r="A55" s="39" t="inlineStr">
        <is>
          <t>Form016</t>
        </is>
      </c>
      <c r="B55" s="39" t="inlineStr">
        <is>
          <t>Block4</t>
        </is>
      </c>
      <c r="C55" s="38" t="inlineStr">
        <is>
          <t>Режим — структура клиентов</t>
        </is>
      </c>
      <c r="D55" s="38" t="inlineStr">
        <is>
          <t>доля физлиц и юрлиц</t>
        </is>
      </c>
      <c r="E55" s="38" t="inlineStr">
        <is>
          <t>ставка НПД</t>
        </is>
      </c>
    </row>
    <row r="57">
      <c r="A57" s="2" t="inlineStr">
        <is>
          <t>ОСОБЫЕ СЛУЧАИ И ЗАМЕЧАНИЯ</t>
        </is>
      </c>
    </row>
    <row r="58">
      <c r="A58" t="inlineStr">
        <is>
          <t>BLOCK12 «САЙТ СВОИМИ РУКАМИ» — НАСТОЯЩАЯ ЦИКЛИЧЕСКАЯ ЗАВИСИМОСТЬ.</t>
        </is>
      </c>
    </row>
    <row r="59">
      <c r="A59" t="inlineStr">
        <is>
          <t xml:space="preserve">  В описании сказано «Часы переводятся в ₽ через Ф-11», то есть через ставку часа. Но ставка зависит от расходов,</t>
        </is>
      </c>
    </row>
    <row r="60">
      <c r="A60" t="inlineStr">
        <is>
          <t xml:space="preserve">  а стоимость сайта входит в расходы. Замкнутый круг: C → R → ставка → сайт → C.</t>
        </is>
      </c>
    </row>
    <row r="61">
      <c r="A61" t="inlineStr">
        <is>
          <t xml:space="preserve">  Решается аналитически, итерации не нужны:</t>
        </is>
      </c>
    </row>
    <row r="62"/>
    <row r="63">
      <c r="A63" t="inlineStr">
        <is>
          <t xml:space="preserve">      R = (N + C_без_сайта) / ( (1 − ставка_налога − эквайринг) − H / (срок_лет × съёмочных_часов) )</t>
        </is>
      </c>
    </row>
    <row r="64"/>
    <row r="65">
      <c r="A65" t="inlineStr">
        <is>
          <t xml:space="preserve">  где H — часы, потраченные на сайт. Проверка при H = 80 ч, срок 7 лет: ставка 8 965 ₽/ч, сайт 717 211 ₽,</t>
        </is>
      </c>
    </row>
    <row r="66">
      <c r="A66" t="inlineStr">
        <is>
          <t xml:space="preserve">  амортизация 102 459 ₽/год. Формула расходится при H ≥ 1 707 ч — поставьте валидацию.</t>
        </is>
      </c>
    </row>
    <row r="67">
      <c r="A67" t="inlineStr">
        <is>
          <t xml:space="preserve">  Тот же приём применим к любому «сделал сам» блоку.</t>
        </is>
      </c>
    </row>
    <row r="68">
      <c r="A68" t="inlineStr">
        <is>
          <t xml:space="preserve">  ПРАКТИЧЕСКИ: оценивать свой сайт в 717 тысяч методологически спорно. Рекомендую оценивать часы</t>
        </is>
      </c>
    </row>
    <row r="69">
      <c r="A69" t="inlineStr">
        <is>
          <t xml:space="preserve">  по РЫНОЧНОЙ цене подрядчика, а не по своей ставке — это и честнее, и убирает цикл полностью.</t>
        </is>
      </c>
    </row>
    <row r="70"/>
    <row r="71">
      <c r="A71" t="inlineStr">
        <is>
          <t>BLOCK10 «ОБУЧЕНИЕ» — цикла НЕТ: упущенная выгода привязана к желаемому доходу (вводу), а не к расчётной ставке.</t>
        </is>
      </c>
    </row>
    <row r="72"/>
    <row r="73">
      <c r="A73" t="inlineStr">
        <is>
          <t>BLOCK4 «РЕЖИМ НАЛОГООБЛОЖЕНИЯ» — убрать «среднее значение» для НПД. Ставки 5% не существует.</t>
        </is>
      </c>
    </row>
    <row r="74">
      <c r="A74" t="inlineStr">
        <is>
          <t xml:space="preserve">  Form016 должна спрашивать долю выручки от юрлиц; эффективная ставка = 4% × доля_физлиц + 6% × доля_юрлиц.</t>
        </is>
      </c>
    </row>
    <row r="75"/>
    <row r="76">
      <c r="A76" t="inlineStr">
        <is>
          <t>BLOCK3 «ПРОДОЛЖИТЕЛЬНОСТЬ СЪЁМКИ» — значение по умолчанию 0 даёт деление на ноль во всей цепочке.</t>
        </is>
      </c>
    </row>
    <row r="77">
      <c r="A77" t="inlineStr">
        <is>
          <t xml:space="preserve">  Поставлено 7. В описании обещано «значение, оптимально распределяющее рабочее время» — 0 этому не отвечает.</t>
        </is>
      </c>
    </row>
    <row r="78"/>
    <row r="79">
      <c r="A79" t="inlineStr">
        <is>
          <t>ОТСУТСТВОВАЛ БЛОК «КОЭФФИЦИЕНТ ОБРАБОТКИ» (Block3a). Без него проектное время посчитать нельзя:</t>
        </is>
      </c>
    </row>
    <row r="80">
      <c r="A80" t="inlineStr">
        <is>
          <t xml:space="preserve">  проектное = съёмка × (1 + K) + работа с клиентом. В листе «Расчёт» K = 3, но поля ввода в спецификации не было.</t>
        </is>
      </c>
    </row>
    <row r="81"/>
    <row r="82">
      <c r="A82" t="inlineStr">
        <is>
          <t>ПЕРЕПУТАНЫ РАЗДЕЛЫ:</t>
        </is>
      </c>
    </row>
    <row r="83">
      <c r="A83" t="inlineStr">
        <is>
          <t xml:space="preserve">  • Block11 (продвижение) стоял в Section2 «Инвестиции», хотя реклама — регулярный расход. Перенесён в Section3.</t>
        </is>
      </c>
    </row>
    <row r="84">
      <c r="A84" t="inlineStr">
        <is>
          <t xml:space="preserve">  • Block13 (работа с клиентом) стоял в Section3 «Регулярные расходы», хотя это ВРЕМЯ, а не деньги.</t>
        </is>
      </c>
    </row>
    <row r="85">
      <c r="A85" t="inlineStr">
        <is>
          <t xml:space="preserve">    Вынесен в новый Section4 «Время на проект» вместе с продолжительностью съёмки по смыслу.</t>
        </is>
      </c>
    </row>
    <row r="86"/>
    <row r="87">
      <c r="A87" t="inlineStr">
        <is>
          <t>BLOCK15 «БАНКОВСКИЕ РАСХОДЫ» — тип был dynamic_table, но форм две и они разной природы:</t>
        </is>
      </c>
    </row>
    <row r="88">
      <c r="A88" t="inlineStr">
        <is>
          <t xml:space="preserve">  РКО и СМС — обычный расход, эквайринг — процент с оборота. Тип изменён на «2 parts», как у Block11.</t>
        </is>
      </c>
    </row>
    <row r="89"/>
    <row r="90">
      <c r="A90" t="inlineStr">
        <is>
          <t>СТОЛБЕЦ «НЕ УЧИТЫВАТЬ В РАСЧЁТЕ» содержал «Лож» — опечатка от ЛОЖЬ/FALSE. Заменён на явные Да/Нет:</t>
        </is>
      </c>
    </row>
    <row r="91">
      <c r="A91" t="inlineStr">
        <is>
          <t xml:space="preserve">  смысл столбца — «можно ли исключить блок», а не булево значение флага.</t>
        </is>
      </c>
    </row>
    <row r="92"/>
    <row r="93">
      <c r="A93" t="inlineStr">
        <is>
          <t>НЕ ХВАТАЛО SECTION 5 «РЕЗУЛЬТАТ». В глоссарии есть report, naive_rate и current_rate, но блоков вывода</t>
        </is>
      </c>
    </row>
    <row r="94">
      <c r="A94" t="inlineStr">
        <is>
          <t xml:space="preserve">  в спецификации не было. Добавлены Block16–18: ставка, «сколько вы теряете», сравнение режимов.</t>
        </is>
      </c>
    </row>
    <row r="95"/>
    <row r="96">
      <c r="A96" t="inlineStr">
        <is>
          <t>ОПЕЧАТКА: «Офисноге оборудование» → «Офисное» (Block7), «умрлчанию» → «умолчанию» (заголовок столбца).</t>
        </is>
      </c>
    </row>
  </sheetData>
  <mergeCells count="47">
    <mergeCell ref="A85:J85"/>
    <mergeCell ref="A62:J62"/>
    <mergeCell ref="A91:J91"/>
    <mergeCell ref="A81:J81"/>
    <mergeCell ref="A38:J38"/>
    <mergeCell ref="A96:J96"/>
    <mergeCell ref="A72:J72"/>
    <mergeCell ref="A68:J68"/>
    <mergeCell ref="A63:J63"/>
    <mergeCell ref="A93:J93"/>
    <mergeCell ref="A31:J31"/>
    <mergeCell ref="A58:J58"/>
    <mergeCell ref="A67:J67"/>
    <mergeCell ref="A92:J92"/>
    <mergeCell ref="A77:J77"/>
    <mergeCell ref="A83:J83"/>
    <mergeCell ref="A59:J59"/>
    <mergeCell ref="A73:J73"/>
    <mergeCell ref="A64:J64"/>
    <mergeCell ref="A82:J82"/>
    <mergeCell ref="A60:J60"/>
    <mergeCell ref="A1:J1"/>
    <mergeCell ref="A94:J94"/>
    <mergeCell ref="A79:J79"/>
    <mergeCell ref="A61:J61"/>
    <mergeCell ref="A88:J88"/>
    <mergeCell ref="A70:J70"/>
    <mergeCell ref="A78:J78"/>
    <mergeCell ref="A69:J69"/>
    <mergeCell ref="A87:J87"/>
    <mergeCell ref="A65:J65"/>
    <mergeCell ref="A90:J90"/>
    <mergeCell ref="A66:J66"/>
    <mergeCell ref="A80:J80"/>
    <mergeCell ref="A75:J75"/>
    <mergeCell ref="A84:J84"/>
    <mergeCell ref="A89:J89"/>
    <mergeCell ref="A74:J74"/>
    <mergeCell ref="A27:J27"/>
    <mergeCell ref="A3:J3"/>
    <mergeCell ref="A21:J21"/>
    <mergeCell ref="A12:J12"/>
    <mergeCell ref="A57:J57"/>
    <mergeCell ref="A95:J95"/>
    <mergeCell ref="A86:J86"/>
    <mergeCell ref="A76:J76"/>
    <mergeCell ref="A71:J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44" customWidth="1" style="48" min="1" max="1"/>
    <col width="16" customWidth="1" style="48" min="2" max="2"/>
    <col width="16" customWidth="1" style="48" min="3" max="3"/>
    <col width="16" customWidth="1" style="48" min="4" max="4"/>
    <col width="16" customWidth="1" style="48" min="5" max="5"/>
    <col width="16" customWidth="1" style="48" min="6" max="6"/>
  </cols>
  <sheetData>
    <row r="1">
      <c r="A1" s="1" t="inlineStr">
        <is>
          <t>ФОРМЫ — источники расходов</t>
        </is>
      </c>
    </row>
    <row r="3">
      <c r="A3" s="2" t="inlineStr">
        <is>
          <t>Съёмочное оборудование, амортизация</t>
        </is>
      </c>
      <c r="B3" s="3" t="n"/>
      <c r="C3" s="3" t="n"/>
      <c r="D3" s="3" t="n"/>
      <c r="E3" s="3" t="n"/>
      <c r="F3" s="3" t="n"/>
    </row>
    <row r="4">
      <c r="A4" s="4" t="inlineStr">
        <is>
          <t>Позиция</t>
        </is>
      </c>
      <c r="B4" s="4" t="inlineStr">
        <is>
          <t>Стоимость, ₽</t>
        </is>
      </c>
      <c r="C4" s="4" t="inlineStr">
        <is>
          <t>Срок, лет</t>
        </is>
      </c>
      <c r="D4" s="4" t="inlineStr">
        <is>
          <t>Амортизация ₽/год</t>
        </is>
      </c>
    </row>
    <row r="5">
      <c r="A5" t="inlineStr">
        <is>
          <t>Canon EOS R6 Mark II</t>
        </is>
      </c>
      <c r="B5" s="5" t="n">
        <v>239999</v>
      </c>
      <c r="C5" s="6" t="n">
        <v>3</v>
      </c>
      <c r="D5" s="7">
        <f>IF(C5=0,0,B5/C5)</f>
        <v/>
      </c>
    </row>
    <row r="6">
      <c r="A6" t="inlineStr">
        <is>
          <t>Canon RF 24–105mm F4 L</t>
        </is>
      </c>
      <c r="B6" s="5" t="n">
        <v>159999</v>
      </c>
      <c r="C6" s="6" t="n">
        <v>5</v>
      </c>
      <c r="D6" s="7">
        <f>IF(C6=0,0,B6/C6)</f>
        <v/>
      </c>
    </row>
    <row r="7">
      <c r="A7" t="inlineStr">
        <is>
          <t>Godox V1Pro C</t>
        </is>
      </c>
      <c r="B7" s="5" t="n">
        <v>36990</v>
      </c>
      <c r="C7" s="6" t="n">
        <v>5</v>
      </c>
      <c r="D7" s="7">
        <f>IF(C7=0,0,B7/C7)</f>
        <v/>
      </c>
    </row>
    <row r="8">
      <c r="A8" t="inlineStr">
        <is>
          <t>Godox XPro II C</t>
        </is>
      </c>
      <c r="B8" s="5" t="n">
        <v>9355</v>
      </c>
      <c r="C8" s="6" t="n">
        <v>5</v>
      </c>
      <c r="D8" s="7">
        <f>IF(C8=0,0,B8/C8)</f>
        <v/>
      </c>
    </row>
    <row r="9">
      <c r="A9" t="inlineStr">
        <is>
          <t>Аккумулятор LP-E6NH</t>
        </is>
      </c>
      <c r="B9" s="5" t="n">
        <v>12978</v>
      </c>
      <c r="C9" s="6" t="n">
        <v>3</v>
      </c>
      <c r="D9" s="7">
        <f>IF(C9=0,0,B9/C9)</f>
        <v/>
      </c>
    </row>
    <row r="10">
      <c r="A10" t="inlineStr">
        <is>
          <t>SanDisk Extreme PRO 256 ГБ #1</t>
        </is>
      </c>
      <c r="B10" s="5" t="n">
        <v>6990</v>
      </c>
      <c r="C10" s="6" t="n">
        <v>2</v>
      </c>
      <c r="D10" s="7">
        <f>IF(C10=0,0,B10/C10)</f>
        <v/>
      </c>
    </row>
    <row r="11">
      <c r="A11" t="inlineStr">
        <is>
          <t>SanDisk Extreme PRO 256 ГБ #2</t>
        </is>
      </c>
      <c r="B11" s="5" t="n">
        <v>6990</v>
      </c>
      <c r="C11" s="6" t="n">
        <v>2</v>
      </c>
      <c r="D11" s="7">
        <f>IF(C11=0,0,B11/C11)</f>
        <v/>
      </c>
    </row>
    <row r="12">
      <c r="A12" t="inlineStr">
        <is>
          <t>Рюкзак Lowepro ProTactic</t>
        </is>
      </c>
      <c r="B12" s="5" t="n">
        <v>27962</v>
      </c>
      <c r="C12" s="6" t="n">
        <v>7</v>
      </c>
      <c r="D12" s="7">
        <f>IF(C12=0,0,B12/C12)</f>
        <v/>
      </c>
    </row>
    <row r="13">
      <c r="A13" t="inlineStr">
        <is>
          <t>Godox RFT-05 отражатель</t>
        </is>
      </c>
      <c r="B13" s="5" t="n">
        <v>3000</v>
      </c>
      <c r="C13" s="6" t="n">
        <v>5</v>
      </c>
      <c r="D13" s="7">
        <f>IF(C13=0,0,B13/C13)</f>
        <v/>
      </c>
    </row>
    <row r="14">
      <c r="A14" t="inlineStr">
        <is>
          <t>X-Rite ColorChecker</t>
        </is>
      </c>
      <c r="B14" s="5" t="n">
        <v>5000</v>
      </c>
      <c r="C14" s="6" t="n">
        <v>7</v>
      </c>
      <c r="D14" s="7">
        <f>IF(C14=0,0,B14/C14)</f>
        <v/>
      </c>
    </row>
    <row r="15">
      <c r="A15" s="8" t="inlineStr">
        <is>
          <t>ИТОГО, амортизация ₽/год</t>
        </is>
      </c>
      <c r="D15" s="9">
        <f>SUM(D5:D14)</f>
        <v/>
      </c>
    </row>
    <row r="17">
      <c r="A17" s="2" t="inlineStr">
        <is>
          <t>Офисное оборудование, амортизация</t>
        </is>
      </c>
      <c r="B17" s="3" t="n"/>
      <c r="C17" s="3" t="n"/>
      <c r="D17" s="3" t="n"/>
      <c r="E17" s="3" t="n"/>
      <c r="F17" s="3" t="n"/>
    </row>
    <row r="18">
      <c r="A18" s="4" t="inlineStr">
        <is>
          <t>Позиция</t>
        </is>
      </c>
      <c r="B18" s="4" t="inlineStr">
        <is>
          <t>Стоимость, ₽</t>
        </is>
      </c>
      <c r="C18" s="4" t="inlineStr">
        <is>
          <t>Срок, лет</t>
        </is>
      </c>
      <c r="D18" s="4" t="inlineStr">
        <is>
          <t>Амортизация ₽/год</t>
        </is>
      </c>
    </row>
    <row r="19">
      <c r="A19" t="inlineStr">
        <is>
          <t>Системный блок</t>
        </is>
      </c>
      <c r="B19" s="5" t="n">
        <v>180000</v>
      </c>
      <c r="C19" s="6" t="n">
        <v>5</v>
      </c>
      <c r="D19" s="7">
        <f>IF(C19=0,0,B19/C19)</f>
        <v/>
      </c>
    </row>
    <row r="20">
      <c r="A20" t="inlineStr">
        <is>
          <t>Монитор ASUS ProArt</t>
        </is>
      </c>
      <c r="B20" s="5" t="n">
        <v>55000</v>
      </c>
      <c r="C20" s="6" t="n">
        <v>5</v>
      </c>
      <c r="D20" s="7">
        <f>IF(C20=0,0,B20/C20)</f>
        <v/>
      </c>
    </row>
    <row r="21">
      <c r="A21" t="inlineStr">
        <is>
          <t>Calibrite ColorChecker</t>
        </is>
      </c>
      <c r="B21" s="5" t="n">
        <v>30000</v>
      </c>
      <c r="C21" s="6" t="n">
        <v>5</v>
      </c>
      <c r="D21" s="7">
        <f>IF(C21=0,0,B21/C21)</f>
        <v/>
      </c>
    </row>
    <row r="22">
      <c r="A22" t="inlineStr">
        <is>
          <t>Колонки Logitech Z207</t>
        </is>
      </c>
      <c r="B22" s="5" t="n">
        <v>5000</v>
      </c>
      <c r="C22" s="6" t="n">
        <v>5</v>
      </c>
      <c r="D22" s="7">
        <f>IF(C22=0,0,B22/C22)</f>
        <v/>
      </c>
    </row>
    <row r="23">
      <c r="A23" t="inlineStr">
        <is>
          <t>Клавиатура Logitech K380</t>
        </is>
      </c>
      <c r="B23" s="5" t="n">
        <v>3500</v>
      </c>
      <c r="C23" s="6" t="n">
        <v>7</v>
      </c>
      <c r="D23" s="7">
        <f>IF(C23=0,0,B23/C23)</f>
        <v/>
      </c>
    </row>
    <row r="24">
      <c r="A24" t="inlineStr">
        <is>
          <t>Мышь Logitech M650</t>
        </is>
      </c>
      <c r="B24" s="5" t="n">
        <v>4000</v>
      </c>
      <c r="C24" s="6" t="n">
        <v>3</v>
      </c>
      <c r="D24" s="7">
        <f>IF(C24=0,0,B24/C24)</f>
        <v/>
      </c>
    </row>
    <row r="25">
      <c r="A25" t="inlineStr">
        <is>
          <t>Веб-камера Logitech Brio</t>
        </is>
      </c>
      <c r="B25" s="5" t="n">
        <v>15999</v>
      </c>
      <c r="C25" s="6" t="n">
        <v>5</v>
      </c>
      <c r="D25" s="7">
        <f>IF(C25=0,0,B25/C25)</f>
        <v/>
      </c>
    </row>
    <row r="26">
      <c r="A26" t="inlineStr">
        <is>
          <t>Микрофон FIFINE K669B</t>
        </is>
      </c>
      <c r="B26" s="5" t="n">
        <v>3500</v>
      </c>
      <c r="C26" s="6" t="n">
        <v>5</v>
      </c>
      <c r="D26" s="7">
        <f>IF(C26=0,0,B26/C26)</f>
        <v/>
      </c>
    </row>
    <row r="27">
      <c r="A27" t="inlineStr">
        <is>
          <t>Принтер Canon PIXMA G640</t>
        </is>
      </c>
      <c r="B27" s="5" t="n">
        <v>29999</v>
      </c>
      <c r="C27" s="6" t="n">
        <v>5</v>
      </c>
      <c r="D27" s="7">
        <f>IF(C27=0,0,B27/C27)</f>
        <v/>
      </c>
    </row>
    <row r="28">
      <c r="A28" s="8" t="inlineStr">
        <is>
          <t>ИТОГО, амортизация ₽/год</t>
        </is>
      </c>
      <c r="D28" s="9">
        <f>SUM(D19:D27)</f>
        <v/>
      </c>
    </row>
    <row r="30">
      <c r="A30" s="2" t="inlineStr">
        <is>
          <t>ПО разовая покупка + рабочее место + обучение + сайт (амортизация)</t>
        </is>
      </c>
      <c r="B30" s="3" t="n"/>
      <c r="C30" s="3" t="n"/>
      <c r="D30" s="3" t="n"/>
      <c r="E30" s="3" t="n"/>
      <c r="F30" s="3" t="n"/>
    </row>
    <row r="31">
      <c r="A31" s="4" t="inlineStr">
        <is>
          <t>Позиция</t>
        </is>
      </c>
      <c r="B31" s="4" t="inlineStr">
        <is>
          <t>Стоимость, ₽</t>
        </is>
      </c>
      <c r="C31" s="4" t="inlineStr">
        <is>
          <t>Срок, лет</t>
        </is>
      </c>
      <c r="D31" s="4" t="inlineStr">
        <is>
          <t>Амортизация ₽/год</t>
        </is>
      </c>
    </row>
    <row r="32">
      <c r="A32" t="inlineStr">
        <is>
          <t>Retouch4me Heal</t>
        </is>
      </c>
      <c r="B32" s="5" t="n">
        <v>6900</v>
      </c>
      <c r="C32" s="6" t="n">
        <v>3</v>
      </c>
      <c r="D32" s="7">
        <f>IF(C32=0,0,B32/C32)</f>
        <v/>
      </c>
    </row>
    <row r="33">
      <c r="A33" t="inlineStr">
        <is>
          <t>Retouch4me Dodge &amp; Burn</t>
        </is>
      </c>
      <c r="B33" s="5" t="n">
        <v>6900</v>
      </c>
      <c r="C33" s="6" t="n">
        <v>3</v>
      </c>
      <c r="D33" s="7">
        <f>IF(C33=0,0,B33/C33)</f>
        <v/>
      </c>
    </row>
    <row r="34">
      <c r="A34" t="inlineStr">
        <is>
          <t>Retouch4me Fabric</t>
        </is>
      </c>
      <c r="B34" s="5" t="n">
        <v>6900</v>
      </c>
      <c r="C34" s="6" t="n">
        <v>3</v>
      </c>
      <c r="D34" s="7">
        <f>IF(C34=0,0,B34/C34)</f>
        <v/>
      </c>
    </row>
    <row r="35">
      <c r="A35" t="inlineStr">
        <is>
          <t>Retouch4me Clean Backdrop</t>
        </is>
      </c>
      <c r="B35" s="5" t="n">
        <v>6900</v>
      </c>
      <c r="C35" s="6" t="n">
        <v>3</v>
      </c>
      <c r="D35" s="7">
        <f>IF(C35=0,0,B35/C35)</f>
        <v/>
      </c>
    </row>
    <row r="36">
      <c r="A36" t="inlineStr">
        <is>
          <t>Retouch4me Dust</t>
        </is>
      </c>
      <c r="B36" s="5" t="n">
        <v>6900</v>
      </c>
      <c r="C36" s="6" t="n">
        <v>3</v>
      </c>
      <c r="D36" s="7">
        <f>IF(C36=0,0,B36/C36)</f>
        <v/>
      </c>
    </row>
    <row r="37">
      <c r="A37" t="inlineStr">
        <is>
          <t>Мебель</t>
        </is>
      </c>
      <c r="B37" s="5" t="n">
        <v>35000</v>
      </c>
      <c r="C37" s="6" t="n">
        <v>7</v>
      </c>
      <c r="D37" s="7">
        <f>IF(C37=0,0,B37/C37)</f>
        <v/>
      </c>
    </row>
    <row r="38">
      <c r="A38" t="inlineStr">
        <is>
          <t>Косметический ремонт</t>
        </is>
      </c>
      <c r="B38" s="5" t="n">
        <v>30000</v>
      </c>
      <c r="C38" s="6" t="n">
        <v>7</v>
      </c>
      <c r="D38" s="7">
        <f>IF(C38=0,0,B38/C38)</f>
        <v/>
      </c>
    </row>
    <row r="39">
      <c r="A39" t="inlineStr">
        <is>
          <t>Создание сайта (нанимал специалиста)</t>
        </is>
      </c>
      <c r="B39" s="5" t="n">
        <v>70000</v>
      </c>
      <c r="C39" s="6" t="n">
        <v>7</v>
      </c>
      <c r="D39" s="7">
        <f>IF(C39=0,0,B39/C39)</f>
        <v/>
      </c>
    </row>
    <row r="40">
      <c r="A40" t="inlineStr">
        <is>
          <t>Курс по фотографии (стоимость)</t>
        </is>
      </c>
      <c r="B40" s="5" t="n">
        <v>80000</v>
      </c>
      <c r="C40" s="6" t="n">
        <v>7</v>
      </c>
      <c r="D40" s="7">
        <f>(B40+B42*B41*Расчёт!$C$47)/C40</f>
        <v/>
      </c>
      <c r="E40" s="10" t="inlineStr">
        <is>
          <t>упущенная выгода = мес × желаемый доход/мес</t>
        </is>
      </c>
    </row>
    <row r="41">
      <c r="A41" t="inlineStr">
        <is>
          <t xml:space="preserve">   └ месяцев обучения (упущенная выгода)</t>
        </is>
      </c>
      <c r="B41" s="6" t="n">
        <v>4</v>
      </c>
    </row>
    <row r="42">
      <c r="A42" t="inlineStr">
        <is>
          <t xml:space="preserve">   └ учитывать упущенную выгоду (1/0)</t>
        </is>
      </c>
      <c r="B42" s="6" t="n">
        <v>1</v>
      </c>
    </row>
    <row r="43">
      <c r="A43" s="8" t="inlineStr">
        <is>
          <t>ИТОГО, амортизация ₽/год</t>
        </is>
      </c>
      <c r="D43" s="9">
        <f>SUM(D32:D42)</f>
        <v/>
      </c>
    </row>
    <row r="44">
      <c r="A44" s="8" t="inlineStr">
        <is>
          <t>ВСЕГО АМОРТИЗАЦИЯ, ₽/год</t>
        </is>
      </c>
      <c r="D44" s="11">
        <f>Формы!$D$15+Формы!$D$28+Формы!$D$43</f>
        <v/>
      </c>
    </row>
    <row r="46">
      <c r="A46" s="2" t="inlineStr">
        <is>
          <t>ПЕРЕМЕННЫЕ РАСХОДЫ, ₽/год</t>
        </is>
      </c>
      <c r="B46" s="3" t="n"/>
      <c r="C46" s="3" t="n"/>
      <c r="D46" s="3" t="n"/>
      <c r="E46" s="3" t="n"/>
      <c r="F46" s="3" t="n"/>
    </row>
    <row r="47">
      <c r="A47" s="4" t="inlineStr">
        <is>
          <t>Позиция</t>
        </is>
      </c>
      <c r="B47" s="4" t="inlineStr">
        <is>
          <t>Стоимость, ₽</t>
        </is>
      </c>
      <c r="C47" s="4" t="inlineStr">
        <is>
          <t>Период (12=мес, 1=год)</t>
        </is>
      </c>
      <c r="D47" s="4" t="inlineStr">
        <is>
          <t>₽/год</t>
        </is>
      </c>
    </row>
    <row r="48">
      <c r="A48" t="inlineStr">
        <is>
          <t>Adobe CC Photography</t>
        </is>
      </c>
      <c r="B48" s="5" t="n">
        <v>2000</v>
      </c>
      <c r="C48" s="6" t="n">
        <v>12</v>
      </c>
      <c r="D48" s="12">
        <f>B48*C48</f>
        <v/>
      </c>
      <c r="E48" s="13" t="inlineStr">
        <is>
          <t>период исправлен на месячный</t>
        </is>
      </c>
    </row>
    <row r="49">
      <c r="A49" t="inlineStr">
        <is>
          <t>Яндекс Диск 1 ТБ</t>
        </is>
      </c>
      <c r="B49" s="5" t="n">
        <v>250</v>
      </c>
      <c r="C49" s="6" t="n">
        <v>12</v>
      </c>
      <c r="D49" s="12">
        <f>B49*C49</f>
        <v/>
      </c>
    </row>
    <row r="50">
      <c r="A50" t="inlineStr">
        <is>
          <t>Обслуживание счёта (РКО)</t>
        </is>
      </c>
      <c r="B50" s="5" t="n">
        <v>0</v>
      </c>
      <c r="C50" s="6" t="n">
        <v>12</v>
      </c>
      <c r="D50" s="12">
        <f>B50*C50</f>
        <v/>
      </c>
    </row>
    <row r="51">
      <c r="A51" t="inlineStr">
        <is>
          <t>СМС-уведомления</t>
        </is>
      </c>
      <c r="B51" s="5" t="n">
        <v>150</v>
      </c>
      <c r="C51" s="6" t="n">
        <v>12</v>
      </c>
      <c r="D51" s="12">
        <f>B51*C51</f>
        <v/>
      </c>
    </row>
    <row r="52">
      <c r="A52" t="inlineStr">
        <is>
          <t>Домен сайта</t>
        </is>
      </c>
      <c r="B52" s="5" t="n">
        <v>1500</v>
      </c>
      <c r="C52" s="6" t="n">
        <v>1</v>
      </c>
      <c r="D52" s="12">
        <f>B52*C52</f>
        <v/>
      </c>
    </row>
    <row r="53">
      <c r="A53" t="inlineStr">
        <is>
          <t>Хостинг сайта</t>
        </is>
      </c>
      <c r="B53" s="5" t="n">
        <v>6000</v>
      </c>
      <c r="C53" s="6" t="n">
        <v>1</v>
      </c>
      <c r="D53" s="12">
        <f>B53*C53</f>
        <v/>
      </c>
    </row>
    <row r="54">
      <c r="A54" t="inlineStr">
        <is>
          <t>Яндекс Директ</t>
        </is>
      </c>
      <c r="B54" s="5" t="n">
        <v>15000</v>
      </c>
      <c r="C54" s="6" t="n">
        <v>12</v>
      </c>
      <c r="D54" s="12">
        <f>B54*C54</f>
        <v/>
      </c>
    </row>
    <row r="55">
      <c r="A55" t="inlineStr">
        <is>
          <t>Авито</t>
        </is>
      </c>
      <c r="B55" s="5" t="n">
        <v>0</v>
      </c>
      <c r="C55" s="6" t="n">
        <v>12</v>
      </c>
      <c r="D55" s="12">
        <f>B55*C55</f>
        <v/>
      </c>
    </row>
    <row r="56">
      <c r="A56" t="inlineStr">
        <is>
          <t>Таргетированная реклама</t>
        </is>
      </c>
      <c r="B56" s="5" t="n">
        <v>0</v>
      </c>
      <c r="C56" s="6" t="n">
        <v>12</v>
      </c>
      <c r="D56" s="12">
        <f>B56*C56</f>
        <v/>
      </c>
    </row>
    <row r="57">
      <c r="A57" t="inlineStr">
        <is>
          <t>Платные размещения у блогеров</t>
        </is>
      </c>
      <c r="B57" s="5" t="n">
        <v>0</v>
      </c>
      <c r="C57" s="6" t="n">
        <v>12</v>
      </c>
      <c r="D57" s="12">
        <f>B57*C57</f>
        <v/>
      </c>
    </row>
    <row r="58">
      <c r="A58" t="inlineStr">
        <is>
          <t>Отклики на Profi.ru</t>
        </is>
      </c>
      <c r="B58" s="5" t="n">
        <v>0</v>
      </c>
      <c r="C58" s="6" t="n">
        <v>12</v>
      </c>
      <c r="D58" s="12">
        <f>B58*C58</f>
        <v/>
      </c>
    </row>
    <row r="59">
      <c r="A59" t="inlineStr">
        <is>
          <t>Бухгалтер</t>
        </is>
      </c>
      <c r="B59" s="5" t="n">
        <v>10000</v>
      </c>
      <c r="C59" s="6" t="n">
        <v>12</v>
      </c>
      <c r="D59" s="12">
        <f>B59*C59</f>
        <v/>
      </c>
      <c r="E59" s="13" t="inlineStr">
        <is>
          <t>&lt;&lt; был потерян в прошлой версии</t>
        </is>
      </c>
    </row>
    <row r="60">
      <c r="A60" s="2" t="inlineStr">
        <is>
          <t>Рабочее место — доля под кабинет</t>
        </is>
      </c>
      <c r="B60" s="3" t="n"/>
      <c r="C60" s="3" t="n"/>
      <c r="D60" s="3" t="n"/>
      <c r="E60" s="3" t="n"/>
      <c r="F60" s="3" t="n"/>
    </row>
    <row r="61">
      <c r="A61" t="inlineStr">
        <is>
          <t>Аренда / ипотека, ₽/мес</t>
        </is>
      </c>
      <c r="B61" s="5" t="n">
        <v>40000</v>
      </c>
    </row>
    <row r="62">
      <c r="A62" t="inlineStr">
        <is>
          <t>Коммунальные и связь, ₽/мес</t>
        </is>
      </c>
      <c r="B62" s="5" t="n">
        <v>7000</v>
      </c>
    </row>
    <row r="63">
      <c r="A63" t="inlineStr">
        <is>
          <t>Общая площадь жилья, м²</t>
        </is>
      </c>
      <c r="B63" s="6" t="n">
        <v>50</v>
      </c>
    </row>
    <row r="64">
      <c r="A64" t="inlineStr">
        <is>
          <t>Площадь под кабинет, м²</t>
        </is>
      </c>
      <c r="B64" s="6" t="n">
        <v>6</v>
      </c>
    </row>
    <row r="65">
      <c r="A65" t="inlineStr">
        <is>
          <t>Доля кабинета</t>
        </is>
      </c>
      <c r="B65" s="14">
        <f>IF(B63=0,0,B64/B63)</f>
        <v/>
      </c>
    </row>
    <row r="66">
      <c r="A66" s="8" t="inlineStr">
        <is>
          <t>Рабочее место, ₽/год</t>
        </is>
      </c>
      <c r="D66" s="15">
        <f>(B61+B62)*IF(B63=0,0,B64/B63)*12</f>
        <v/>
      </c>
      <c r="E66" s="13" t="inlineStr">
        <is>
          <t>коммуналка тоже по доле, а не целиком</t>
        </is>
      </c>
    </row>
    <row r="67">
      <c r="A67" s="8" t="inlineStr">
        <is>
          <t>ВСЕГО ПЕРЕМЕННЫЕ, ₽/год</t>
        </is>
      </c>
      <c r="D67" s="16">
        <f>SUM(D48:D59)+Формы!$D$66</f>
        <v/>
      </c>
    </row>
    <row r="69">
      <c r="A69" s="2" t="inlineStr">
        <is>
          <t>Комиссии с оборота</t>
        </is>
      </c>
      <c r="B69" s="3" t="n"/>
      <c r="C69" s="3" t="n"/>
      <c r="D69" s="3" t="n"/>
      <c r="E69" s="3" t="n"/>
      <c r="F69" s="3" t="n"/>
    </row>
    <row r="70">
      <c r="A70" t="inlineStr">
        <is>
          <t>Эквайринг, %</t>
        </is>
      </c>
      <c r="B70" s="17" t="n">
        <v>0.027</v>
      </c>
      <c r="C70" s="13" t="inlineStr">
        <is>
          <t>считается ОТ ВЫРУЧКИ, не фикс. сумма</t>
        </is>
      </c>
    </row>
    <row r="71">
      <c r="A71" t="inlineStr">
        <is>
          <t>Доля оплат через эквайринг, %</t>
        </is>
      </c>
      <c r="B71" s="18" t="n">
        <v>1</v>
      </c>
    </row>
    <row r="73">
      <c r="A73" s="2" t="inlineStr">
        <is>
          <t>Временные затраты (переносятся в лист Расчёт)</t>
        </is>
      </c>
      <c r="B73" s="3" t="n"/>
      <c r="C73" s="3" t="n"/>
      <c r="D73" s="3" t="n"/>
      <c r="E73" s="3" t="n"/>
      <c r="F73" s="3" t="n"/>
    </row>
    <row r="74">
      <c r="A74" t="inlineStr">
        <is>
          <t>Ведение соцсетей, час/день</t>
        </is>
      </c>
      <c r="B74" s="6" t="n">
        <v>2</v>
      </c>
    </row>
    <row r="75">
      <c r="A75" t="inlineStr">
        <is>
          <t>Учёт и планирование, час/квартал</t>
        </is>
      </c>
      <c r="B75" s="6" t="n">
        <v>3</v>
      </c>
    </row>
    <row r="76">
      <c r="A76" t="inlineStr">
        <is>
          <t>Работа с клиентом, час/проект</t>
        </is>
      </c>
      <c r="B76" s="6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46" customWidth="1" style="48" min="1" max="1"/>
    <col width="19" customWidth="1" style="48" min="2" max="2"/>
    <col width="19" customWidth="1" style="48" min="3" max="3"/>
    <col width="19" customWidth="1" style="48" min="4" max="4"/>
    <col width="19" customWidth="1" style="48" min="5" max="5"/>
    <col width="19" customWidth="1" style="48" min="6" max="6"/>
  </cols>
  <sheetData>
    <row r="1">
      <c r="A1" s="1" t="inlineStr">
        <is>
          <t>ДАННЫЕ ИЗ ФОРМ — сводка (всё тянется ссылками, вручную не вводить)</t>
        </is>
      </c>
    </row>
    <row r="3">
      <c r="A3" s="2" t="inlineStr">
        <is>
          <t>1. ИНВЕСТИЦИИ (амортизация), ₽/год</t>
        </is>
      </c>
      <c r="B3" s="3" t="n"/>
      <c r="C3" s="3" t="n"/>
      <c r="D3" s="3" t="n"/>
      <c r="E3" s="3" t="n"/>
      <c r="F3" s="3" t="n"/>
    </row>
    <row r="4">
      <c r="A4" s="33" t="inlineStr">
        <is>
          <t>Источник</t>
        </is>
      </c>
      <c r="B4" s="33" t="inlineStr">
        <is>
          <t>₽/год</t>
        </is>
      </c>
    </row>
    <row r="5">
      <c r="A5" t="inlineStr">
        <is>
          <t>Съёмочное оборудование</t>
        </is>
      </c>
      <c r="B5" s="7">
        <f>Формы!D15</f>
        <v/>
      </c>
    </row>
    <row r="6">
      <c r="A6" t="inlineStr">
        <is>
          <t>Офисное оборудование</t>
        </is>
      </c>
      <c r="B6" s="7">
        <f>Формы!D28</f>
        <v/>
      </c>
    </row>
    <row r="7">
      <c r="A7" t="inlineStr">
        <is>
          <t>ПО, рабочее место, обучение, сайт</t>
        </is>
      </c>
      <c r="B7" s="7">
        <f>Формы!D43</f>
        <v/>
      </c>
    </row>
    <row r="8">
      <c r="A8" s="8" t="inlineStr">
        <is>
          <t>ИТОГО инвестиции, ₽/год</t>
        </is>
      </c>
      <c r="B8" s="11">
        <f>SUM(B5:B7)</f>
        <v/>
      </c>
    </row>
    <row r="10">
      <c r="A10" s="2" t="inlineStr">
        <is>
          <t>2. ПЕРЕМЕННЫЕ РАСХОДЫ, ₽/год</t>
        </is>
      </c>
      <c r="B10" s="3" t="n"/>
      <c r="C10" s="3" t="n"/>
      <c r="D10" s="3" t="n"/>
      <c r="E10" s="3" t="n"/>
      <c r="F10" s="3" t="n"/>
    </row>
    <row r="11">
      <c r="A11" s="33" t="inlineStr">
        <is>
          <t>Источник</t>
        </is>
      </c>
      <c r="B11" s="33" t="inlineStr">
        <is>
          <t>₽/год</t>
        </is>
      </c>
      <c r="C11" s="33" t="inlineStr">
        <is>
          <t>Примечание</t>
        </is>
      </c>
    </row>
    <row r="12">
      <c r="A12" t="inlineStr">
        <is>
          <t>Все регулярные платежи (ПО, банк, реклама, бухгалтер)</t>
        </is>
      </c>
      <c r="B12" s="7">
        <f>Формы!D67-Формы!D66</f>
        <v/>
      </c>
      <c r="C12" s="13" t="inlineStr">
        <is>
          <t>включая бухгалтера 120 000</t>
        </is>
      </c>
    </row>
    <row r="13">
      <c r="A13" t="inlineStr">
        <is>
          <t>Рабочее место (доля кабинета)</t>
        </is>
      </c>
      <c r="B13" s="7">
        <f>Формы!D66</f>
        <v/>
      </c>
    </row>
    <row r="14">
      <c r="A14" s="8" t="inlineStr">
        <is>
          <t>ИТОГО переменные, ₽/год</t>
        </is>
      </c>
      <c r="B14" s="11">
        <f>SUM(B12:B13)</f>
        <v/>
      </c>
    </row>
    <row r="15">
      <c r="A15" s="8" t="inlineStr">
        <is>
          <t>ВСЕГО РАСХОДОВ (C), ₽/год</t>
        </is>
      </c>
      <c r="B15" s="9">
        <f>'Данные из форм'!$B$8+'Данные из форм'!$B$14</f>
        <v/>
      </c>
    </row>
    <row r="17">
      <c r="A17" s="2" t="inlineStr">
        <is>
          <t>3. ВРЕМЕННЫЕ ЗАТРАТЫ, часов/год</t>
        </is>
      </c>
      <c r="B17" s="3" t="n"/>
      <c r="C17" s="3" t="n"/>
      <c r="D17" s="3" t="n"/>
      <c r="E17" s="3" t="n"/>
      <c r="F17" s="3" t="n"/>
    </row>
    <row r="18">
      <c r="A18" s="33" t="inlineStr">
        <is>
          <t>Источник</t>
        </is>
      </c>
      <c r="B18" s="33" t="inlineStr">
        <is>
          <t>Часов/год</t>
        </is>
      </c>
      <c r="C18" s="33" t="inlineStr">
        <is>
          <t>Примечание</t>
        </is>
      </c>
    </row>
    <row r="19">
      <c r="A19" t="inlineStr">
        <is>
          <t>Продвижение (соцсети и пр.)</t>
        </is>
      </c>
      <c r="B19" s="34">
        <f>Формы!B74*Расчёт!$C$13</f>
        <v/>
      </c>
      <c r="C19" s="10" t="inlineStr">
        <is>
          <t>час/день × чистых рабочих дней</t>
        </is>
      </c>
    </row>
    <row r="20">
      <c r="A20" t="inlineStr">
        <is>
          <t>Учёт и планирование</t>
        </is>
      </c>
      <c r="B20" s="34">
        <f>Формы!B75*Расчёт!$C$7</f>
        <v/>
      </c>
      <c r="C20" s="13" t="inlineStr">
        <is>
          <t>был потерян в исходной сводке</t>
        </is>
      </c>
    </row>
    <row r="21">
      <c r="A21" s="8" t="inlineStr">
        <is>
          <t>ИТОГО операционное время, час/год</t>
        </is>
      </c>
      <c r="B21" s="35">
        <f>SUM(B19:B20)</f>
        <v/>
      </c>
    </row>
    <row r="22">
      <c r="A22" t="inlineStr">
        <is>
          <t>Работа с клиентом, час/проект</t>
        </is>
      </c>
      <c r="B22" s="36">
        <f>Формы!B76</f>
        <v/>
      </c>
      <c r="C22" s="13" t="inlineStr">
        <is>
          <t>НЕ суммируется сюда — входит в проектное время</t>
        </is>
      </c>
    </row>
    <row r="24">
      <c r="A24" s="2" t="inlineStr">
        <is>
          <t>4. СТАВКИ ОТ ОБОРОТА, %</t>
        </is>
      </c>
      <c r="B24" s="3" t="n"/>
      <c r="C24" s="3" t="n"/>
      <c r="D24" s="3" t="n"/>
      <c r="E24" s="3" t="n"/>
      <c r="F24" s="3" t="n"/>
    </row>
    <row r="25">
      <c r="A25" s="33" t="inlineStr">
        <is>
          <t>Источник</t>
        </is>
      </c>
      <c r="B25" s="33" t="inlineStr">
        <is>
          <t>Ставка</t>
        </is>
      </c>
      <c r="C25" s="33" t="inlineStr">
        <is>
          <t>Идёт в знаменатель?</t>
        </is>
      </c>
    </row>
    <row r="26">
      <c r="A26" t="inlineStr">
        <is>
          <t>Эквайринг (комиссия с оборота)</t>
        </is>
      </c>
      <c r="B26" s="37">
        <f>Формы!B70*Формы!B71</f>
        <v/>
      </c>
      <c r="C26" s="10" t="inlineStr">
        <is>
          <t>ДА — общая для всех режимов</t>
        </is>
      </c>
    </row>
    <row r="27">
      <c r="A27" t="inlineStr">
        <is>
          <t>Ставка налогового режима</t>
        </is>
      </c>
      <c r="B27" s="32" t="inlineStr">
        <is>
          <t>—</t>
        </is>
      </c>
      <c r="C27" s="13" t="inlineStr">
        <is>
          <t>НЕ сводится сюда — своя в каждой колонке</t>
        </is>
      </c>
    </row>
    <row r="29">
      <c r="A29" s="2" t="inlineStr">
        <is>
          <t>5. ПОЧЕМУ «ОБЩАЯ ПРОЦЕНТНАЯ СТАВКА 7,70» БЫЛА НЕВЕРНОЙ</t>
        </is>
      </c>
      <c r="B29" s="3" t="n"/>
      <c r="C29" s="3" t="n"/>
      <c r="D29" s="3" t="n"/>
      <c r="E29" s="3" t="n"/>
      <c r="F29" s="3" t="n"/>
    </row>
    <row r="30">
      <c r="A30" t="inlineStr">
        <is>
          <t>В исходной сводке столбец «% ставка (от оборота)» содержал 2,70 и 5,00, а итог 7,70 = их сумма.</t>
        </is>
      </c>
    </row>
    <row r="31">
      <c r="A31" t="inlineStr">
        <is>
          <t>2,70 — эквайринг. 5,00 — «Самозанятый (НПД), средняя ставка». Отсюда и бралась «Общая процентная ставка».</t>
        </is>
      </c>
    </row>
    <row r="33">
      <c r="A33" t="inlineStr">
        <is>
          <t>Три проблемы:</t>
        </is>
      </c>
    </row>
    <row r="35">
      <c r="A35" t="inlineStr">
        <is>
          <t>а) Ставки 5% в НПД не существует. Есть 4% (с физлицами) и 6% (с юрлицами). «Средняя» — выдуманная величина:</t>
        </is>
      </c>
    </row>
    <row r="36">
      <c r="A36" t="inlineStr">
        <is>
          <t xml:space="preserve">   при реальной структуре клиентов нужно считать взвешенно, а лучше — двумя отдельными колонками.</t>
        </is>
      </c>
    </row>
    <row r="38">
      <c r="A38" t="inlineStr">
        <is>
          <t>б) Смешаны разные сущности. Эквайринг — комиссия банка, она есть на ЛЮБОМ режиме. Налог — своя ставка</t>
        </is>
      </c>
    </row>
    <row r="39">
      <c r="A39" t="inlineStr">
        <is>
          <t xml:space="preserve">   в каждой колонке. Их нельзя схлопывать в одно число: получается «ставка», которая не соответствует</t>
        </is>
      </c>
    </row>
    <row r="40">
      <c r="A40" t="inlineStr">
        <is>
          <t xml:space="preserve">   ни одному реальному режиму.</t>
        </is>
      </c>
    </row>
    <row r="42">
      <c r="A42" t="inlineStr">
        <is>
          <t>в) Для ИП сложение вообще не работает. Складывать проценты допустимо, только когда ОБЕ величины —</t>
        </is>
      </c>
    </row>
    <row r="43">
      <c r="A43" t="inlineStr">
        <is>
          <t xml:space="preserve">   чистый процент от оборота. Это верно для НПД (нет взносов). Но на УСН есть фикс. взнос 57 390 ₽,</t>
        </is>
      </c>
    </row>
    <row r="44">
      <c r="A44" t="inlineStr">
        <is>
          <t xml:space="preserve">   который ВЫЧИТАЕТСЯ из налога, и допвзнос 1% с базы сверх 300 000 — это не процент от оборота.</t>
        </is>
      </c>
    </row>
    <row r="46">
      <c r="A46" t="inlineStr">
        <is>
          <t>Как правильно (реализовано в листе «Расчёт»):</t>
        </is>
      </c>
    </row>
    <row r="47">
      <c r="A47" t="inlineStr">
        <is>
          <t xml:space="preserve">   НПД:    R = (N + C) / (1 − ставка НПД − эквайринг)          ← здесь сложение ставок ЗАКОННО</t>
        </is>
      </c>
    </row>
    <row r="48">
      <c r="A48" t="inlineStr">
        <is>
          <t xml:space="preserve">   УСН 6%: R = MAX( (N+C+57 390−3 000)/(1−0,01−экв) ; (N+C)/(1−0,06−экв) )</t>
        </is>
      </c>
    </row>
    <row r="49">
      <c r="A49" t="inlineStr">
        <is>
          <t xml:space="preserve">   УСН 15%: считается от базы, взносы уменьшают базу, затем делим на (1 − эквайринг)</t>
        </is>
      </c>
    </row>
    <row r="51">
      <c r="A51" t="inlineStr">
        <is>
          <t>Цифры при ваших данных (доход 1 307 988 ₽, расходы 786 026 ₽):</t>
        </is>
      </c>
    </row>
    <row r="52">
      <c r="A52" t="inlineStr">
        <is>
          <t xml:space="preserve">   по «7,70%»  → выручка 2 268 704 ₽, съёмочный час 8 679 ₽</t>
        </is>
      </c>
    </row>
    <row r="53">
      <c r="A53" t="inlineStr">
        <is>
          <t xml:space="preserve">   УСН 6%      → выручка 2 293 553 ₽, съёмочный час 8 774 ₽   (недобор 24 849 ₽/год)</t>
        </is>
      </c>
    </row>
    <row r="54">
      <c r="A54" t="inlineStr">
        <is>
          <t xml:space="preserve">   НПД 4%      → выручка 2 244 388 ₽, съёмочный час 8 586 ₽</t>
        </is>
      </c>
    </row>
    <row r="56">
      <c r="A56" t="inlineStr">
        <is>
          <t>Разрыв невелик, потому что 7,7 случайно оказалось между 4% и 8%. Но при других вводных</t>
        </is>
      </c>
    </row>
    <row r="57">
      <c r="A57" t="inlineStr">
        <is>
          <t>(меньший доход, где фикс. взнос доминирует) ошибка вырастает в разы.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48" min="1" max="1"/>
    <col width="56" customWidth="1" style="48" min="2" max="2"/>
    <col width="15" customWidth="1" style="48" min="3" max="3"/>
    <col width="15" customWidth="1" style="48" min="4" max="4"/>
    <col width="15" customWidth="1" style="48" min="5" max="5"/>
    <col width="15" customWidth="1" style="48" min="6" max="6"/>
    <col width="15" customWidth="1" style="48" min="7" max="7"/>
    <col width="15" customWidth="1" style="48" min="8" max="8"/>
    <col width="15" customWidth="1" style="48" min="9" max="9"/>
  </cols>
  <sheetData>
    <row r="1">
      <c r="A1" s="1" t="inlineStr">
        <is>
          <t>КАЛЬКУЛЯТОР СТОИМОСТИ ЧАСА — соло-специалист, 2026</t>
        </is>
      </c>
    </row>
    <row r="3">
      <c r="A3" s="2" t="inlineStr">
        <is>
          <t>1. КАЛЕНДАРЬ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t="inlineStr">
        <is>
          <t>const</t>
        </is>
      </c>
      <c r="B4" t="inlineStr">
        <is>
          <t>Рабочих дней в году (произв. календарь РФ 2026)</t>
        </is>
      </c>
      <c r="C4" s="19" t="n">
        <v>247</v>
      </c>
    </row>
    <row r="5">
      <c r="A5" t="inlineStr">
        <is>
          <t>const</t>
        </is>
      </c>
      <c r="B5" t="inlineStr">
        <is>
          <t>Рабочих дней в неделю</t>
        </is>
      </c>
      <c r="C5" s="19" t="n">
        <v>5</v>
      </c>
    </row>
    <row r="6">
      <c r="A6" t="inlineStr">
        <is>
          <t>const</t>
        </is>
      </c>
      <c r="B6" t="inlineStr">
        <is>
          <t>Месяцев в году</t>
        </is>
      </c>
      <c r="C6" s="19" t="n">
        <v>12</v>
      </c>
    </row>
    <row r="7">
      <c r="A7" t="inlineStr">
        <is>
          <t>const</t>
        </is>
      </c>
      <c r="B7" t="inlineStr">
        <is>
          <t>Кварталов в году</t>
        </is>
      </c>
      <c r="C7" s="19" t="n">
        <v>4</v>
      </c>
    </row>
    <row r="8">
      <c r="A8" t="inlineStr">
        <is>
          <t>const</t>
        </is>
      </c>
      <c r="B8" t="inlineStr">
        <is>
          <t>Отпуск, рабочих дней</t>
        </is>
      </c>
      <c r="C8" s="19" t="n">
        <v>20</v>
      </c>
    </row>
    <row r="9">
      <c r="A9" t="inlineStr">
        <is>
          <t>const</t>
        </is>
      </c>
      <c r="B9" t="inlineStr">
        <is>
          <t>Больничный, рабочих дней</t>
        </is>
      </c>
      <c r="C9" s="19" t="n">
        <v>8</v>
      </c>
    </row>
    <row r="10">
      <c r="A10" t="inlineStr">
        <is>
          <t>const</t>
        </is>
      </c>
      <c r="B10" t="inlineStr">
        <is>
          <t>Чистых (эффективных) часов в день</t>
        </is>
      </c>
      <c r="C10" s="19" t="n">
        <v>7</v>
      </c>
    </row>
    <row r="12">
      <c r="A12" s="2" t="inlineStr">
        <is>
          <t>2. ЧИСТОЕ РАБОЧЕЕ ВРЕМЯ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t="inlineStr">
        <is>
          <t>calc</t>
        </is>
      </c>
      <c r="B13" t="inlineStr">
        <is>
          <t>Чистое рабочее время, дней/год</t>
        </is>
      </c>
      <c r="C13" s="20">
        <f>$C$4-$C$8-$C$9</f>
        <v/>
      </c>
    </row>
    <row r="14">
      <c r="A14" t="inlineStr">
        <is>
          <t>calc</t>
        </is>
      </c>
      <c r="B14" t="inlineStr">
        <is>
          <t>Чистое рабочее время, часов/год</t>
        </is>
      </c>
      <c r="C14" s="21">
        <f>$C$13*$C$10</f>
        <v/>
      </c>
    </row>
    <row r="15">
      <c r="A15" t="inlineStr">
        <is>
          <t>calc</t>
        </is>
      </c>
      <c r="B15" t="inlineStr">
        <is>
          <t>Чистое рабочее время, недель/год</t>
        </is>
      </c>
      <c r="C15" s="22">
        <f>$C$13/$C$5</f>
        <v/>
      </c>
    </row>
    <row r="16">
      <c r="A16" t="inlineStr">
        <is>
          <t>calc</t>
        </is>
      </c>
      <c r="B16" t="inlineStr">
        <is>
          <t>Чистое рабочее время, часов/месяц</t>
        </is>
      </c>
      <c r="C16" s="22">
        <f>$C$14/$C$6</f>
        <v/>
      </c>
    </row>
    <row r="17">
      <c r="A17" t="inlineStr">
        <is>
          <t>calc</t>
        </is>
      </c>
      <c r="B17" t="inlineStr">
        <is>
          <t>Чистое рабочее время, часов/неделю</t>
        </is>
      </c>
      <c r="C17" s="22">
        <f>$C$14/$C$15</f>
        <v/>
      </c>
    </row>
    <row r="19">
      <c r="A19" s="2" t="inlineStr">
        <is>
          <t>3. СТРУКТУРА ВРЕМЕНИ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t="inlineStr">
        <is>
          <t>calc</t>
        </is>
      </c>
      <c r="B20" t="inlineStr">
        <is>
          <t>Время на продвижение, час/год</t>
        </is>
      </c>
      <c r="C20" s="20">
        <f>'Данные из форм'!$B$21-Расчёт!$C$22</f>
        <v/>
      </c>
    </row>
    <row r="21">
      <c r="A21" t="inlineStr">
        <is>
          <t>calc</t>
        </is>
      </c>
      <c r="B21" t="inlineStr">
        <is>
          <t>Время на продвижение, час/мес</t>
        </is>
      </c>
      <c r="C21" s="22">
        <f>$C$20/$C$6</f>
        <v/>
      </c>
    </row>
    <row r="22">
      <c r="A22" t="inlineStr">
        <is>
          <t>calc</t>
        </is>
      </c>
      <c r="B22" t="inlineStr">
        <is>
          <t>Учёт и планирование, час/год</t>
        </is>
      </c>
      <c r="C22" s="20">
        <f>Формы!$B$75*$C$7</f>
        <v/>
      </c>
    </row>
    <row r="23">
      <c r="A23" t="inlineStr">
        <is>
          <t>calc</t>
        </is>
      </c>
      <c r="B23" t="inlineStr">
        <is>
          <t>Операционное время, час/год  (из сводки)</t>
        </is>
      </c>
      <c r="C23" s="21">
        <f>'Данные из форм'!$B$21</f>
        <v/>
      </c>
      <c r="E23" s="10" t="inlineStr">
        <is>
          <t>продвижение + учёт</t>
        </is>
      </c>
    </row>
    <row r="24">
      <c r="A24" t="inlineStr">
        <is>
          <t>calc</t>
        </is>
      </c>
      <c r="B24" t="inlineStr">
        <is>
          <t>Операционное время, час/мес</t>
        </is>
      </c>
      <c r="C24" s="22">
        <f>$C$23/$C$6</f>
        <v/>
      </c>
    </row>
    <row r="25">
      <c r="A25" t="inlineStr">
        <is>
          <t>calc</t>
        </is>
      </c>
      <c r="B25" t="inlineStr">
        <is>
          <t>Операционное время, час/неделю</t>
        </is>
      </c>
      <c r="C25" s="22">
        <f>$C$23/$C$15</f>
        <v/>
      </c>
    </row>
    <row r="26">
      <c r="A26" t="inlineStr">
        <is>
          <t>calc</t>
        </is>
      </c>
      <c r="B26" t="inlineStr">
        <is>
          <t>Профильное время, час/год</t>
        </is>
      </c>
      <c r="C26" s="21">
        <f>$C$14-$C$23</f>
        <v/>
      </c>
    </row>
    <row r="27">
      <c r="A27" t="inlineStr">
        <is>
          <t>calc</t>
        </is>
      </c>
      <c r="B27" t="inlineStr">
        <is>
          <t>Профильное время, час/мес</t>
        </is>
      </c>
      <c r="C27" s="22">
        <f>$C$26/$C$6</f>
        <v/>
      </c>
    </row>
    <row r="28">
      <c r="A28" t="inlineStr">
        <is>
          <t>calc</t>
        </is>
      </c>
      <c r="B28" t="inlineStr">
        <is>
          <t>Профильное время, час/неделю</t>
        </is>
      </c>
      <c r="C28" s="22">
        <f>$C$26/$C$15</f>
        <v/>
      </c>
    </row>
    <row r="30">
      <c r="A30" s="2" t="inlineStr">
        <is>
          <t>4. ПРОЕКТ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t="inlineStr">
        <is>
          <t>default</t>
        </is>
      </c>
      <c r="B31" t="inlineStr">
        <is>
          <t>Съёмочных часов на 1 проект</t>
        </is>
      </c>
      <c r="C31" s="23" t="n">
        <v>7</v>
      </c>
    </row>
    <row r="32">
      <c r="A32" t="inlineStr">
        <is>
          <t>default</t>
        </is>
      </c>
      <c r="B32" t="inlineStr">
        <is>
          <t>Коэффициент обработки (ч обработки на 1 ч съёмки)</t>
        </is>
      </c>
      <c r="C32" s="23" t="n">
        <v>3</v>
      </c>
    </row>
    <row r="33">
      <c r="A33" t="inlineStr">
        <is>
          <t>calc</t>
        </is>
      </c>
      <c r="B33" t="inlineStr">
        <is>
          <t>Проектное время, час/проект</t>
        </is>
      </c>
      <c r="C33" s="24">
        <f>$C$31*(1+$C$32)+'Данные из форм'!$B$22</f>
        <v/>
      </c>
    </row>
    <row r="34">
      <c r="A34" t="inlineStr">
        <is>
          <t>calc</t>
        </is>
      </c>
      <c r="B34" t="inlineStr">
        <is>
          <t>Проектов в год</t>
        </is>
      </c>
      <c r="C34" s="24">
        <f>IF($C$33=0,0,$C$26/$C$33)</f>
        <v/>
      </c>
    </row>
    <row r="35">
      <c r="A35" t="inlineStr">
        <is>
          <t>calc</t>
        </is>
      </c>
      <c r="B35" t="inlineStr">
        <is>
          <t>Проектов в месяц</t>
        </is>
      </c>
      <c r="C35" s="22">
        <f>$C$34/$C$6</f>
        <v/>
      </c>
    </row>
    <row r="36">
      <c r="A36" t="inlineStr">
        <is>
          <t>calc</t>
        </is>
      </c>
      <c r="B36" t="inlineStr">
        <is>
          <t>Проектов в неделю</t>
        </is>
      </c>
      <c r="C36" s="22">
        <f>$C$34/$C$15</f>
        <v/>
      </c>
    </row>
    <row r="37">
      <c r="A37" t="inlineStr">
        <is>
          <t>calc</t>
        </is>
      </c>
      <c r="B37" t="inlineStr">
        <is>
          <t>Съёмочное время, час/год</t>
        </is>
      </c>
      <c r="C37" s="24">
        <f>$C$34*$C$31</f>
        <v/>
      </c>
    </row>
    <row r="38">
      <c r="A38" t="inlineStr">
        <is>
          <t>calc</t>
        </is>
      </c>
      <c r="B38" t="inlineStr">
        <is>
          <t>Съёмочное время, час/мес</t>
        </is>
      </c>
      <c r="C38" s="22">
        <f>$C$37/$C$6</f>
        <v/>
      </c>
    </row>
    <row r="39">
      <c r="A39" t="inlineStr">
        <is>
          <t>calc</t>
        </is>
      </c>
      <c r="B39" t="inlineStr">
        <is>
          <t>Съёмочное время, час/неделю</t>
        </is>
      </c>
      <c r="C39" s="22">
        <f>$C$37/$C$15</f>
        <v/>
      </c>
    </row>
    <row r="40">
      <c r="A40" t="inlineStr">
        <is>
          <t>calc</t>
        </is>
      </c>
      <c r="B40" t="inlineStr">
        <is>
          <t>Операционное время на час съёмки</t>
        </is>
      </c>
      <c r="C40" s="22">
        <f>IF($C$37=0,0,$C$23/$C$37)</f>
        <v/>
      </c>
    </row>
    <row r="42">
      <c r="A42" s="2" t="inlineStr">
        <is>
          <t>5. ДОХОД И РАСХОДЫ (из листа «Формы»)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t="inlineStr">
        <is>
          <t>calc</t>
        </is>
      </c>
      <c r="B43" t="inlineStr">
        <is>
          <t>Амортизация, ₽/год  (из сводки)</t>
        </is>
      </c>
      <c r="C43" s="25">
        <f>'Данные из форм'!$B$8</f>
        <v/>
      </c>
    </row>
    <row r="44">
      <c r="A44" t="inlineStr">
        <is>
          <t>calc</t>
        </is>
      </c>
      <c r="B44" t="inlineStr">
        <is>
          <t>Переменные расходы, ₽/год  (из сводки)</t>
        </is>
      </c>
      <c r="C44" s="25">
        <f>'Данные из форм'!$B$14</f>
        <v/>
      </c>
    </row>
    <row r="45">
      <c r="A45" t="inlineStr">
        <is>
          <t>calc</t>
        </is>
      </c>
      <c r="B45" t="inlineStr">
        <is>
          <t>Всего расходов (без эквайринга), ₽/год</t>
        </is>
      </c>
      <c r="C45" s="26">
        <f>$C$43+$C$44</f>
        <v/>
      </c>
    </row>
    <row r="46">
      <c r="A46" t="inlineStr">
        <is>
          <t>calc</t>
        </is>
      </c>
      <c r="B46" t="inlineStr">
        <is>
          <t>Эквайринг, эффективная ставка от выручки  (из сводки)</t>
        </is>
      </c>
      <c r="C46" s="27">
        <f>'Данные из форм'!$B$26</f>
        <v/>
      </c>
    </row>
    <row r="47">
      <c r="A47" t="inlineStr">
        <is>
          <t>default</t>
        </is>
      </c>
      <c r="B47" t="inlineStr">
        <is>
          <t>Желаемый доход на руки, ₽/мес</t>
        </is>
      </c>
      <c r="C47" s="5" t="n">
        <v>108999</v>
      </c>
    </row>
    <row r="48">
      <c r="A48" t="inlineStr">
        <is>
          <t>calc</t>
        </is>
      </c>
      <c r="B48" t="inlineStr">
        <is>
          <t>Желаемый доход на руки, ₽/год</t>
        </is>
      </c>
      <c r="C48" s="26">
        <f>$C$47*$C$6</f>
        <v/>
      </c>
    </row>
    <row r="49">
      <c r="A49" t="inlineStr">
        <is>
          <t>calc</t>
        </is>
      </c>
      <c r="B49" t="inlineStr">
        <is>
          <t>Базовая ставка часа (только время специалиста)</t>
        </is>
      </c>
      <c r="C49" s="28">
        <f>$C$48/$C$14</f>
        <v/>
      </c>
      <c r="E49" s="10" t="inlineStr">
        <is>
          <t>справочно</t>
        </is>
      </c>
    </row>
    <row r="51">
      <c r="A51" s="2" t="inlineStr">
        <is>
          <t>6. КОНСТАНТЫ НАЛОГОВ 2026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t="inlineStr">
        <is>
          <t>default</t>
        </is>
      </c>
      <c r="B52" t="inlineStr">
        <is>
          <t>Страховые взносы ИП за себя (фикс.), ₽/год</t>
        </is>
      </c>
      <c r="C52" s="5" t="n">
        <v>57390</v>
      </c>
    </row>
    <row r="53">
      <c r="A53" t="inlineStr">
        <is>
          <t>default</t>
        </is>
      </c>
      <c r="B53" t="inlineStr">
        <is>
          <t>Дополнительный взнос, %</t>
        </is>
      </c>
      <c r="C53" s="18" t="n">
        <v>0.01</v>
      </c>
    </row>
    <row r="54">
      <c r="A54" t="inlineStr">
        <is>
          <t>default</t>
        </is>
      </c>
      <c r="B54" t="inlineStr">
        <is>
          <t>Предельная величина дохода, ₽/год</t>
        </is>
      </c>
      <c r="C54" s="5" t="n">
        <v>300000</v>
      </c>
    </row>
    <row r="55">
      <c r="A55" t="inlineStr">
        <is>
          <t>default</t>
        </is>
      </c>
      <c r="B55" t="inlineStr">
        <is>
          <t>Максимум допвзноса, ₽/год</t>
        </is>
      </c>
      <c r="C55" s="5" t="n">
        <v>321818</v>
      </c>
    </row>
    <row r="56">
      <c r="A56" t="inlineStr">
        <is>
          <t>default</t>
        </is>
      </c>
      <c r="B56" t="inlineStr">
        <is>
          <t>Минимальный налог УСН Д−Р, %</t>
        </is>
      </c>
      <c r="C56" s="18" t="n">
        <v>0.01</v>
      </c>
    </row>
    <row r="57">
      <c r="A57" t="inlineStr">
        <is>
          <t>default</t>
        </is>
      </c>
      <c r="B57" t="inlineStr">
        <is>
          <t>Минимальный налог АУСН Д−Р, %</t>
        </is>
      </c>
      <c r="C57" s="18" t="n">
        <v>0.03</v>
      </c>
    </row>
    <row r="58">
      <c r="A58" t="inlineStr">
        <is>
          <t>default</t>
        </is>
      </c>
      <c r="B58" t="inlineStr">
        <is>
          <t>Взнос на травматизм АУСН, ₽/год</t>
        </is>
      </c>
      <c r="C58" s="5" t="n">
        <v>0</v>
      </c>
    </row>
    <row r="59">
      <c r="A59" t="inlineStr">
        <is>
          <t>default</t>
        </is>
      </c>
      <c r="B59" t="inlineStr">
        <is>
          <t>НПД, физлица, %</t>
        </is>
      </c>
      <c r="C59" s="18" t="n">
        <v>0.04</v>
      </c>
    </row>
    <row r="60">
      <c r="A60" t="inlineStr">
        <is>
          <t>default</t>
        </is>
      </c>
      <c r="B60" t="inlineStr">
        <is>
          <t>НПД, юрлица, %</t>
        </is>
      </c>
      <c r="C60" s="18" t="n">
        <v>0.06</v>
      </c>
    </row>
    <row r="61">
      <c r="A61" t="inlineStr">
        <is>
          <t>default</t>
        </is>
      </c>
      <c r="B61" t="inlineStr">
        <is>
          <t>УСН доходы, %</t>
        </is>
      </c>
      <c r="C61" s="18" t="n">
        <v>0.06</v>
      </c>
    </row>
    <row r="62">
      <c r="A62" t="inlineStr">
        <is>
          <t>default</t>
        </is>
      </c>
      <c r="B62" t="inlineStr">
        <is>
          <t>УСН доходы минус расходы, %</t>
        </is>
      </c>
      <c r="C62" s="18" t="n">
        <v>0.15</v>
      </c>
    </row>
    <row r="63">
      <c r="A63" t="inlineStr">
        <is>
          <t>default</t>
        </is>
      </c>
      <c r="B63" t="inlineStr">
        <is>
          <t>АУСН доходы, %</t>
        </is>
      </c>
      <c r="C63" s="18" t="n">
        <v>0.08</v>
      </c>
    </row>
    <row r="64">
      <c r="A64" t="inlineStr">
        <is>
          <t>default</t>
        </is>
      </c>
      <c r="B64" t="inlineStr">
        <is>
          <t>АУСН доходы минус расходы, %</t>
        </is>
      </c>
      <c r="C64" s="18" t="n">
        <v>0.2</v>
      </c>
    </row>
    <row r="66">
      <c r="A66" s="2" t="inlineStr">
        <is>
          <t>7. РАСЧЁТ ПО РЕЖИМАМ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</row>
    <row r="67" ht="32" customHeight="1" s="48">
      <c r="A67" s="3" t="n"/>
      <c r="B67" s="2" t="inlineStr">
        <is>
          <t>Показатель</t>
        </is>
      </c>
      <c r="C67" s="29" t="inlineStr">
        <is>
          <t>НПД 4%
физлица</t>
        </is>
      </c>
      <c r="D67" s="29" t="inlineStr">
        <is>
          <t>НПД 6%
юрлица</t>
        </is>
      </c>
      <c r="E67" s="29" t="inlineStr">
        <is>
          <t>УСН
Доходы 6%</t>
        </is>
      </c>
      <c r="F67" s="29" t="inlineStr">
        <is>
          <t>УСН
Д−Р 15%</t>
        </is>
      </c>
      <c r="G67" s="29" t="inlineStr">
        <is>
          <t>АУСН
Доходы 8%</t>
        </is>
      </c>
      <c r="H67" s="29" t="inlineStr">
        <is>
          <t>АУСН
Д−Р 20%</t>
        </is>
      </c>
    </row>
    <row r="68">
      <c r="B68" t="inlineStr">
        <is>
          <t>Планируемый доход до вычета общей проц. ставки, ₽/год</t>
        </is>
      </c>
      <c r="C68" s="25">
        <f>$C$48+$C$45</f>
        <v/>
      </c>
      <c r="D68" s="25">
        <f>$C$48+$C$45</f>
        <v/>
      </c>
      <c r="E68" s="25">
        <f>$C$48+$C$45</f>
        <v/>
      </c>
      <c r="F68" s="25">
        <f>$C$48+$C$45</f>
        <v/>
      </c>
      <c r="G68" s="25">
        <f>$C$48+$C$45</f>
        <v/>
      </c>
      <c r="H68" s="25">
        <f>$C$48+$C$45</f>
        <v/>
      </c>
    </row>
    <row r="69">
      <c r="B69" s="8" t="inlineStr">
        <is>
          <t>Планируемый доход, ₽/год   ← ВЫРУЧКА</t>
        </is>
      </c>
      <c r="C69" s="16">
        <f>($C$48+$C$45)/(1-$C$59-$C$46)</f>
        <v/>
      </c>
      <c r="D69" s="16">
        <f>($C$48+$C$45)/(1-$C$60-$C$46)</f>
        <v/>
      </c>
      <c r="E69" s="16">
        <f>MAX(($C$48+$C$45+$C$52-($C$54*$C$53))/(1-$C$53-$C$46),($C$48+$C$45)/(1-$C$61-$C$46))</f>
        <v/>
      </c>
      <c r="F69" s="16">
        <f>(($C$48/(1-$C$62))+($C$52-($C$54*$C$53)+$C$53*($C$48/(1-$C$62)))+$C$45)/(1-$C$46)</f>
        <v/>
      </c>
      <c r="G69" s="16">
        <f>($C$48+$C$45+$C$58)/(1-$C$63-$C$46)</f>
        <v/>
      </c>
      <c r="H69" s="16">
        <f>(($C$48/(1-$C$64))+$C$45+$C$58)/(1-$C$46)</f>
        <v/>
      </c>
    </row>
    <row r="70">
      <c r="B70" t="inlineStr">
        <is>
          <t>Планируемый доход, ₽/месяц</t>
        </is>
      </c>
      <c r="C70" s="12">
        <f>C69/$C$6</f>
        <v/>
      </c>
      <c r="D70" s="12">
        <f>D69/$C$6</f>
        <v/>
      </c>
      <c r="E70" s="12">
        <f>E69/$C$6</f>
        <v/>
      </c>
      <c r="F70" s="12">
        <f>F69/$C$6</f>
        <v/>
      </c>
      <c r="G70" s="12">
        <f>G69/$C$6</f>
        <v/>
      </c>
      <c r="H70" s="12">
        <f>H69/$C$6</f>
        <v/>
      </c>
    </row>
    <row r="71">
      <c r="B71" s="8" t="inlineStr">
        <is>
          <t>Планируемая стоимость одного проекта, ₽</t>
        </is>
      </c>
      <c r="C71" s="16">
        <f>IF($C$34=0,0,C69/$C$34)</f>
        <v/>
      </c>
      <c r="D71" s="16">
        <f>IF($C$34=0,0,D69/$C$34)</f>
        <v/>
      </c>
      <c r="E71" s="16">
        <f>IF($C$34=0,0,E69/$C$34)</f>
        <v/>
      </c>
      <c r="F71" s="16">
        <f>IF($C$34=0,0,F69/$C$34)</f>
        <v/>
      </c>
      <c r="G71" s="16">
        <f>IF($C$34=0,0,G69/$C$34)</f>
        <v/>
      </c>
      <c r="H71" s="16">
        <f>IF($C$34=0,0,H69/$C$34)</f>
        <v/>
      </c>
    </row>
    <row r="72">
      <c r="B72" s="8" t="inlineStr">
        <is>
          <t>Планируемая стоимость съёмочного часа, ₽</t>
        </is>
      </c>
      <c r="C72" s="16">
        <f>IF($C$37=0,0,C69/$C$37)</f>
        <v/>
      </c>
      <c r="D72" s="16">
        <f>IF($C$37=0,0,D69/$C$37)</f>
        <v/>
      </c>
      <c r="E72" s="16">
        <f>IF($C$37=0,0,E69/$C$37)</f>
        <v/>
      </c>
      <c r="F72" s="16">
        <f>IF($C$37=0,0,F69/$C$37)</f>
        <v/>
      </c>
      <c r="G72" s="16">
        <f>IF($C$37=0,0,G69/$C$37)</f>
        <v/>
      </c>
      <c r="H72" s="16">
        <f>IF($C$37=0,0,H69/$C$37)</f>
        <v/>
      </c>
    </row>
    <row r="74">
      <c r="B74" t="inlineStr">
        <is>
          <t>Эквайринг, ₽/год</t>
        </is>
      </c>
      <c r="C74" s="12">
        <f>C69*$C$46</f>
        <v/>
      </c>
      <c r="D74" s="12">
        <f>D69*$C$46</f>
        <v/>
      </c>
      <c r="E74" s="12">
        <f>E69*$C$46</f>
        <v/>
      </c>
      <c r="F74" s="12">
        <f>F69*$C$46</f>
        <v/>
      </c>
      <c r="G74" s="12">
        <f>G69*$C$46</f>
        <v/>
      </c>
      <c r="H74" s="12">
        <f>H69*$C$46</f>
        <v/>
      </c>
    </row>
    <row r="75">
      <c r="B75" t="inlineStr">
        <is>
          <t>База для доначисления взносов, ₽/год</t>
        </is>
      </c>
      <c r="C75" s="12">
        <f>0</f>
        <v/>
      </c>
      <c r="D75" s="12">
        <f>0</f>
        <v/>
      </c>
      <c r="E75" s="12">
        <f>MAX(0,E69-$C$54)</f>
        <v/>
      </c>
      <c r="F75" s="12">
        <f>MAX(0,($C$48/(1-$C$62))-$C$54)</f>
        <v/>
      </c>
      <c r="G75" s="12">
        <f>0</f>
        <v/>
      </c>
      <c r="H75" s="12">
        <f>0</f>
        <v/>
      </c>
    </row>
    <row r="76">
      <c r="B76" t="inlineStr">
        <is>
          <t>Сумма для уплаты страховых взносов, ₽/год</t>
        </is>
      </c>
      <c r="C76" s="12">
        <f>0</f>
        <v/>
      </c>
      <c r="D76" s="12">
        <f>0</f>
        <v/>
      </c>
      <c r="E76" s="12">
        <f>$C$52</f>
        <v/>
      </c>
      <c r="F76" s="12">
        <f>$C$52</f>
        <v/>
      </c>
      <c r="G76" s="12">
        <f>0</f>
        <v/>
      </c>
      <c r="H76" s="12">
        <f>0</f>
        <v/>
      </c>
    </row>
    <row r="77">
      <c r="B77" t="inlineStr">
        <is>
          <t>Доначисление страховых взносов ИП, ₽/год</t>
        </is>
      </c>
      <c r="C77" s="12">
        <f>0</f>
        <v/>
      </c>
      <c r="D77" s="12">
        <f>0</f>
        <v/>
      </c>
      <c r="E77" s="12">
        <f>MIN(E75*$C$53,$C$55)</f>
        <v/>
      </c>
      <c r="F77" s="12">
        <f>MIN(F75*$C$53,$C$55)</f>
        <v/>
      </c>
      <c r="G77" s="12">
        <f>0</f>
        <v/>
      </c>
      <c r="H77" s="12">
        <f>0</f>
        <v/>
      </c>
    </row>
    <row r="78">
      <c r="B78" t="inlineStr">
        <is>
          <t>Сумма для уплаты налога, ₽/год</t>
        </is>
      </c>
      <c r="C78" s="12">
        <f>C69*$C$59</f>
        <v/>
      </c>
      <c r="D78" s="12">
        <f>D69*$C$60</f>
        <v/>
      </c>
      <c r="E78" s="12">
        <f>MAX(0,E69*$C$61-(E76+E77))</f>
        <v/>
      </c>
      <c r="F78" s="12">
        <f>MAX(($C$48/(1-$C$62))*$C$62,F69*$C$56)</f>
        <v/>
      </c>
      <c r="G78" s="12">
        <f>G69*$C$63</f>
        <v/>
      </c>
      <c r="H78" s="12">
        <f>MAX(($C$48/(1-$C$64))*$C$64,H69*$C$57)</f>
        <v/>
      </c>
    </row>
    <row r="79">
      <c r="B79" t="inlineStr">
        <is>
          <t>Взнос на травматизм (АУСН), ₽/год</t>
        </is>
      </c>
      <c r="C79" s="12">
        <f>0</f>
        <v/>
      </c>
      <c r="D79" s="12">
        <f>0</f>
        <v/>
      </c>
      <c r="E79" s="12">
        <f>0</f>
        <v/>
      </c>
      <c r="F79" s="12">
        <f>0</f>
        <v/>
      </c>
      <c r="G79" s="12">
        <f>$C$58</f>
        <v/>
      </c>
      <c r="H79" s="12">
        <f>$C$58</f>
        <v/>
      </c>
    </row>
    <row r="81">
      <c r="B81" s="8" t="inlineStr">
        <is>
          <t>Всего налогов и взносов, ₽/год</t>
        </is>
      </c>
      <c r="C81" s="15">
        <f>C76+C77+C78+C79</f>
        <v/>
      </c>
      <c r="D81" s="15">
        <f>D76+D77+D78+D79</f>
        <v/>
      </c>
      <c r="E81" s="15">
        <f>E76+E77+E78+E79</f>
        <v/>
      </c>
      <c r="F81" s="15">
        <f>F76+F77+F78+F79</f>
        <v/>
      </c>
      <c r="G81" s="15">
        <f>G76+G77+G78+G79</f>
        <v/>
      </c>
      <c r="H81" s="15">
        <f>H76+H77+H78+H79</f>
        <v/>
      </c>
    </row>
    <row r="82">
      <c r="B82" t="inlineStr">
        <is>
          <t>Всего налогов и взносов, ₽/месяц</t>
        </is>
      </c>
      <c r="C82" s="30">
        <f>C81/$C$6</f>
        <v/>
      </c>
      <c r="D82" s="30">
        <f>D81/$C$6</f>
        <v/>
      </c>
      <c r="E82" s="30">
        <f>E81/$C$6</f>
        <v/>
      </c>
      <c r="F82" s="30">
        <f>F81/$C$6</f>
        <v/>
      </c>
      <c r="G82" s="30">
        <f>G81/$C$6</f>
        <v/>
      </c>
      <c r="H82" s="30">
        <f>H81/$C$6</f>
        <v/>
      </c>
    </row>
    <row r="83">
      <c r="B83" t="inlineStr">
        <is>
          <t>Всего налогов и взносов, ₽/проект</t>
        </is>
      </c>
      <c r="C83" s="30">
        <f>IF($C$34=0,0,C81/$C$34)</f>
        <v/>
      </c>
      <c r="D83" s="30">
        <f>IF($C$34=0,0,D81/$C$34)</f>
        <v/>
      </c>
      <c r="E83" s="30">
        <f>IF($C$34=0,0,E81/$C$34)</f>
        <v/>
      </c>
      <c r="F83" s="30">
        <f>IF($C$34=0,0,F81/$C$34)</f>
        <v/>
      </c>
      <c r="G83" s="30">
        <f>IF($C$34=0,0,G81/$C$34)</f>
        <v/>
      </c>
      <c r="H83" s="30">
        <f>IF($C$34=0,0,H81/$C$34)</f>
        <v/>
      </c>
    </row>
    <row r="84">
      <c r="B84" t="inlineStr">
        <is>
          <t>Всего налогов и взносов, ₽/час (съёмочный)</t>
        </is>
      </c>
      <c r="C84" s="30">
        <f>IF($C$37=0,0,C81/$C$37)</f>
        <v/>
      </c>
      <c r="D84" s="30">
        <f>IF($C$37=0,0,D81/$C$37)</f>
        <v/>
      </c>
      <c r="E84" s="30">
        <f>IF($C$37=0,0,E81/$C$37)</f>
        <v/>
      </c>
      <c r="F84" s="30">
        <f>IF($C$37=0,0,F81/$C$37)</f>
        <v/>
      </c>
      <c r="G84" s="30">
        <f>IF($C$37=0,0,G81/$C$37)</f>
        <v/>
      </c>
      <c r="H84" s="30">
        <f>IF($C$37=0,0,H81/$C$37)</f>
        <v/>
      </c>
    </row>
    <row r="85">
      <c r="B85" s="8" t="inlineStr">
        <is>
          <t>Общая процентная ставка (эфф. нагрузка), %</t>
        </is>
      </c>
      <c r="C85" s="31">
        <f>IF(C69=0,0,C81/C69)</f>
        <v/>
      </c>
      <c r="D85" s="31">
        <f>IF(D69=0,0,D81/D69)</f>
        <v/>
      </c>
      <c r="E85" s="31">
        <f>IF(E69=0,0,E81/E69)</f>
        <v/>
      </c>
      <c r="F85" s="31">
        <f>IF(F69=0,0,F81/F69)</f>
        <v/>
      </c>
      <c r="G85" s="31">
        <f>IF(G69=0,0,G81/G69)</f>
        <v/>
      </c>
      <c r="H85" s="31">
        <f>IF(H69=0,0,H81/H69)</f>
        <v/>
      </c>
    </row>
    <row r="87">
      <c r="B87" t="inlineStr">
        <is>
          <t>Точка безубыточности, ₽/год</t>
        </is>
      </c>
      <c r="C87" s="25">
        <f>$C$45/(1-$C$59-$C$46)</f>
        <v/>
      </c>
      <c r="D87" s="25">
        <f>$C$45/(1-$C$60-$C$46)</f>
        <v/>
      </c>
      <c r="E87" s="25">
        <f>MAX(($C$45+$C$52-($C$54*$C$53))/(1-$C$53-$C$46),$C$45/(1-$C$61-$C$46))</f>
        <v/>
      </c>
      <c r="F87" s="25">
        <f>($C$45+$C$52)/(1-$C$46)</f>
        <v/>
      </c>
      <c r="G87" s="25">
        <f>($C$45+$C$58)/(1-$C$63-$C$46)</f>
        <v/>
      </c>
      <c r="H87" s="25">
        <f>($C$45+$C$58)/(1-$C$46)</f>
        <v/>
      </c>
    </row>
    <row r="88">
      <c r="B88" t="inlineStr">
        <is>
          <t>Точка безубыточности, ₽/час (съёмочный)</t>
        </is>
      </c>
      <c r="C88" s="25">
        <f>IF($C$37=0,0,C87/$C$37)</f>
        <v/>
      </c>
      <c r="D88" s="25">
        <f>IF($C$37=0,0,D87/$C$37)</f>
        <v/>
      </c>
      <c r="E88" s="25">
        <f>IF($C$37=0,0,E87/$C$37)</f>
        <v/>
      </c>
      <c r="F88" s="25">
        <f>IF($C$37=0,0,F87/$C$37)</f>
        <v/>
      </c>
      <c r="G88" s="25">
        <f>IF($C$37=0,0,G87/$C$37)</f>
        <v/>
      </c>
      <c r="H88" s="25">
        <f>IF($C$37=0,0,H87/$C$37)</f>
        <v/>
      </c>
    </row>
    <row r="90">
      <c r="B90" s="8" t="inlineStr">
        <is>
          <t>ПРОВЕРКА: остаётся на руки (должно = C48)</t>
        </is>
      </c>
      <c r="C90" s="15">
        <f>C69-$C$45-C74-C81</f>
        <v/>
      </c>
      <c r="D90" s="15">
        <f>D69-$C$45-D74-D81</f>
        <v/>
      </c>
      <c r="E90" s="15">
        <f>E69-$C$45-E74-E81</f>
        <v/>
      </c>
      <c r="F90" s="15">
        <f>F69-$C$45-F74-F81</f>
        <v/>
      </c>
      <c r="G90" s="15">
        <f>G69-$C$45-G74-G81</f>
        <v/>
      </c>
      <c r="H90" s="15">
        <f>H69-$C$45-H74-H81</f>
        <v/>
      </c>
    </row>
    <row r="91">
      <c r="B91" t="inlineStr">
        <is>
          <t>Контроль лимитов</t>
        </is>
      </c>
      <c r="C91" s="32">
        <f>IF(C69&gt;2400000,"! лимит НПД","ок")</f>
        <v/>
      </c>
      <c r="D91" s="32">
        <f>IF(D69&gt;2400000,"! лимит НПД","ок")</f>
        <v/>
      </c>
      <c r="E91" s="32">
        <f>IF(E69&gt;20000000,"! НДС","ок")</f>
        <v/>
      </c>
      <c r="F91" s="32">
        <f>IF(F69&gt;20000000,"! НДС","ок")</f>
        <v/>
      </c>
      <c r="G91" s="32">
        <f>IF(G69&gt;60000000,"! лимит АУСН","ок")</f>
        <v/>
      </c>
      <c r="H91" s="32">
        <f>IF(H69&gt;60000000,"! лимит АУСН","ок")</f>
        <v/>
      </c>
    </row>
    <row r="93">
      <c r="A93" s="2" t="inlineStr">
        <is>
          <t>8. ЧТО ИСПРАВЛЕНО В ЛИСТЕ «ФОРМЫ»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B94" t="inlineStr">
        <is>
          <t>1. БУХГАЛТЕР 120 000 ₽/год не попал в «Переменные расходы». 27 000 + 1 800 + 187 500 + 141 600 = 357 900 —</t>
        </is>
      </c>
    </row>
    <row r="95">
      <c r="B95" t="inlineStr">
        <is>
          <t xml:space="preserve">   ровно ваша цифра, бухгалтера в ней нет. Это занижало себестоимость на 120 000 ₽, т.е. ~460 ₽ на съёмочный час.</t>
        </is>
      </c>
    </row>
    <row r="97">
      <c r="B97" t="inlineStr">
        <is>
          <t>2. ЭКВАЙРИНГ 2,7% нигде не учитывался. Это процент ОТ ВЫРУЧКИ, и он попадает в знаменатель формулы,</t>
        </is>
      </c>
    </row>
    <row r="98">
      <c r="B98" t="inlineStr">
        <is>
          <t xml:space="preserve">   а не в расходы фиксированной суммой: R = (N + C) / (1 − ставка налога − эквайринг).</t>
        </is>
      </c>
    </row>
    <row r="99">
      <c r="B99" t="inlineStr">
        <is>
          <t xml:space="preserve">   Добавлено поле «доля оплат через эквайринг» — если часть клиентов платит переводом, поставьте &lt; 100%.</t>
        </is>
      </c>
    </row>
    <row r="101">
      <c r="B101" t="inlineStr">
        <is>
          <t>3. Adobe CC: 2 000 ₽ помечено периодом «Год», но посчитано как 24 000 (то есть по 2 000 в месяц).</t>
        </is>
      </c>
    </row>
    <row r="102">
      <c r="B102" t="inlineStr">
        <is>
          <t xml:space="preserve">   Период приведён к месячному. Проверьте, что верно: 2 000/мес или 2 000/год.</t>
        </is>
      </c>
    </row>
    <row r="104">
      <c r="B104" t="inlineStr">
        <is>
          <t>4. Рабочее место: аренда бралась по доле кабинета (40 000 × 6/50 = 4 800), а коммуналка 7 000 — ЦЕЛИКОМ.</t>
        </is>
      </c>
    </row>
    <row r="105">
      <c r="B105" t="inlineStr">
        <is>
          <t xml:space="preserve">   Непоследовательно: либо всё по доле, либо всё целиком. Сделано по доле: (40 000 + 7 000) × 12% = 5 640 ₽/мес.</t>
        </is>
      </c>
    </row>
    <row r="106">
      <c r="B106" t="inlineStr">
        <is>
          <t xml:space="preserve">   Если считаете, что интернет и связь нужны бизнесу полностью — вынесите их отдельной строкой в переменные.</t>
        </is>
      </c>
    </row>
    <row r="108">
      <c r="B108" t="inlineStr">
        <is>
          <t>5. «Упущенная выгода» 435 996 ₽ = 108 999 × 4 мес теперь пересчитывается автоматически от желаемого дохода,</t>
        </is>
      </c>
    </row>
    <row r="109">
      <c r="B109" t="inlineStr">
        <is>
          <t xml:space="preserve">   а не зашита числом. Есть флаг 1/0 — её можно выключить.</t>
        </is>
      </c>
    </row>
    <row r="110">
      <c r="B110" t="inlineStr">
        <is>
          <t xml:space="preserve">   Замечание по сути: включать упущенную выгоду в себестоимость услуги методологически спорно.</t>
        </is>
      </c>
    </row>
    <row r="111">
      <c r="B111" t="inlineStr">
        <is>
          <t xml:space="preserve">   Это альтернативные издержки прошлого решения, клиент их не оплачивает. Она добавляет ~10 400 ₽/год к амортизации.</t>
        </is>
      </c>
    </row>
    <row r="113">
      <c r="B113" t="inlineStr">
        <is>
          <t>6. Блоки «Ваш режим налогообложения» на листе Формы были пустыми и дали бы ИТОГО = 0.</t>
        </is>
      </c>
    </row>
    <row r="114">
      <c r="B114" t="inlineStr">
        <is>
          <t xml:space="preserve">   Убраны: режим выбирается сравнением шести колонок, отдельный ввод не нужен.</t>
        </is>
      </c>
    </row>
    <row r="116">
      <c r="B116" t="inlineStr">
        <is>
          <t>7. «Работа с клиентом, часов/год = 0» — формула не была связана с числом проектов (циклическая ссылка:</t>
        </is>
      </c>
    </row>
    <row r="117">
      <c r="B117" t="inlineStr">
        <is>
          <t xml:space="preserve">   проекты зависят от времени на проект, а оно от числа проектов). Разорвано: время клиента задаётся</t>
        </is>
      </c>
    </row>
    <row r="118">
      <c r="B118" t="inlineStr">
        <is>
          <t xml:space="preserve">   на проект и входит в «Проектное время», а годовая сумма выводится как производная.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2026-07-31T07:35:49Z</dcterms:created>
  <dcterms:modified xmlns:dcterms="http://purl.org/dc/terms/" xmlns:xsi="http://www.w3.org/2001/XMLSchema-instance" xsi:type="dcterms:W3CDTF">2026-07-31T07:55:50Z</dcterms:modified>
</cp:coreProperties>
</file>