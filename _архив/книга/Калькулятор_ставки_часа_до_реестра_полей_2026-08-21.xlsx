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worksheets/sheet28.xml" ContentType="application/vnd.openxmlformats-officedocument.spreadsheetml.worksheet+xml"/>
  <Override PartName="/xl/worksheets/sheet29.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Читать" sheetId="1" state="visible" r:id="rId1"/>
    <sheet xmlns:r="http://schemas.openxmlformats.org/officeDocument/2006/relationships" name="01_Глоссарий" sheetId="2" state="visible" r:id="rId2"/>
    <sheet xmlns:r="http://schemas.openxmlformats.org/officeDocument/2006/relationships" name="02_Параметры" sheetId="3" state="visible" r:id="rId3"/>
    <sheet xmlns:r="http://schemas.openxmlformats.org/officeDocument/2006/relationships" name="03_Каталоги" sheetId="4" state="visible" r:id="rId4"/>
    <sheet xmlns:r="http://schemas.openxmlformats.org/officeDocument/2006/relationships" name="04_Итог" sheetId="5" state="visible" r:id="rId5"/>
    <sheet xmlns:r="http://schemas.openxmlformats.org/officeDocument/2006/relationships" name="05_Расчёт" sheetId="6" state="visible" r:id="rId6"/>
    <sheet xmlns:r="http://schemas.openxmlformats.org/officeDocument/2006/relationships" name="06_Отчёт" sheetId="7" state="visible" r:id="rId7"/>
    <sheet xmlns:r="http://schemas.openxmlformats.org/officeDocument/2006/relationships" name="07_Интерфейс" sheetId="8" state="visible" r:id="rId8"/>
    <sheet xmlns:r="http://schemas.openxmlformats.org/officeDocument/2006/relationships" name="08_UI" sheetId="9" state="visible" r:id="rId9"/>
    <sheet xmlns:r="http://schemas.openxmlformats.org/officeDocument/2006/relationships" name="08b_UI_Отчёт" sheetId="10" state="visible" r:id="rId10"/>
    <sheet xmlns:r="http://schemas.openxmlformats.org/officeDocument/2006/relationships" name="08c_Структура_отчёта" sheetId="11" state="visible" r:id="rId11"/>
    <sheet xmlns:r="http://schemas.openxmlformats.org/officeDocument/2006/relationships" name="09_Тексты" sheetId="12" state="visible" r:id="rId12"/>
    <sheet xmlns:r="http://schemas.openxmlformats.org/officeDocument/2006/relationships" name="09b_Методика_цифр" sheetId="13" state="visible" r:id="rId13"/>
    <sheet xmlns:r="http://schemas.openxmlformats.org/officeDocument/2006/relationships" name="09c_Палитра" sheetId="14" state="visible" r:id="rId14"/>
    <sheet xmlns:r="http://schemas.openxmlformats.org/officeDocument/2006/relationships" name="09d_Логотип" sheetId="15" state="visible" r:id="rId15"/>
    <sheet xmlns:r="http://schemas.openxmlformats.org/officeDocument/2006/relationships" name="09e_Как_считается" sheetId="16" state="visible" r:id="rId16"/>
    <sheet xmlns:r="http://schemas.openxmlformats.org/officeDocument/2006/relationships" name="09f_Группы_затрат" sheetId="17" state="visible" r:id="rId17"/>
    <sheet xmlns:r="http://schemas.openxmlformats.org/officeDocument/2006/relationships" name="09g_Сокращения" sheetId="18" state="visible" r:id="rId18"/>
    <sheet xmlns:r="http://schemas.openxmlformats.org/officeDocument/2006/relationships" name="09h_Элементы" sheetId="19" state="visible" r:id="rId19"/>
    <sheet xmlns:r="http://schemas.openxmlformats.org/officeDocument/2006/relationships" name="09i_Справочник" sheetId="20" state="visible" r:id="rId20"/>
    <sheet xmlns:r="http://schemas.openxmlformats.org/officeDocument/2006/relationships" name="10_Монетизация" sheetId="21" state="visible" r:id="rId21"/>
    <sheet xmlns:r="http://schemas.openxmlformats.org/officeDocument/2006/relationships" name="11_Ссылки" sheetId="22" state="visible" r:id="rId22"/>
    <sheet xmlns:r="http://schemas.openxmlformats.org/officeDocument/2006/relationships" name="11b_Связка" sheetId="23" state="visible" r:id="rId23"/>
    <sheet xmlns:r="http://schemas.openxmlformats.org/officeDocument/2006/relationships" name="12_Диаграммы" sheetId="24" state="visible" r:id="rId24"/>
    <sheet xmlns:r="http://schemas.openxmlformats.org/officeDocument/2006/relationships" name="13_Сетка_скидок" sheetId="25" state="visible" r:id="rId25"/>
    <sheet xmlns:r="http://schemas.openxmlformats.org/officeDocument/2006/relationships" name="13b_Программа_лояльности" sheetId="26" state="visible" r:id="rId26"/>
    <sheet xmlns:r="http://schemas.openxmlformats.org/officeDocument/2006/relationships" name="14_Опрос" sheetId="27" state="visible" r:id="rId27"/>
    <sheet xmlns:r="http://schemas.openxmlformats.org/officeDocument/2006/relationships" name="28_Журнал_изменений" sheetId="28" state="visible" r:id="rId30"/>
    <sheet xmlns:r="http://schemas.openxmlformats.org/officeDocument/2006/relationships" name="06b_Отчёт_полный" sheetId="29" state="visible" r:id="rId31"/>
  </sheets>
  <definedNames>
    <definedName name="days_year">'02_Параметры'!$C$6</definedName>
    <definedName name="work_days">'02_Параметры'!$C$7</definedName>
    <definedName name="days_week">'02_Параметры'!$C$8</definedName>
    <definedName name="months">'02_Параметры'!$C$9</definedName>
    <definedName name="quarters">'02_Параметры'!$C$10</definedName>
    <definedName name="weeks_year">'02_Параметры'!$C$11</definedName>
    <definedName name="nominal_hours">'02_Параметры'!$C$12</definedName>
    <definedName name="work_months">'02_Параметры'!$C$13</definedName>
    <definedName name="vacation_cal">'02_Параметры'!$C$14</definedName>
    <definedName name="vacation_work">'02_Параметры'!$C$15</definedName>
    <definedName name="sick_cal">'02_Параметры'!$C$16</definedName>
    <definedName name="sick_work">'02_Параметры'!$C$17</definedName>
    <definedName name="eff_hours">'02_Параметры'!$C$18</definedName>
    <definedName name="work_time">'02_Параметры'!$C$21</definedName>
    <definedName name="net_days">'02_Параметры'!$C$22</definedName>
    <definedName name="net_time">'02_Параметры'!$C$23</definedName>
    <definedName name="net_weeks">'02_Параметры'!$C$24</definedName>
    <definedName name="promo_per_day">'02_Параметры'!$C$25</definedName>
    <definedName name="promo_time">'02_Параметры'!$C$26</definedName>
    <definedName name="acc_mode">'02_Параметры'!$C$27</definedName>
    <definedName name="acc_per_quarter">'02_Параметры'!$C$28</definedName>
    <definedName name="accounting_time">'02_Параметры'!$C$29</definedName>
    <definedName name="side_time">'02_Параметры'!$C$30</definedName>
    <definedName name="pool_gross">'02_Параметры'!$C$31</definedName>
    <definedName name="fm_on">'02_Параметры'!$C$32</definedName>
    <definedName name="fm_pct">'02_Параметры'!$C$33</definedName>
    <definedName name="fm_time">'02_Параметры'!$C$34</definedName>
    <definedName name="fm_week">'02_Параметры'!$C$35</definedName>
    <definedName name="project_pool">'02_Параметры'!$C$36</definedName>
    <definedName name="post_ratio">'02_Параметры'!$C$39</definedName>
    <definedName name="profile_multiplier">'02_Параметры'!$C$40</definedName>
    <definedName name="client_time">'02_Параметры'!$C$41</definedName>
    <definedName name="shoot_duration">'02_Параметры'!$C$42</definedName>
    <definedName name="week_target">'02_Параметры'!$C$43</definedName>
    <definedName name="shoot_auto">'02_Параметры'!$C$44</definedName>
    <definedName name="project_time">'02_Параметры'!$C$45</definedName>
    <definedName name="hour_pool">'02_Параметры'!$C$46</definedName>
    <definedName name="projects_year">'02_Параметры'!$C$47</definedName>
    <definedName name="projects_month">'02_Параметры'!$C$48</definedName>
    <definedName name="projects_week">'02_Параметры'!$C$49</definedName>
    <definedName name="shooting_time">'02_Параметры'!$C$50</definedName>
    <definedName name="shooting_month">'02_Параметры'!$C$51</definedName>
    <definedName name="shooting_week">'02_Параметры'!$C$52</definedName>
    <definedName name="post_time">'02_Параметры'!$C$53</definedName>
    <definedName name="core_time">'02_Параметры'!$C$54</definedName>
    <definedName name="client_total">'02_Параметры'!$C$55</definedName>
    <definedName name="ops_per_shoot">'02_Параметры'!$C$56</definedName>
    <definedName name="income_month">'02_Параметры'!$C$59</definedName>
    <definedName name="target_income">'02_Параметры'!$C$60</definedName>
    <definedName name="current_rate">'02_Параметры'!$C$61</definedName>
    <definedName name="ws_mode">'02_Параметры'!$C$64</definedName>
    <definedName name="own_home">'02_Параметры'!$C$65</definedName>
    <definedName name="home_rent">'02_Параметры'!$C$66</definedName>
    <definedName name="home_util">'02_Параметры'!$C$67</definedName>
    <definedName name="home_area">'02_Параметры'!$C$68</definedName>
    <definedName name="cab_area">'02_Параметры'!$C$69</definedName>
    <definedName name="cab_share">'02_Параметры'!$C$70</definedName>
    <definedName name="office_rent">'02_Параметры'!$C$71</definedName>
    <definedName name="office_util">'02_Параметры'!$C$72</definedName>
    <definedName name="var_workspace">'02_Параметры'!$C$73</definedName>
    <definedName name="edu_cost">'02_Параметры'!$C$76</definedName>
    <definedName name="edu_months">'02_Параметры'!$C$77</definedName>
    <definedName name="edu_life">'02_Параметры'!$C$78</definedName>
    <definedName name="edu_opportunity">'02_Параметры'!$C$80</definedName>
    <definedName name="dep_education">'02_Параметры'!$C$81</definedName>
    <definedName name="site_mode">'02_Параметры'!$C$82</definedName>
    <definedName name="site_cost">'02_Параметры'!$C$83</definedName>
    <definedName name="site_hours">'02_Параметры'!$C$84</definedName>
    <definedName name="site_life">'02_Параметры'!$C$85</definedName>
    <definedName name="dep_website">'02_Параметры'!$C$86</definedName>
    <definedName name="site_divisor">'02_Параметры'!$C$87</definedName>
    <definedName name="dep_shoot">'02_Параметры'!$C$90</definedName>
    <definedName name="dep_office">'02_Параметры'!$C$91</definedName>
    <definedName name="dep_software">'02_Параметры'!$C$92</definedName>
    <definedName name="dep_workspace">'02_Параметры'!$C$93</definedName>
    <definedName name="investment">'02_Параметры'!$C$94</definedName>
    <definedName name="var_software">'02_Параметры'!$C$95</definedName>
    <definedName name="var_ads">'02_Параметры'!$C$96</definedName>
    <definedName name="var_bank">'02_Параметры'!$C$97</definedName>
    <definedName name="acc_cost_month">'02_Параметры'!$C$98</definedName>
    <definedName name="var_accounting">'02_Параметры'!$C$99</definedName>
    <definedName name="variable_costs">'02_Параметры'!$C$100</definedName>
    <definedName name="total_costs">'02_Параметры'!$C$101</definedName>
    <definedName name="revenue_base">'02_Параметры'!$C$102</definedName>
    <definedName name="regime">'02_Параметры'!$C$105</definedName>
    <definedName name="rate_npd_avg">'02_Параметры'!$C$106</definedName>
    <definedName name="rate_npd_fiz">'02_Параметры'!$C$107</definedName>
    <definedName name="rate_npd_ur">'02_Параметры'!$C$108</definedName>
    <definedName name="rate_usn_inc">'02_Параметры'!$C$109</definedName>
    <definedName name="rate_usn_prof">'02_Параметры'!$C$110</definedName>
    <definedName name="rate_ausn_inc">'02_Параметры'!$C$111</definedName>
    <definedName name="rate_ausn_prof">'02_Параметры'!$C$112</definedName>
    <definedName name="regime_no">'02_Параметры'!$C$113</definedName>
    <definedName name="rate_current">'02_Параметры'!$C$114</definedName>
    <definedName name="fixed_contrib">'02_Параметры'!$C$115</definedName>
    <definedName name="extra_contrib">'02_Параметры'!$C$116</definedName>
    <definedName name="contrib_threshold">'02_Параметры'!$C$117</definedName>
    <definedName name="contrib_cap">'02_Параметры'!$C$118</definedName>
    <definedName name="threshold_credit">'02_Параметры'!$C$119</definedName>
    <definedName name="min_tax_usn">'02_Параметры'!$C$120</definedName>
    <definedName name="min_tax_ausn">'02_Параметры'!$C$121</definedName>
    <definedName name="injury_contrib">'02_Параметры'!$C$122</definedName>
    <definedName name="acq_rate">'02_Параметры'!$C$123</definedName>
    <definedName name="acq_share">'02_Параметры'!$C$124</definedName>
    <definedName name="acquiring">'02_Параметры'!$C$125</definedName>
    <definedName name="vat_threshold">'02_Параметры'!$C$126</definedName>
    <definedName name="limit_npd">'02_Параметры'!$C$127</definedName>
    <definedName name="limit_ausn">'02_Параметры'!$C$128</definedName>
    <definedName name="naive_rate">'02_Параметры'!$C$131</definedName>
    <definedName name="base_rate">'02_Параметры'!$C$132</definedName>
    <definedName name="ops_rate">'02_Параметры'!$C$133</definedName>
    <definedName name="full_hour_rate">'02_Параметры'!$C$134</definedName>
    <definedName name="site_value">'02_Параметры'!$C$135</definedName>
    <definedName name="cat_form">'03_Каталоги'!$A$5:$A$41</definedName>
    <definedName name="cat_year">'03_Каталоги'!$G$5:$G$41</definedName>
    <definedName name="idle_time">'02_Параметры'!$C$138</definedName>
    <definedName name="idle_week">'02_Параметры'!$C$139</definedName>
    <definedName name="hour_all">'02_Параметры'!$C$140</definedName>
    <definedName name="frames_out">'02_Параметры'!$C$141</definedName>
    <definedName name="frames_total">'02_Параметры'!$C$142</definedName>
    <definedName name="equip_only">'02_Параметры'!$C$143</definedName>
    <definedName name="_xlnm._FilterDatabase" localSheetId="11" hidden="1">'09_Тексты'!$A$4:$C$514</definedName>
  </definedNames>
  <calcPr calcId="124519" calcMode="auto" fullCalcOnLoad="1" forceFullCalc="1"/>
</workbook>
</file>

<file path=xl/styles.xml><?xml version="1.0" encoding="utf-8"?>
<styleSheet xmlns="http://schemas.openxmlformats.org/spreadsheetml/2006/main">
  <numFmts count="7">
    <numFmt numFmtId="164" formatCode="# ##0"/>
    <numFmt numFmtId="165" formatCode="# ##0.00"/>
    <numFmt numFmtId="166" formatCode="# ##0.00 ₽"/>
    <numFmt numFmtId="167" formatCode="# ##0 ₽"/>
    <numFmt numFmtId="168" formatCode="0.000000"/>
    <numFmt numFmtId="169" formatCode="0.0%"/>
    <numFmt numFmtId="170" formatCode="0.0"/>
  </numFmts>
  <fonts count="42">
    <font>
      <name val="Calibri"/>
      <family val="2"/>
      <color theme="1"/>
      <sz val="11"/>
      <scheme val="minor"/>
    </font>
    <font>
      <b val="1"/>
      <sz val="14"/>
    </font>
    <font>
      <i val="1"/>
      <color rgb="00808080"/>
      <sz val="9"/>
    </font>
    <font>
      <b val="1"/>
      <color rgb="00FFFFFF"/>
    </font>
    <font>
      <b val="1"/>
    </font>
    <font>
      <name val="Consolas"/>
      <sz val="10"/>
    </font>
    <font>
      <i val="1"/>
      <color rgb="00C00000"/>
      <sz val="9"/>
    </font>
    <font>
      <b val="1"/>
      <sz val="12"/>
    </font>
    <font>
      <sz val="8"/>
    </font>
    <font>
      <sz val="9"/>
    </font>
    <font>
      <i val="1"/>
      <color rgb="00FFFFFF"/>
      <sz val="9"/>
    </font>
    <font>
      <b val="1"/>
      <color rgb="00FFFFFF"/>
      <sz val="11"/>
    </font>
    <font>
      <name val="Consolas"/>
      <sz val="9"/>
    </font>
    <font>
      <name val="Arial"/>
      <color rgb="00C00000"/>
      <sz val="10"/>
    </font>
    <font>
      <name val="Arial"/>
      <b val="1"/>
      <color rgb="001F3864"/>
      <sz val="14"/>
    </font>
    <font>
      <name val="Arial"/>
      <i val="1"/>
      <color rgb="00808080"/>
      <sz val="9"/>
    </font>
    <font>
      <name val="Arial"/>
      <b val="1"/>
      <color rgb="001F3864"/>
      <sz val="11"/>
    </font>
    <font>
      <name val="Arial"/>
      <b val="1"/>
      <color rgb="00FFFFFF"/>
      <sz val="11"/>
    </font>
    <font>
      <name val="Arial"/>
      <b val="1"/>
      <sz val="10"/>
    </font>
    <font>
      <name val="Arial"/>
      <sz val="10"/>
    </font>
    <font>
      <name val="Consolas"/>
      <color rgb="001F4E79"/>
      <sz val="9"/>
    </font>
    <font>
      <name val="Arial"/>
      <b val="1"/>
      <color rgb="001F3864"/>
      <sz val="15"/>
    </font>
    <font>
      <name val="Consolas"/>
      <color rgb="001F4E79"/>
      <sz val="8"/>
    </font>
    <font>
      <name val="Arial"/>
      <b val="1"/>
      <color rgb="00FFFFFF"/>
      <sz val="10"/>
    </font>
    <font>
      <name val="Arial"/>
      <sz val="9.5"/>
    </font>
    <font>
      <name val="Consolas"/>
      <color rgb="001F4E79"/>
      <sz val="8.5"/>
    </font>
    <font>
      <name val="Arial"/>
      <b val="1"/>
      <color rgb="00FFFFFF"/>
      <sz val="12"/>
    </font>
    <font>
      <name val="Consolas"/>
      <b val="1"/>
      <color rgb="001F4E79"/>
      <sz val="10"/>
    </font>
    <font>
      <name val="Consolas"/>
      <b val="1"/>
      <color rgb="000B6B22"/>
      <sz val="11"/>
    </font>
    <font>
      <name val="Arial"/>
      <b val="1"/>
      <color rgb="001F3864"/>
      <sz val="12"/>
    </font>
    <font>
      <name val="Arial"/>
      <b val="1"/>
      <color rgb="00B45309"/>
      <sz val="10"/>
    </font>
    <font>
      <color rgb="FF808080"/>
      <sz val="9"/>
    </font>
    <font>
      <b val="1"/>
      <color rgb="FFFFFFFF"/>
    </font>
    <font>
      <color rgb="FF9C5555"/>
      <sz val="9"/>
    </font>
    <font>
      <sz val="11"/>
    </font>
    <font>
      <sz val="10"/>
    </font>
    <font>
      <color rgb="FF9C0006"/>
      <sz val="9"/>
    </font>
    <font>
      <color rgb="FF7F6000"/>
      <sz val="9"/>
    </font>
    <font>
      <color rgb="FFFFFFFF"/>
    </font>
    <font>
      <color rgb="FF9C0006"/>
    </font>
    <font>
      <color rgb="00808080"/>
      <sz val="9"/>
    </font>
    <font>
      <color rgb="00C00000"/>
      <sz val="9"/>
    </font>
  </fonts>
  <fills count="106">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E2EFDA"/>
      </patternFill>
    </fill>
    <fill>
      <patternFill patternType="solid">
        <fgColor rgb="00FFF2CC"/>
      </patternFill>
    </fill>
    <fill>
      <patternFill patternType="solid">
        <fgColor rgb="00FFE699"/>
      </patternFill>
    </fill>
    <fill>
      <patternFill patternType="solid">
        <fgColor rgb="00FCE4D6"/>
      </patternFill>
    </fill>
    <fill>
      <patternFill patternType="solid">
        <fgColor rgb="00FFD7D7"/>
      </patternFill>
    </fill>
    <fill>
      <patternFill patternType="solid">
        <fgColor rgb="0070AD47"/>
      </patternFill>
    </fill>
    <fill>
      <patternFill patternType="solid">
        <fgColor rgb="00C00000"/>
      </patternFill>
    </fill>
    <fill>
      <patternFill patternType="solid">
        <fgColor rgb="00ED7D31"/>
      </patternFill>
    </fill>
    <fill>
      <patternFill patternType="solid">
        <fgColor rgb="007030A0"/>
      </patternFill>
    </fill>
    <fill>
      <patternFill patternType="solid">
        <fgColor rgb="004472C4"/>
      </patternFill>
    </fill>
    <fill>
      <patternFill patternType="solid">
        <fgColor rgb="00D9D9D9"/>
      </patternFill>
    </fill>
    <fill>
      <patternFill patternType="solid">
        <fgColor rgb="00FFC000"/>
      </patternFill>
    </fill>
    <fill>
      <patternFill patternType="solid">
        <fgColor rgb="00A6A6A6"/>
      </patternFill>
    </fill>
    <fill>
      <patternFill patternType="solid">
        <fgColor rgb="000B6B22"/>
      </patternFill>
    </fill>
    <fill>
      <patternFill patternType="solid">
        <fgColor rgb="001B9331"/>
      </patternFill>
    </fill>
    <fill>
      <patternFill patternType="solid">
        <fgColor rgb="0035B94C"/>
      </patternFill>
    </fill>
    <fill>
      <patternFill patternType="solid">
        <fgColor rgb="006FD183"/>
      </patternFill>
    </fill>
    <fill>
      <patternFill patternType="solid">
        <fgColor rgb="00A6E5B2"/>
      </patternFill>
    </fill>
    <fill>
      <patternFill patternType="solid">
        <fgColor rgb="00CDF2D5"/>
      </patternFill>
    </fill>
    <fill>
      <patternFill patternType="solid">
        <fgColor rgb="00EF4444"/>
      </patternFill>
    </fill>
    <fill>
      <patternFill patternType="solid">
        <fgColor rgb="00F59E0B"/>
      </patternFill>
    </fill>
    <fill>
      <patternFill patternType="solid">
        <fgColor rgb="00FB923C"/>
      </patternFill>
    </fill>
    <fill>
      <patternFill patternType="solid">
        <fgColor rgb="008B5CF6"/>
      </patternFill>
    </fill>
    <fill>
      <patternFill patternType="solid">
        <fgColor rgb="003B82F6"/>
      </patternFill>
    </fill>
    <fill>
      <patternFill patternType="solid">
        <fgColor rgb="00E5E7EB"/>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4FC26A"/>
      </patternFill>
    </fill>
    <fill>
      <patternFill patternType="solid">
        <fgColor rgb="0021A038"/>
      </patternFill>
    </fill>
    <fill>
      <patternFill patternType="solid">
        <fgColor rgb="00158026"/>
      </patternFill>
    </fill>
    <fill>
      <patternFill patternType="solid">
        <fgColor rgb="0014532D"/>
      </patternFill>
    </fill>
    <fill>
      <patternFill patternType="solid">
        <fgColor rgb="005C9C6C"/>
      </patternFill>
    </fill>
    <fill>
      <patternFill patternType="solid">
        <fgColor rgb="00FFF6F6"/>
      </patternFill>
    </fill>
    <fill>
      <patternFill patternType="solid">
        <fgColor rgb="00FDE8E8"/>
      </patternFill>
    </fill>
    <fill>
      <patternFill patternType="solid">
        <fgColor rgb="00F7D3D3"/>
      </patternFill>
    </fill>
    <fill>
      <patternFill patternType="solid">
        <fgColor rgb="00E4A9A9"/>
      </patternFill>
    </fill>
    <fill>
      <patternFill patternType="solid">
        <fgColor rgb="00E8828E"/>
      </patternFill>
    </fill>
    <fill>
      <patternFill patternType="solid">
        <fgColor rgb="00D6566A"/>
      </patternFill>
    </fill>
    <fill>
      <patternFill patternType="solid">
        <fgColor rgb="00C43D51"/>
      </patternFill>
    </fill>
    <fill>
      <patternFill patternType="solid">
        <fgColor rgb="00D0342F"/>
      </patternFill>
    </fill>
    <fill>
      <patternFill patternType="solid">
        <fgColor rgb="00B91C1C"/>
      </patternFill>
    </fill>
    <fill>
      <patternFill patternType="solid">
        <fgColor rgb="00991B1B"/>
      </patternFill>
    </fill>
    <fill>
      <patternFill patternType="solid">
        <fgColor rgb="007F1D1D"/>
      </patternFill>
    </fill>
    <fill>
      <patternFill patternType="solid">
        <fgColor rgb="00FFFBEF"/>
      </patternFill>
    </fill>
    <fill>
      <patternFill patternType="solid">
        <fgColor rgb="00FEF3D6"/>
      </patternFill>
    </fill>
    <fill>
      <patternFill patternType="solid">
        <fgColor rgb="00FBE3AE"/>
      </patternFill>
    </fill>
    <fill>
      <patternFill patternType="solid">
        <fgColor rgb="00F2C48A"/>
      </patternFill>
    </fill>
    <fill>
      <patternFill patternType="solid">
        <fgColor rgb="00E8A05C"/>
      </patternFill>
    </fill>
    <fill>
      <patternFill patternType="solid">
        <fgColor rgb="00F5B301"/>
      </patternFill>
    </fill>
    <fill>
      <patternFill patternType="solid">
        <fgColor rgb="00D9762E"/>
      </patternFill>
    </fill>
    <fill>
      <patternFill patternType="solid">
        <fgColor rgb="00C4551F"/>
      </patternFill>
    </fill>
    <fill>
      <patternFill patternType="solid">
        <fgColor rgb="00B45309"/>
      </patternFill>
    </fill>
    <fill>
      <patternFill patternType="solid">
        <fgColor rgb="0092400E"/>
      </patternFill>
    </fill>
    <fill>
      <patternFill patternType="solid">
        <fgColor rgb="007A5309"/>
      </patternFill>
    </fill>
    <fill>
      <patternFill patternType="solid">
        <fgColor rgb="008A5C4A"/>
      </patternFill>
    </fill>
    <fill>
      <patternFill patternType="solid">
        <fgColor rgb="005F3B2E"/>
      </patternFill>
    </fill>
    <fill>
      <patternFill patternType="solid">
        <fgColor rgb="00F6FAFE"/>
      </patternFill>
    </fill>
    <fill>
      <patternFill patternType="solid">
        <fgColor rgb="00E7F0FA"/>
      </patternFill>
    </fill>
    <fill>
      <patternFill patternType="solid">
        <fgColor rgb="00CFE0F3"/>
      </patternFill>
    </fill>
    <fill>
      <patternFill patternType="solid">
        <fgColor rgb="00B7C9E8"/>
      </patternFill>
    </fill>
    <fill>
      <patternFill patternType="solid">
        <fgColor rgb="008FC7E8"/>
      </patternFill>
    </fill>
    <fill>
      <patternFill patternType="solid">
        <fgColor rgb="005CA8E0"/>
      </patternFill>
    </fill>
    <fill>
      <patternFill patternType="solid">
        <fgColor rgb="002F80C4"/>
      </patternFill>
    </fill>
    <fill>
      <patternFill patternType="solid">
        <fgColor rgb="002A6FAB"/>
      </patternFill>
    </fill>
    <fill>
      <patternFill patternType="solid">
        <fgColor rgb="001D4ED8"/>
      </patternFill>
    </fill>
    <fill>
      <patternFill patternType="solid">
        <fgColor rgb="003B6398"/>
      </patternFill>
    </fill>
    <fill>
      <patternFill patternType="solid">
        <fgColor rgb="007189AE"/>
      </patternFill>
    </fill>
    <fill>
      <patternFill patternType="solid">
        <fgColor rgb="00F8F5FE"/>
      </patternFill>
    </fill>
    <fill>
      <patternFill patternType="solid">
        <fgColor rgb="00C7B9EC"/>
      </patternFill>
    </fill>
    <fill>
      <patternFill patternType="solid">
        <fgColor rgb="006D3FD4"/>
      </patternFill>
    </fill>
    <fill>
      <patternFill patternType="solid">
        <fgColor rgb="00FFF7FB"/>
      </patternFill>
    </fill>
    <fill>
      <patternFill patternType="solid">
        <fgColor rgb="00FCE7F3"/>
      </patternFill>
    </fill>
    <fill>
      <patternFill patternType="solid">
        <fgColor rgb="00EC4899"/>
      </patternFill>
    </fill>
    <fill>
      <patternFill patternType="solid">
        <fgColor rgb="009D174D"/>
      </patternFill>
    </fill>
    <fill>
      <patternFill patternType="solid">
        <fgColor rgb="00FFF9E6"/>
      </patternFill>
    </fill>
    <fill>
      <patternFill patternType="solid">
        <fgColor rgb="00E8F5EA"/>
      </patternFill>
    </fill>
    <fill>
      <patternFill patternType="solid">
        <fgColor rgb="00F9BBD4"/>
      </patternFill>
    </fill>
    <fill>
      <patternFill patternType="solid">
        <fgColor rgb="00F5C6DC"/>
      </patternFill>
    </fill>
    <fill>
      <patternFill patternType="solid">
        <fgColor rgb="00F385B4"/>
      </patternFill>
    </fill>
    <fill>
      <patternFill patternType="solid">
        <fgColor rgb="00B93A6B"/>
      </patternFill>
    </fill>
    <fill>
      <patternFill patternType="solid">
        <fgColor rgb="00EDEDED"/>
      </patternFill>
    </fill>
    <fill>
      <patternFill patternType="solid">
        <fgColor rgb="002FA84A"/>
      </patternFill>
    </fill>
    <fill>
      <patternFill patternType="solid">
        <fgColor rgb="005F8A1B"/>
      </patternFill>
    </fill>
    <fill>
      <patternFill patternType="solid">
        <fgColor rgb="008CB82F"/>
      </patternFill>
    </fill>
    <fill>
      <patternFill patternType="solid">
        <fgColor rgb="00B9D96F"/>
      </patternFill>
    </fill>
    <fill>
      <patternFill patternType="solid">
        <fgColor rgb="00833AB4"/>
      </patternFill>
    </fill>
    <fill>
      <patternFill patternType="solid">
        <fgColor rgb="00C13584"/>
      </patternFill>
    </fill>
    <fill>
      <patternFill patternType="solid">
        <fgColor rgb="00E1306C"/>
      </patternFill>
    </fill>
    <fill>
      <patternFill patternType="solid">
        <fgColor rgb="00F56040"/>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14">
    <xf numFmtId="0" fontId="0" fillId="0" borderId="0" pivotButton="0" quotePrefix="0" xfId="0"/>
    <xf numFmtId="0" fontId="1" fillId="0" borderId="0" pivotButton="0" quotePrefix="0" xfId="0"/>
    <xf numFmtId="0" fontId="4" fillId="0" borderId="0" pivotButton="0" quotePrefix="0" xfId="0"/>
    <xf numFmtId="0" fontId="3" fillId="2" borderId="0" pivotButton="0" quotePrefix="0" xfId="0"/>
    <xf numFmtId="0" fontId="4" fillId="3" borderId="1" pivotButton="0" quotePrefix="0" xfId="0"/>
    <xf numFmtId="0" fontId="0"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xf>
    <xf numFmtId="0" fontId="0" fillId="8" borderId="1" applyAlignment="1" pivotButton="0" quotePrefix="0" xfId="0">
      <alignment vertical="top" wrapText="1"/>
    </xf>
    <xf numFmtId="0" fontId="5" fillId="8" borderId="1" applyAlignment="1" pivotButton="0" quotePrefix="0" xfId="0">
      <alignment vertical="top" wrapText="1"/>
    </xf>
    <xf numFmtId="0" fontId="5" fillId="8" borderId="1" applyAlignment="1" pivotButton="0" quotePrefix="0" xfId="0">
      <alignment horizontal="center"/>
    </xf>
    <xf numFmtId="0" fontId="0" fillId="3" borderId="1" applyAlignment="1" pivotButton="0" quotePrefix="0" xfId="0">
      <alignment vertical="top" wrapText="1"/>
    </xf>
    <xf numFmtId="0" fontId="5" fillId="3" borderId="1" applyAlignment="1" pivotButton="0" quotePrefix="0" xfId="0">
      <alignment vertical="top" wrapText="1"/>
    </xf>
    <xf numFmtId="0" fontId="5" fillId="3" borderId="1" applyAlignment="1" pivotButton="0" quotePrefix="0" xfId="0">
      <alignment horizontal="center"/>
    </xf>
    <xf numFmtId="0" fontId="0" fillId="7"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xf>
    <xf numFmtId="0" fontId="0" fillId="9" borderId="1" applyAlignment="1" pivotButton="0" quotePrefix="0" xfId="0">
      <alignment vertical="top" wrapText="1"/>
    </xf>
    <xf numFmtId="0" fontId="5" fillId="9" borderId="1" applyAlignment="1" pivotButton="0" quotePrefix="0" xfId="0">
      <alignment vertical="top" wrapText="1"/>
    </xf>
    <xf numFmtId="0" fontId="5" fillId="9" borderId="1" applyAlignment="1" pivotButton="0" quotePrefix="0" xfId="0">
      <alignment horizontal="center"/>
    </xf>
    <xf numFmtId="0" fontId="0"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xf>
    <xf numFmtId="0" fontId="0" fillId="3" borderId="0" pivotButton="0" quotePrefix="0" xfId="0"/>
    <xf numFmtId="0" fontId="4" fillId="3"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0" fontId="0" fillId="0" borderId="1" pivotButton="0" quotePrefix="0" xfId="0"/>
    <xf numFmtId="164" fontId="4" fillId="4" borderId="1" pivotButton="0" quotePrefix="0" xfId="0"/>
    <xf numFmtId="0" fontId="2" fillId="0" borderId="1" applyAlignment="1" pivotButton="0" quotePrefix="0" xfId="0">
      <alignment vertical="top" wrapText="1"/>
    </xf>
    <xf numFmtId="165" fontId="0" fillId="5" borderId="1" pivotButton="0" quotePrefix="0" xfId="0"/>
    <xf numFmtId="164" fontId="0" fillId="5" borderId="1" pivotButton="0" quotePrefix="0" xfId="0"/>
    <xf numFmtId="165" fontId="4" fillId="6" borderId="1" pivotButton="0" quotePrefix="0" xfId="0"/>
    <xf numFmtId="0" fontId="4" fillId="7" borderId="1" pivotButton="0" quotePrefix="0" xfId="0"/>
    <xf numFmtId="10" fontId="4" fillId="6" borderId="1" pivotButton="0" quotePrefix="0" xfId="0"/>
    <xf numFmtId="166" fontId="0" fillId="5" borderId="1" pivotButton="0" quotePrefix="0" xfId="0"/>
    <xf numFmtId="167" fontId="4" fillId="6" borderId="1" pivotButton="0" quotePrefix="0" xfId="0"/>
    <xf numFmtId="167" fontId="0" fillId="5" borderId="1" pivotButton="0" quotePrefix="0" xfId="0"/>
    <xf numFmtId="10" fontId="0" fillId="5" borderId="1" pivotButton="0" quotePrefix="0" xfId="0"/>
    <xf numFmtId="164" fontId="4" fillId="6" borderId="1" pivotButton="0" quotePrefix="0" xfId="0"/>
    <xf numFmtId="168" fontId="0" fillId="5" borderId="1" pivotButton="0" quotePrefix="0" xfId="0"/>
    <xf numFmtId="10" fontId="4" fillId="4" borderId="1" pivotButton="0" quotePrefix="0" xfId="0"/>
    <xf numFmtId="167" fontId="4" fillId="4" borderId="1" pivotButton="0" quotePrefix="0" xfId="0"/>
    <xf numFmtId="0" fontId="4" fillId="3" borderId="1" applyAlignment="1" pivotButton="0" quotePrefix="0" xfId="0">
      <alignment horizontal="center" wrapText="1"/>
    </xf>
    <xf numFmtId="167" fontId="0" fillId="6" borderId="1" pivotButton="0" quotePrefix="0" xfId="0"/>
    <xf numFmtId="0" fontId="0" fillId="6" borderId="1" pivotButton="0" quotePrefix="0" xfId="0"/>
    <xf numFmtId="0" fontId="0" fillId="7" borderId="1" pivotButton="0" quotePrefix="0" xfId="0"/>
    <xf numFmtId="167" fontId="4" fillId="8" borderId="1" pivotButton="0" quotePrefix="0" xfId="0"/>
    <xf numFmtId="166" fontId="4" fillId="3" borderId="1" pivotButton="0" quotePrefix="0" xfId="0"/>
    <xf numFmtId="10" fontId="4" fillId="8" borderId="1" pivotButton="0" quotePrefix="0" xfId="0"/>
    <xf numFmtId="167" fontId="4" fillId="3" borderId="1" pivotButton="0" quotePrefix="0" xfId="0"/>
    <xf numFmtId="165" fontId="0" fillId="8" borderId="1" pivotButton="0" quotePrefix="0" xfId="0"/>
    <xf numFmtId="0" fontId="4" fillId="5" borderId="1" applyAlignment="1" pivotButton="0" quotePrefix="0" xfId="0">
      <alignment horizontal="center"/>
    </xf>
    <xf numFmtId="167" fontId="4" fillId="9" borderId="1" pivotButton="0" quotePrefix="0" xfId="0"/>
    <xf numFmtId="167" fontId="0" fillId="8" borderId="1" pivotButton="0" quotePrefix="0" xfId="0"/>
    <xf numFmtId="0" fontId="3" fillId="2" borderId="1" applyAlignment="1" pivotButton="0" quotePrefix="0" xfId="0">
      <alignment horizontal="center" vertical="center" wrapText="1"/>
    </xf>
    <xf numFmtId="167" fontId="0" fillId="0" borderId="1" pivotButton="0" quotePrefix="0" xfId="0"/>
    <xf numFmtId="167" fontId="4" fillId="5" borderId="1" pivotButton="0" quotePrefix="0" xfId="0"/>
    <xf numFmtId="10" fontId="4" fillId="5" borderId="1" pivotButton="0" quotePrefix="0" xfId="0"/>
    <xf numFmtId="167" fontId="0" fillId="3" borderId="1" pivotButton="0" quotePrefix="0" xfId="0"/>
    <xf numFmtId="0" fontId="0" fillId="0" borderId="1" applyAlignment="1" pivotButton="0" quotePrefix="0" xfId="0">
      <alignment horizontal="center"/>
    </xf>
    <xf numFmtId="10" fontId="0" fillId="0" borderId="1" pivotButton="0" quotePrefix="0" xfId="0"/>
    <xf numFmtId="165" fontId="2" fillId="0" borderId="1" pivotButton="0" quotePrefix="0" xfId="0"/>
    <xf numFmtId="0" fontId="4" fillId="5" borderId="1" pivotButton="0" quotePrefix="0" xfId="0"/>
    <xf numFmtId="10" fontId="0" fillId="8" borderId="1" pivotButton="0" quotePrefix="0" xfId="0"/>
    <xf numFmtId="167" fontId="0" fillId="9" borderId="1" pivotButton="0" quotePrefix="0" xfId="0"/>
    <xf numFmtId="10" fontId="0" fillId="9" borderId="1" pivotButton="0" quotePrefix="0" xfId="0"/>
    <xf numFmtId="167" fontId="0" fillId="4" borderId="1" pivotButton="0" quotePrefix="0" xfId="0"/>
    <xf numFmtId="10" fontId="0" fillId="4" borderId="1" pivotButton="0" quotePrefix="0" xfId="0"/>
    <xf numFmtId="0" fontId="6" fillId="0" borderId="0" pivotButton="0" quotePrefix="0" xfId="0"/>
    <xf numFmtId="0" fontId="4" fillId="8" borderId="1" pivotButton="0" quotePrefix="0" xfId="0"/>
    <xf numFmtId="0" fontId="0" fillId="0" borderId="4" pivotButton="0" quotePrefix="0" xfId="0"/>
    <xf numFmtId="0" fontId="0" fillId="0" borderId="5" pivotButton="0" quotePrefix="0" xfId="0"/>
    <xf numFmtId="0" fontId="4" fillId="9" borderId="1" pivotButton="0" quotePrefix="0" xfId="0"/>
    <xf numFmtId="0" fontId="4" fillId="4" borderId="1" pivotButton="0" quotePrefix="0" xfId="0"/>
    <xf numFmtId="0" fontId="4" fillId="3" borderId="1" applyAlignment="1" pivotButton="0" quotePrefix="0" xfId="0">
      <alignment horizontal="center"/>
    </xf>
    <xf numFmtId="0" fontId="4" fillId="0" borderId="1" pivotButton="0" quotePrefix="0" xfId="0"/>
    <xf numFmtId="10" fontId="4" fillId="9" borderId="1" pivotButton="0" quotePrefix="0" xfId="0"/>
    <xf numFmtId="167" fontId="7" fillId="8" borderId="1" pivotButton="0" quotePrefix="0" xfId="0"/>
    <xf numFmtId="167" fontId="3" fillId="10" borderId="1" pivotButton="0" quotePrefix="0" xfId="0"/>
    <xf numFmtId="167" fontId="3" fillId="11" borderId="1" pivotButton="0" quotePrefix="0" xfId="0"/>
    <xf numFmtId="167" fontId="3" fillId="12" borderId="1" pivotButton="0" quotePrefix="0" xfId="0"/>
    <xf numFmtId="167" fontId="3" fillId="13" borderId="1" pivotButton="0" quotePrefix="0" xfId="0"/>
    <xf numFmtId="167" fontId="3" fillId="14" borderId="1" pivotButton="0" quotePrefix="0" xfId="0"/>
    <xf numFmtId="165" fontId="0" fillId="0" borderId="1" pivotButton="0" quotePrefix="0" xfId="0"/>
    <xf numFmtId="165" fontId="4" fillId="8" borderId="1" pivotButton="0" quotePrefix="0" xfId="0"/>
    <xf numFmtId="0" fontId="4" fillId="9" borderId="0" pivotButton="0" quotePrefix="0" xfId="0"/>
    <xf numFmtId="167" fontId="7" fillId="9" borderId="1" pivotButton="0" quotePrefix="0" xfId="0"/>
    <xf numFmtId="0" fontId="4" fillId="4" borderId="0" pivotButton="0" quotePrefix="0" xfId="0"/>
    <xf numFmtId="167" fontId="7" fillId="4" borderId="1" pivotButton="0" quotePrefix="0" xfId="0"/>
    <xf numFmtId="0" fontId="8" fillId="0" borderId="1" pivotButton="0" quotePrefix="0" xfId="0"/>
    <xf numFmtId="0" fontId="0" fillId="15" borderId="1" pivotButton="0" quotePrefix="0" xfId="0"/>
    <xf numFmtId="0" fontId="0" fillId="4" borderId="1" pivotButton="0" quotePrefix="0" xfId="0"/>
    <xf numFmtId="0" fontId="9" fillId="0" borderId="0" pivotButton="0" quotePrefix="0" xfId="0"/>
    <xf numFmtId="0" fontId="0" fillId="11" borderId="1" pivotButton="0" quotePrefix="0" xfId="0"/>
    <xf numFmtId="0" fontId="0" fillId="12" borderId="1" pivotButton="0" quotePrefix="0" xfId="0"/>
    <xf numFmtId="0" fontId="0" fillId="16" borderId="1" pivotButton="0" quotePrefix="0" xfId="0"/>
    <xf numFmtId="0" fontId="0" fillId="14" borderId="1" pivotButton="0" quotePrefix="0" xfId="0"/>
    <xf numFmtId="0" fontId="0" fillId="13" borderId="1" pivotButton="0" quotePrefix="0" xfId="0"/>
    <xf numFmtId="0" fontId="0" fillId="17" borderId="1" pivotButton="0" quotePrefix="0" xfId="0"/>
    <xf numFmtId="0" fontId="3" fillId="2" borderId="0" applyAlignment="1" pivotButton="0" quotePrefix="0" xfId="0">
      <alignment horizontal="center"/>
    </xf>
    <xf numFmtId="0" fontId="10" fillId="2" borderId="0" pivotButton="0" quotePrefix="0" xfId="0"/>
    <xf numFmtId="0" fontId="0" fillId="2" borderId="0" pivotButton="0" quotePrefix="0" xfId="0"/>
    <xf numFmtId="0" fontId="0" fillId="3" borderId="1" applyAlignment="1" pivotButton="0" quotePrefix="0" xfId="0">
      <alignment horizontal="center"/>
    </xf>
    <xf numFmtId="0" fontId="0" fillId="9" borderId="1" applyAlignment="1" pivotButton="0" quotePrefix="0" xfId="0">
      <alignment horizontal="center"/>
    </xf>
    <xf numFmtId="0" fontId="0" fillId="7"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horizontal="center"/>
    </xf>
    <xf numFmtId="0" fontId="0" fillId="8" borderId="1" applyAlignment="1" pivotButton="0" quotePrefix="0" xfId="0">
      <alignment horizontal="center"/>
    </xf>
    <xf numFmtId="0" fontId="2" fillId="0" borderId="1" pivotButton="0" quotePrefix="0" xfId="0"/>
    <xf numFmtId="0" fontId="0" fillId="6" borderId="1" applyAlignment="1" pivotButton="0" quotePrefix="0" xfId="0">
      <alignment vertical="top" wrapText="1"/>
    </xf>
    <xf numFmtId="167" fontId="0" fillId="6" borderId="1" applyAlignment="1" pivotButton="0" quotePrefix="0" xfId="0">
      <alignment vertical="top" wrapText="1"/>
    </xf>
    <xf numFmtId="164" fontId="0" fillId="6" borderId="1" applyAlignment="1" pivotButton="0" quotePrefix="0" xfId="0">
      <alignment vertical="top" wrapText="1"/>
    </xf>
    <xf numFmtId="167" fontId="0" fillId="5" borderId="1" applyAlignment="1" pivotButton="0" quotePrefix="0" xfId="0">
      <alignment vertical="top" wrapText="1"/>
    </xf>
    <xf numFmtId="164" fontId="0" fillId="5" borderId="1" applyAlignment="1" pivotButton="0" quotePrefix="0" xfId="0">
      <alignment vertical="top" wrapText="1"/>
    </xf>
    <xf numFmtId="167" fontId="0" fillId="8" borderId="1" applyAlignment="1" pivotButton="0" quotePrefix="0" xfId="0">
      <alignment vertical="top" wrapText="1"/>
    </xf>
    <xf numFmtId="10" fontId="0" fillId="6" borderId="1" applyAlignment="1" pivotButton="0" quotePrefix="0" xfId="0">
      <alignment vertical="top" wrapText="1"/>
    </xf>
    <xf numFmtId="167" fontId="0" fillId="9" borderId="1" applyAlignment="1" pivotButton="0" quotePrefix="0" xfId="0">
      <alignment vertical="top" wrapText="1"/>
    </xf>
    <xf numFmtId="0" fontId="5" fillId="6" borderId="1" pivotButton="0" quotePrefix="0" xfId="0"/>
    <xf numFmtId="0" fontId="5" fillId="0" borderId="1" applyAlignment="1" pivotButton="0" quotePrefix="0" xfId="0">
      <alignment wrapText="1"/>
    </xf>
    <xf numFmtId="0" fontId="0" fillId="5" borderId="1" pivotButton="0" quotePrefix="0" xfId="0"/>
    <xf numFmtId="0" fontId="0" fillId="6" borderId="1" applyAlignment="1" pivotButton="0" quotePrefix="0" xfId="0">
      <alignment horizontal="center"/>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5" fillId="21" borderId="1" applyAlignment="1" pivotButton="0" quotePrefix="0" xfId="0">
      <alignment vertical="top" wrapText="1"/>
    </xf>
    <xf numFmtId="0" fontId="5" fillId="22" borderId="1" applyAlignment="1" pivotButton="0" quotePrefix="0" xfId="0">
      <alignment vertical="top" wrapText="1"/>
    </xf>
    <xf numFmtId="0" fontId="5" fillId="23" borderId="1" applyAlignment="1" pivotButton="0" quotePrefix="0" xfId="0">
      <alignment vertical="top" wrapText="1"/>
    </xf>
    <xf numFmtId="0" fontId="5" fillId="24" borderId="1" applyAlignment="1" pivotButton="0" quotePrefix="0" xfId="0">
      <alignment vertical="top" wrapText="1"/>
    </xf>
    <xf numFmtId="0" fontId="5" fillId="25" borderId="1" applyAlignment="1" pivotButton="0" quotePrefix="0" xfId="0">
      <alignment vertical="top" wrapText="1"/>
    </xf>
    <xf numFmtId="0" fontId="5" fillId="26" borderId="1" applyAlignment="1" pivotButton="0" quotePrefix="0" xfId="0">
      <alignment vertical="top" wrapText="1"/>
    </xf>
    <xf numFmtId="0" fontId="5" fillId="27" borderId="1" applyAlignment="1" pivotButton="0" quotePrefix="0" xfId="0">
      <alignment vertical="top" wrapText="1"/>
    </xf>
    <xf numFmtId="0" fontId="5" fillId="28" borderId="1" applyAlignment="1" pivotButton="0" quotePrefix="0" xfId="0">
      <alignment vertical="top" wrapText="1"/>
    </xf>
    <xf numFmtId="0" fontId="5" fillId="29" borderId="1" applyAlignment="1" pivotButton="0" quotePrefix="0" xfId="0">
      <alignment vertical="top" wrapText="1"/>
    </xf>
    <xf numFmtId="167" fontId="0" fillId="0" borderId="1" applyAlignment="1" pivotButton="0" quotePrefix="0" xfId="0">
      <alignment vertical="top" wrapText="1"/>
    </xf>
    <xf numFmtId="0" fontId="6" fillId="0" borderId="1" pivotButton="0" quotePrefix="0" xfId="0"/>
    <xf numFmtId="0" fontId="6" fillId="0" borderId="1" applyAlignment="1" pivotButton="0" quotePrefix="0" xfId="0">
      <alignment vertical="top" wrapText="1"/>
    </xf>
    <xf numFmtId="0" fontId="11" fillId="2" borderId="0" pivotButton="0" quotePrefix="0" xfId="0"/>
    <xf numFmtId="0" fontId="12" fillId="6" borderId="1" applyAlignment="1" pivotButton="0" quotePrefix="0" xfId="0">
      <alignment vertical="top" wrapText="1"/>
    </xf>
    <xf numFmtId="0" fontId="12" fillId="0" borderId="1" applyAlignment="1" pivotButton="0" quotePrefix="0" xfId="0">
      <alignment vertical="top" wrapText="1"/>
    </xf>
    <xf numFmtId="0" fontId="13" fillId="6" borderId="1" applyAlignment="1" pivotButton="0" quotePrefix="0" xfId="0">
      <alignment vertical="top" wrapText="1"/>
    </xf>
    <xf numFmtId="0" fontId="14" fillId="0" borderId="0" pivotButton="0" quotePrefix="0" xfId="0"/>
    <xf numFmtId="0" fontId="15" fillId="0" borderId="0" pivotButton="0" quotePrefix="0" xfId="0"/>
    <xf numFmtId="0" fontId="16" fillId="3" borderId="6" pivotButton="0" quotePrefix="0" xfId="0"/>
    <xf numFmtId="0" fontId="0" fillId="3" borderId="6" pivotButton="0" quotePrefix="0" xfId="0"/>
    <xf numFmtId="0" fontId="17" fillId="14" borderId="6" applyAlignment="1" pivotButton="0" quotePrefix="0" xfId="0">
      <alignment vertical="top" wrapText="1"/>
    </xf>
    <xf numFmtId="0" fontId="18" fillId="0" borderId="6" applyAlignment="1" pivotButton="0" quotePrefix="0" xfId="0">
      <alignment vertical="top" wrapText="1"/>
    </xf>
    <xf numFmtId="0" fontId="19" fillId="6" borderId="6" applyAlignment="1" pivotButton="0" quotePrefix="0" xfId="0">
      <alignment vertical="top" wrapText="1"/>
    </xf>
    <xf numFmtId="0" fontId="20" fillId="0" borderId="6" applyAlignment="1" pivotButton="0" quotePrefix="0" xfId="0">
      <alignment vertical="top" wrapText="1"/>
    </xf>
    <xf numFmtId="0" fontId="19" fillId="0" borderId="6" applyAlignment="1" pivotButton="0" quotePrefix="0" xfId="0">
      <alignment vertical="top" wrapText="1"/>
    </xf>
    <xf numFmtId="0" fontId="15" fillId="2" borderId="0" pivotButton="0" quotePrefix="0" xfId="0"/>
    <xf numFmtId="0" fontId="16" fillId="0" borderId="0" pivotButton="0" quotePrefix="0" xfId="0"/>
    <xf numFmtId="0" fontId="17" fillId="14" borderId="6" applyAlignment="1" pivotButton="0" quotePrefix="0" xfId="0">
      <alignment vertical="center" wrapText="1"/>
    </xf>
    <xf numFmtId="0" fontId="5" fillId="0" borderId="6" applyAlignment="1" pivotButton="0" quotePrefix="0" xfId="0">
      <alignment vertical="center" wrapText="1"/>
    </xf>
    <xf numFmtId="0" fontId="0" fillId="30" borderId="6" applyAlignment="1" pivotButton="0" quotePrefix="0" xfId="0">
      <alignment vertical="center" wrapText="1"/>
    </xf>
    <xf numFmtId="0" fontId="19" fillId="0" borderId="6" applyAlignment="1" pivotButton="0" quotePrefix="0" xfId="0">
      <alignment vertical="center" wrapText="1"/>
    </xf>
    <xf numFmtId="0" fontId="0" fillId="31" borderId="6" applyAlignment="1" pivotButton="0" quotePrefix="0" xfId="0">
      <alignment vertical="center" wrapText="1"/>
    </xf>
    <xf numFmtId="0" fontId="0" fillId="32" borderId="6" applyAlignment="1" pivotButton="0" quotePrefix="0" xfId="0">
      <alignment vertical="center" wrapText="1"/>
    </xf>
    <xf numFmtId="0" fontId="0" fillId="33" borderId="6" applyAlignment="1" pivotButton="0" quotePrefix="0" xfId="0">
      <alignment vertical="center" wrapText="1"/>
    </xf>
    <xf numFmtId="0" fontId="0" fillId="34" borderId="6" applyAlignment="1" pivotButton="0" quotePrefix="0" xfId="0">
      <alignment vertical="center" wrapText="1"/>
    </xf>
    <xf numFmtId="0" fontId="0" fillId="35" borderId="6" applyAlignment="1" pivotButton="0" quotePrefix="0" xfId="0">
      <alignment vertical="center" wrapText="1"/>
    </xf>
    <xf numFmtId="0" fontId="0" fillId="29" borderId="6" applyAlignment="1" pivotButton="0" quotePrefix="0" xfId="0">
      <alignment vertical="center" wrapText="1"/>
    </xf>
    <xf numFmtId="0" fontId="0" fillId="36" borderId="6" applyAlignment="1" pivotButton="0" quotePrefix="0" xfId="0">
      <alignment vertical="center" wrapText="1"/>
    </xf>
    <xf numFmtId="0" fontId="0" fillId="37" borderId="6" applyAlignment="1" pivotButton="0" quotePrefix="0" xfId="0">
      <alignment vertical="center" wrapText="1"/>
    </xf>
    <xf numFmtId="0" fontId="0" fillId="38" borderId="6" applyAlignment="1" pivotButton="0" quotePrefix="0" xfId="0">
      <alignment vertical="center" wrapText="1"/>
    </xf>
    <xf numFmtId="0" fontId="0" fillId="39" borderId="6" applyAlignment="1" pivotButton="0" quotePrefix="0" xfId="0">
      <alignment vertical="center" wrapText="1"/>
    </xf>
    <xf numFmtId="0" fontId="0" fillId="40" borderId="6" applyAlignment="1" pivotButton="0" quotePrefix="0" xfId="0">
      <alignment vertical="center" wrapText="1"/>
    </xf>
    <xf numFmtId="0" fontId="0" fillId="41" borderId="6" applyAlignment="1" pivotButton="0" quotePrefix="0" xfId="0">
      <alignment vertical="center" wrapText="1"/>
    </xf>
    <xf numFmtId="0" fontId="0" fillId="42" borderId="6" applyAlignment="1" pivotButton="0" quotePrefix="0" xfId="0">
      <alignment vertical="center" wrapText="1"/>
    </xf>
    <xf numFmtId="0" fontId="0" fillId="43" borderId="6" applyAlignment="1" pivotButton="0" quotePrefix="0" xfId="0">
      <alignment vertical="center" wrapText="1"/>
    </xf>
    <xf numFmtId="0" fontId="0" fillId="21" borderId="6" applyAlignment="1" pivotButton="0" quotePrefix="0" xfId="0">
      <alignment vertical="center" wrapText="1"/>
    </xf>
    <xf numFmtId="0" fontId="0" fillId="44" borderId="6" applyAlignment="1" pivotButton="0" quotePrefix="0" xfId="0">
      <alignment vertical="center" wrapText="1"/>
    </xf>
    <xf numFmtId="0" fontId="0" fillId="45" borderId="6" applyAlignment="1" pivotButton="0" quotePrefix="0" xfId="0">
      <alignment vertical="center" wrapText="1"/>
    </xf>
    <xf numFmtId="0" fontId="0" fillId="19" borderId="6" applyAlignment="1" pivotButton="0" quotePrefix="0" xfId="0">
      <alignment vertical="center" wrapText="1"/>
    </xf>
    <xf numFmtId="0" fontId="0" fillId="46" borderId="6" applyAlignment="1" pivotButton="0" quotePrefix="0" xfId="0">
      <alignment vertical="center" wrapText="1"/>
    </xf>
    <xf numFmtId="0" fontId="0" fillId="18" borderId="6" applyAlignment="1" pivotButton="0" quotePrefix="0" xfId="0">
      <alignment vertical="center" wrapText="1"/>
    </xf>
    <xf numFmtId="0" fontId="0" fillId="47" borderId="6" applyAlignment="1" pivotButton="0" quotePrefix="0" xfId="0">
      <alignment vertical="center" wrapText="1"/>
    </xf>
    <xf numFmtId="0" fontId="0" fillId="48" borderId="6" applyAlignment="1" pivotButton="0" quotePrefix="0" xfId="0">
      <alignment vertical="center" wrapText="1"/>
    </xf>
    <xf numFmtId="0" fontId="0" fillId="49" borderId="6" applyAlignment="1" pivotButton="0" quotePrefix="0" xfId="0">
      <alignment vertical="center" wrapText="1"/>
    </xf>
    <xf numFmtId="0" fontId="0" fillId="50" borderId="6" applyAlignment="1" pivotButton="0" quotePrefix="0" xfId="0">
      <alignment vertical="center" wrapText="1"/>
    </xf>
    <xf numFmtId="0" fontId="0" fillId="51" borderId="6" applyAlignment="1" pivotButton="0" quotePrefix="0" xfId="0">
      <alignment vertical="center" wrapText="1"/>
    </xf>
    <xf numFmtId="0" fontId="0" fillId="52" borderId="6" applyAlignment="1" pivotButton="0" quotePrefix="0" xfId="0">
      <alignment vertical="center" wrapText="1"/>
    </xf>
    <xf numFmtId="0" fontId="0" fillId="53" borderId="6" applyAlignment="1" pivotButton="0" quotePrefix="0" xfId="0">
      <alignment vertical="center" wrapText="1"/>
    </xf>
    <xf numFmtId="0" fontId="0" fillId="24" borderId="6" applyAlignment="1" pivotButton="0" quotePrefix="0" xfId="0">
      <alignment vertical="center" wrapText="1"/>
    </xf>
    <xf numFmtId="0" fontId="0" fillId="54" borderId="6" applyAlignment="1" pivotButton="0" quotePrefix="0" xfId="0">
      <alignment vertical="center" wrapText="1"/>
    </xf>
    <xf numFmtId="0" fontId="0" fillId="55" borderId="6" applyAlignment="1" pivotButton="0" quotePrefix="0" xfId="0">
      <alignment vertical="center" wrapText="1"/>
    </xf>
    <xf numFmtId="0" fontId="0" fillId="56" borderId="6" applyAlignment="1" pivotButton="0" quotePrefix="0" xfId="0">
      <alignment vertical="center" wrapText="1"/>
    </xf>
    <xf numFmtId="0" fontId="0" fillId="57" borderId="6" applyAlignment="1" pivotButton="0" quotePrefix="0" xfId="0">
      <alignment vertical="center" wrapText="1"/>
    </xf>
    <xf numFmtId="0" fontId="0" fillId="58" borderId="6" applyAlignment="1" pivotButton="0" quotePrefix="0" xfId="0">
      <alignment vertical="center" wrapText="1"/>
    </xf>
    <xf numFmtId="0" fontId="0" fillId="59" borderId="6" applyAlignment="1" pivotButton="0" quotePrefix="0" xfId="0">
      <alignment vertical="center" wrapText="1"/>
    </xf>
    <xf numFmtId="0" fontId="0" fillId="60" borderId="6" applyAlignment="1" pivotButton="0" quotePrefix="0" xfId="0">
      <alignment vertical="center" wrapText="1"/>
    </xf>
    <xf numFmtId="0" fontId="0" fillId="61" borderId="6" applyAlignment="1" pivotButton="0" quotePrefix="0" xfId="0">
      <alignment vertical="center" wrapText="1"/>
    </xf>
    <xf numFmtId="0" fontId="0" fillId="62" borderId="6" applyAlignment="1" pivotButton="0" quotePrefix="0" xfId="0">
      <alignment vertical="center" wrapText="1"/>
    </xf>
    <xf numFmtId="0" fontId="0" fillId="63" borderId="6" applyAlignment="1" pivotButton="0" quotePrefix="0" xfId="0">
      <alignment vertical="center" wrapText="1"/>
    </xf>
    <xf numFmtId="0" fontId="0" fillId="64" borderId="6" applyAlignment="1" pivotButton="0" quotePrefix="0" xfId="0">
      <alignment vertical="center" wrapText="1"/>
    </xf>
    <xf numFmtId="0" fontId="0" fillId="65" borderId="6" applyAlignment="1" pivotButton="0" quotePrefix="0" xfId="0">
      <alignment vertical="center" wrapText="1"/>
    </xf>
    <xf numFmtId="0" fontId="0" fillId="66" borderId="6" applyAlignment="1" pivotButton="0" quotePrefix="0" xfId="0">
      <alignment vertical="center" wrapText="1"/>
    </xf>
    <xf numFmtId="0" fontId="0" fillId="67" borderId="6" applyAlignment="1" pivotButton="0" quotePrefix="0" xfId="0">
      <alignment vertical="center" wrapText="1"/>
    </xf>
    <xf numFmtId="0" fontId="0" fillId="68" borderId="6" applyAlignment="1" pivotButton="0" quotePrefix="0" xfId="0">
      <alignment vertical="center" wrapText="1"/>
    </xf>
    <xf numFmtId="0" fontId="0" fillId="69" borderId="6" applyAlignment="1" pivotButton="0" quotePrefix="0" xfId="0">
      <alignment vertical="center" wrapText="1"/>
    </xf>
    <xf numFmtId="0" fontId="0" fillId="70" borderId="6" applyAlignment="1" pivotButton="0" quotePrefix="0" xfId="0">
      <alignment vertical="center" wrapText="1"/>
    </xf>
    <xf numFmtId="0" fontId="0" fillId="71" borderId="6" applyAlignment="1" pivotButton="0" quotePrefix="0" xfId="0">
      <alignment vertical="center" wrapText="1"/>
    </xf>
    <xf numFmtId="0" fontId="0" fillId="72" borderId="6" applyAlignment="1" pivotButton="0" quotePrefix="0" xfId="0">
      <alignment vertical="center" wrapText="1"/>
    </xf>
    <xf numFmtId="0" fontId="0" fillId="73" borderId="6" applyAlignment="1" pivotButton="0" quotePrefix="0" xfId="0">
      <alignment vertical="center" wrapText="1"/>
    </xf>
    <xf numFmtId="0" fontId="0" fillId="74" borderId="6" applyAlignment="1" pivotButton="0" quotePrefix="0" xfId="0">
      <alignment vertical="center" wrapText="1"/>
    </xf>
    <xf numFmtId="0" fontId="0" fillId="75" borderId="6" applyAlignment="1" pivotButton="0" quotePrefix="0" xfId="0">
      <alignment vertical="center" wrapText="1"/>
    </xf>
    <xf numFmtId="0" fontId="0" fillId="76" borderId="6" applyAlignment="1" pivotButton="0" quotePrefix="0" xfId="0">
      <alignment vertical="center" wrapText="1"/>
    </xf>
    <xf numFmtId="0" fontId="0" fillId="77" borderId="6" applyAlignment="1" pivotButton="0" quotePrefix="0" xfId="0">
      <alignment vertical="center" wrapText="1"/>
    </xf>
    <xf numFmtId="0" fontId="0" fillId="78" borderId="6" applyAlignment="1" pivotButton="0" quotePrefix="0" xfId="0">
      <alignment vertical="center" wrapText="1"/>
    </xf>
    <xf numFmtId="0" fontId="0" fillId="28" borderId="6" applyAlignment="1" pivotButton="0" quotePrefix="0" xfId="0">
      <alignment vertical="center" wrapText="1"/>
    </xf>
    <xf numFmtId="0" fontId="0" fillId="79" borderId="6" applyAlignment="1" pivotButton="0" quotePrefix="0" xfId="0">
      <alignment vertical="center" wrapText="1"/>
    </xf>
    <xf numFmtId="0" fontId="0" fillId="80" borderId="6" applyAlignment="1" pivotButton="0" quotePrefix="0" xfId="0">
      <alignment vertical="center" wrapText="1"/>
    </xf>
    <xf numFmtId="0" fontId="0" fillId="81" borderId="6" applyAlignment="1" pivotButton="0" quotePrefix="0" xfId="0">
      <alignment vertical="center" wrapText="1"/>
    </xf>
    <xf numFmtId="0" fontId="0" fillId="82" borderId="6" applyAlignment="1" pivotButton="0" quotePrefix="0" xfId="0">
      <alignment vertical="center" wrapText="1"/>
    </xf>
    <xf numFmtId="0" fontId="0" fillId="83" borderId="6" applyAlignment="1" pivotButton="0" quotePrefix="0" xfId="0">
      <alignment vertical="center" wrapText="1"/>
    </xf>
    <xf numFmtId="0" fontId="0" fillId="84" borderId="6" applyAlignment="1" pivotButton="0" quotePrefix="0" xfId="0">
      <alignment vertical="center" wrapText="1"/>
    </xf>
    <xf numFmtId="0" fontId="0" fillId="85" borderId="6" applyAlignment="1" pivotButton="0" quotePrefix="0" xfId="0">
      <alignment vertical="center" wrapText="1"/>
    </xf>
    <xf numFmtId="0" fontId="0" fillId="27" borderId="6" applyAlignment="1" pivotButton="0" quotePrefix="0" xfId="0">
      <alignment vertical="center" wrapText="1"/>
    </xf>
    <xf numFmtId="0" fontId="0" fillId="86" borderId="6" applyAlignment="1" pivotButton="0" quotePrefix="0" xfId="0">
      <alignment vertical="center" wrapText="1"/>
    </xf>
    <xf numFmtId="0" fontId="0" fillId="87" borderId="6" applyAlignment="1" pivotButton="0" quotePrefix="0" xfId="0">
      <alignment vertical="center" wrapText="1"/>
    </xf>
    <xf numFmtId="0" fontId="0" fillId="88" borderId="6" applyAlignment="1" pivotButton="0" quotePrefix="0" xfId="0">
      <alignment vertical="center" wrapText="1"/>
    </xf>
    <xf numFmtId="0" fontId="0" fillId="89" borderId="6" applyAlignment="1" pivotButton="0" quotePrefix="0" xfId="0">
      <alignment vertical="center" wrapText="1"/>
    </xf>
    <xf numFmtId="0" fontId="0" fillId="90" borderId="6" applyAlignment="1" pivotButton="0" quotePrefix="0" xfId="0">
      <alignment vertical="center" wrapText="1"/>
    </xf>
    <xf numFmtId="0" fontId="19" fillId="0" borderId="0" pivotButton="0" quotePrefix="0" xfId="0"/>
    <xf numFmtId="0" fontId="15" fillId="0" borderId="0" applyAlignment="1" pivotButton="0" quotePrefix="0" xfId="0">
      <alignment vertical="top" wrapText="1"/>
    </xf>
    <xf numFmtId="0" fontId="13" fillId="0" borderId="1" pivotButton="0" quotePrefix="0" xfId="0"/>
    <xf numFmtId="0" fontId="0" fillId="0" borderId="0" applyAlignment="1" pivotButton="0" quotePrefix="0" xfId="0">
      <alignment vertical="top" wrapText="1"/>
    </xf>
    <xf numFmtId="0" fontId="21" fillId="0" borderId="0" pivotButton="0" quotePrefix="0" xfId="0"/>
    <xf numFmtId="0" fontId="22" fillId="0" borderId="6" applyAlignment="1" pivotButton="0" quotePrefix="0" xfId="0">
      <alignment vertical="top" wrapText="1"/>
    </xf>
    <xf numFmtId="0" fontId="23" fillId="14" borderId="6" applyAlignment="1" pivotButton="0" quotePrefix="0" xfId="0">
      <alignment vertical="top" wrapText="1"/>
    </xf>
    <xf numFmtId="0" fontId="24" fillId="0" borderId="6" applyAlignment="1" pivotButton="0" quotePrefix="0" xfId="0">
      <alignment vertical="top" wrapText="1"/>
    </xf>
    <xf numFmtId="0" fontId="25" fillId="0" borderId="6" applyAlignment="1" pivotButton="0" quotePrefix="0" xfId="0">
      <alignment vertical="top" wrapText="1"/>
    </xf>
    <xf numFmtId="0" fontId="26" fillId="14" borderId="6" applyAlignment="1" pivotButton="0" quotePrefix="0" xfId="0">
      <alignment horizontal="center" vertical="center"/>
    </xf>
    <xf numFmtId="0" fontId="18" fillId="0" borderId="6" applyAlignment="1" pivotButton="0" quotePrefix="0" xfId="0">
      <alignment horizontal="center" vertical="center"/>
    </xf>
    <xf numFmtId="0" fontId="27" fillId="91" borderId="6" applyAlignment="1" pivotButton="0" quotePrefix="0" xfId="0">
      <alignment vertical="top" wrapText="1"/>
    </xf>
    <xf numFmtId="0" fontId="28" fillId="92" borderId="6" applyAlignment="1" pivotButton="0" quotePrefix="0" xfId="0">
      <alignment vertical="top" wrapText="1"/>
    </xf>
    <xf numFmtId="0" fontId="29" fillId="3" borderId="6" pivotButton="0" quotePrefix="0" xfId="0"/>
    <xf numFmtId="0" fontId="28" fillId="0" borderId="6" applyAlignment="1" pivotButton="0" quotePrefix="0" xfId="0">
      <alignment vertical="top" wrapText="1"/>
    </xf>
    <xf numFmtId="0" fontId="30" fillId="0" borderId="0" applyAlignment="1" pivotButton="0" quotePrefix="0" xfId="0">
      <alignment vertical="top" wrapText="1"/>
    </xf>
    <xf numFmtId="0" fontId="24" fillId="0" borderId="0" pivotButton="0" quotePrefix="0" xfId="0"/>
    <xf numFmtId="0" fontId="5" fillId="0" borderId="6" pivotButton="0" quotePrefix="0" xfId="0"/>
    <xf numFmtId="0" fontId="0" fillId="93" borderId="6" pivotButton="0" quotePrefix="0" xfId="0"/>
    <xf numFmtId="0" fontId="19" fillId="0" borderId="6" pivotButton="0" quotePrefix="0" xfId="0"/>
    <xf numFmtId="0" fontId="0" fillId="94" borderId="6" pivotButton="0" quotePrefix="0" xfId="0"/>
    <xf numFmtId="0" fontId="0" fillId="95" borderId="6" pivotButton="0" quotePrefix="0" xfId="0"/>
    <xf numFmtId="0" fontId="0" fillId="96" borderId="6" pivotButton="0" quotePrefix="0" xfId="0"/>
    <xf numFmtId="0" fontId="0" fillId="6" borderId="0" pivotButton="0" quotePrefix="0" xfId="0"/>
    <xf numFmtId="0" fontId="31" fillId="0" borderId="0" pivotButton="0" quotePrefix="0" xfId="0"/>
    <xf numFmtId="0" fontId="5" fillId="67" borderId="1" applyAlignment="1" pivotButton="0" quotePrefix="0" xfId="0">
      <alignment vertical="top" wrapText="1"/>
    </xf>
    <xf numFmtId="0" fontId="5" fillId="64" borderId="1" applyAlignment="1" pivotButton="0" quotePrefix="0" xfId="0">
      <alignment vertical="top" wrapText="1"/>
    </xf>
    <xf numFmtId="0" fontId="5" fillId="63" borderId="1" applyAlignment="1" pivotButton="0" quotePrefix="0" xfId="0">
      <alignment vertical="top" wrapText="1"/>
    </xf>
    <xf numFmtId="0" fontId="0" fillId="97" borderId="1" applyAlignment="1" pivotButton="0" quotePrefix="0" xfId="0">
      <alignment vertical="top" wrapText="1"/>
    </xf>
    <xf numFmtId="0" fontId="5" fillId="35" borderId="1" applyAlignment="1" pivotButton="0" quotePrefix="0" xfId="0">
      <alignment vertical="top" wrapText="1"/>
    </xf>
    <xf numFmtId="0" fontId="32" fillId="2" borderId="0" pivotButton="0" quotePrefix="0" xfId="0"/>
    <xf numFmtId="0" fontId="4" fillId="3" borderId="0" applyAlignment="1" pivotButton="0" quotePrefix="0" xfId="0">
      <alignment vertical="top" wrapText="1"/>
    </xf>
    <xf numFmtId="0" fontId="5" fillId="5" borderId="0" applyAlignment="1" pivotButton="0" quotePrefix="0" xfId="0">
      <alignment vertical="top" wrapText="1"/>
    </xf>
    <xf numFmtId="0" fontId="33" fillId="8" borderId="0" applyAlignment="1" pivotButton="0" quotePrefix="0" xfId="0">
      <alignment vertical="top" wrapText="1"/>
    </xf>
    <xf numFmtId="0" fontId="31" fillId="0" borderId="0" applyAlignment="1" pivotButton="0" quotePrefix="0" xfId="0">
      <alignment vertical="top" wrapText="1"/>
    </xf>
    <xf numFmtId="0" fontId="5" fillId="98" borderId="1" applyAlignment="1" pivotButton="0" quotePrefix="0" xfId="0">
      <alignment vertical="top" wrapText="1"/>
    </xf>
    <xf numFmtId="0" fontId="5" fillId="99" borderId="1" applyAlignment="1" pivotButton="0" quotePrefix="0" xfId="0">
      <alignment vertical="top" wrapText="1"/>
    </xf>
    <xf numFmtId="0" fontId="5" fillId="100" borderId="1" applyAlignment="1" pivotButton="0" quotePrefix="0" xfId="0">
      <alignment vertical="top" wrapText="1"/>
    </xf>
    <xf numFmtId="0" fontId="5" fillId="101" borderId="1" applyAlignment="1" pivotButton="0" quotePrefix="0" xfId="0">
      <alignment vertical="top" wrapText="1"/>
    </xf>
    <xf numFmtId="0" fontId="34" fillId="0" borderId="0" applyAlignment="1" pivotButton="0" quotePrefix="0" xfId="0">
      <alignment vertical="top" wrapText="1"/>
    </xf>
    <xf numFmtId="0" fontId="34" fillId="8" borderId="0" applyAlignment="1" pivotButton="0" quotePrefix="0" xfId="0">
      <alignment vertical="top" wrapText="1"/>
    </xf>
    <xf numFmtId="0" fontId="35" fillId="0" borderId="0" applyAlignment="1" pivotButton="0" quotePrefix="0" xfId="0">
      <alignment vertical="top" wrapText="1"/>
    </xf>
    <xf numFmtId="0" fontId="34" fillId="6" borderId="0" applyAlignment="1" pivotButton="0" quotePrefix="0" xfId="0">
      <alignment vertical="top" wrapText="1"/>
    </xf>
    <xf numFmtId="0" fontId="35" fillId="83" borderId="0" applyAlignment="1" pivotButton="0" quotePrefix="0" xfId="0">
      <alignment vertical="top" wrapText="1"/>
    </xf>
    <xf numFmtId="0" fontId="35" fillId="76" borderId="0" applyAlignment="1" pivotButton="0" quotePrefix="0" xfId="0">
      <alignment vertical="top" wrapText="1"/>
    </xf>
    <xf numFmtId="0" fontId="7" fillId="0" borderId="0" applyAlignment="1" pivotButton="0" quotePrefix="0" xfId="0">
      <alignment horizontal="center"/>
    </xf>
    <xf numFmtId="0" fontId="5" fillId="0" borderId="0" applyAlignment="1" pivotButton="0" quotePrefix="0" xfId="0">
      <alignment vertical="top" wrapText="1"/>
    </xf>
    <xf numFmtId="0" fontId="9"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8" fillId="8" borderId="6" applyAlignment="1" pivotButton="0" quotePrefix="0" xfId="0">
      <alignment vertical="top" wrapText="1"/>
    </xf>
    <xf numFmtId="0" fontId="24" fillId="8" borderId="6" applyAlignment="1" pivotButton="0" quotePrefix="0" xfId="0">
      <alignment vertical="top" wrapText="1"/>
    </xf>
    <xf numFmtId="0" fontId="25" fillId="8" borderId="6" applyAlignment="1" pivotButton="0" quotePrefix="0" xfId="0">
      <alignment vertical="top" wrapText="1"/>
    </xf>
    <xf numFmtId="0" fontId="0" fillId="8" borderId="0" pivotButton="0" quotePrefix="0" xfId="0"/>
    <xf numFmtId="0" fontId="36" fillId="8" borderId="0" pivotButton="0" quotePrefix="0" xfId="0"/>
    <xf numFmtId="0" fontId="5" fillId="8" borderId="1" pivotButton="0" quotePrefix="0" xfId="0"/>
    <xf numFmtId="0" fontId="13" fillId="8" borderId="1" pivotButton="0" quotePrefix="0" xfId="0"/>
    <xf numFmtId="0" fontId="13" fillId="8" borderId="1" applyAlignment="1" pivotButton="0" quotePrefix="0" xfId="0">
      <alignment vertical="top" wrapText="1"/>
    </xf>
    <xf numFmtId="0" fontId="2" fillId="6" borderId="1" pivotButton="0" quotePrefix="0" xfId="0"/>
    <xf numFmtId="0" fontId="37" fillId="6" borderId="0" pivotButton="0" quotePrefix="0" xfId="0"/>
    <xf numFmtId="0" fontId="37" fillId="0" borderId="0" pivotButton="0" quotePrefix="0" xfId="0"/>
    <xf numFmtId="0" fontId="0" fillId="8" borderId="0" applyAlignment="1" pivotButton="0" quotePrefix="0" xfId="0">
      <alignment vertical="top" wrapText="1"/>
    </xf>
    <xf numFmtId="0" fontId="2" fillId="8" borderId="1" pivotButton="0" quotePrefix="0" xfId="0"/>
    <xf numFmtId="0" fontId="6" fillId="8" borderId="1" pivotButton="0" quotePrefix="0" xfId="0"/>
    <xf numFmtId="0" fontId="38" fillId="102" borderId="0" pivotButton="0" quotePrefix="0" xfId="0"/>
    <xf numFmtId="0" fontId="38" fillId="103" borderId="0" pivotButton="0" quotePrefix="0" xfId="0"/>
    <xf numFmtId="0" fontId="38" fillId="104" borderId="0" pivotButton="0" quotePrefix="0" xfId="0"/>
    <xf numFmtId="0" fontId="38" fillId="105" borderId="0" pivotButton="0" quotePrefix="0" xfId="0"/>
    <xf numFmtId="0" fontId="4" fillId="6" borderId="0" applyAlignment="1" pivotButton="0" quotePrefix="0" xfId="0">
      <alignment vertical="top" wrapText="1"/>
    </xf>
    <xf numFmtId="0" fontId="32" fillId="2" borderId="0" applyAlignment="1" pivotButton="0" quotePrefix="0" xfId="0">
      <alignment vertical="top" wrapText="1"/>
    </xf>
    <xf numFmtId="0" fontId="36" fillId="0" borderId="0" pivotButton="0" quotePrefix="0" xfId="0"/>
    <xf numFmtId="0" fontId="39" fillId="0" borderId="0" pivotButton="0" quotePrefix="0" xfId="0"/>
    <xf numFmtId="0" fontId="40" fillId="0" borderId="0" pivotButton="0" quotePrefix="0" xfId="0"/>
    <xf numFmtId="0" fontId="41" fillId="0" borderId="0" pivotButton="0" quotePrefix="0" xfId="0"/>
    <xf numFmtId="169" fontId="4" fillId="6" borderId="0" pivotButton="0" quotePrefix="0" xfId="0"/>
    <xf numFmtId="167" fontId="4" fillId="6" borderId="0" pivotButton="0" quotePrefix="0" xfId="0"/>
    <xf numFmtId="0" fontId="4" fillId="6" borderId="0" pivotButton="0" quotePrefix="0" xfId="0"/>
    <xf numFmtId="169" fontId="0" fillId="0" borderId="0" pivotButton="0" quotePrefix="0" xfId="0"/>
    <xf numFmtId="167" fontId="0" fillId="0" borderId="0" pivotButton="0" quotePrefix="0" xfId="0"/>
    <xf numFmtId="169" fontId="4" fillId="0" borderId="0" pivotButton="0" quotePrefix="0" xfId="0"/>
    <xf numFmtId="167" fontId="4" fillId="5" borderId="0" pivotButton="0" quotePrefix="0" xfId="0"/>
    <xf numFmtId="0" fontId="4" fillId="5" borderId="0" pivotButton="0" quotePrefix="0" xfId="0"/>
    <xf numFmtId="167" fontId="4" fillId="0" borderId="0" pivotButton="0" quotePrefix="0" xfId="0"/>
    <xf numFmtId="167" fontId="0" fillId="5" borderId="0" pivotButton="0" quotePrefix="0" xfId="0"/>
    <xf numFmtId="167" fontId="0" fillId="6" borderId="0" pivotButton="0" quotePrefix="0" xfId="0"/>
    <xf numFmtId="170" fontId="4" fillId="6"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30" Type="http://schemas.openxmlformats.org/officeDocument/2006/relationships/worksheet" Target="worksheets/sheet28.xml"/><Relationship Type="http://schemas.openxmlformats.org/officeDocument/2006/relationships/worksheet" Target="/xl/worksheets/sheet29.xml" Id="rId3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ВАША РАСЧЁТНАЯ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'06_Отчёт'!$A$56:$A$60</f>
            </numRef>
          </cat>
          <val>
            <numRef>
              <f>'06_Отчёт'!$B$56:$B$60</f>
            </numRef>
          </val>
        </ser>
        <dLbls>
          <showVal val="0"/>
          <showCatName val="0"/>
          <showPercent val="1"/>
        </dLbls>
        <firstSliceAng val="0"/>
        <holeSize val="52"/>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ВАША ТЕКУЩАЯ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'06_Отчёт'!$F$56:$F$60</f>
            </numRef>
          </cat>
          <val>
            <numRef>
              <f>'06_Отчёт'!$G$56:$G$60</f>
            </numRef>
          </val>
        </ser>
        <dLbls>
          <showVal val="0"/>
          <showCatName val="0"/>
          <showPercent val="1"/>
        </dLbls>
        <firstSliceAng val="0"/>
        <holeSize val="52"/>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РАБОТА В НОЛЬ</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'06_Отчёт'!$K$56:$K$60</f>
            </numRef>
          </cat>
          <val>
            <numRef>
              <f>'06_Отчёт'!$L$56:$L$60</f>
            </numRef>
          </val>
        </ser>
        <dLbls>
          <showVal val="0"/>
          <showCatName val="0"/>
          <showPercent val="1"/>
        </dLbls>
        <firstSliceAng val="0"/>
        <holeSize val="52"/>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62</row>
      <rowOff>0</rowOff>
    </from>
    <ext cx="37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62</row>
      <rowOff>0</rowOff>
    </from>
    <ext cx="37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62</row>
      <rowOff>0</rowOff>
    </from>
    <ext cx="37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34" customWidth="1" min="1" max="1"/>
    <col width="86" customWidth="1" min="2" max="2"/>
  </cols>
  <sheetData>
    <row r="1">
      <c r="A1" s="230" t="inlineStr">
        <is>
          <t>СЧЁТИКС · калькулятор стоимости часа</t>
        </is>
      </c>
    </row>
    <row r="2">
      <c r="A2" s="145" t="inlineStr">
        <is>
          <t>Расчёт юнит-экономики для фотографов и видеографов. Обновлено 5 августа 2026.</t>
        </is>
      </c>
    </row>
    <row r="3">
      <c r="A3" s="2" t="n"/>
    </row>
    <row r="4">
      <c r="A4" s="146" t="inlineStr">
        <is>
          <t>ИЗ ЧЕГО СОСТОИТ ПРОДУКТ — четыре файла</t>
        </is>
      </c>
      <c r="B4" s="147" t="n"/>
    </row>
    <row r="5">
      <c r="A5" s="148" t="inlineStr">
        <is>
          <t>Файл</t>
        </is>
      </c>
      <c r="B5" s="148" t="inlineStr">
        <is>
          <t>Что это и где живёт</t>
        </is>
      </c>
    </row>
    <row r="6" ht="32" customHeight="1">
      <c r="A6" s="149" t="inlineStr">
        <is>
          <t>Калькулятор_ставки_часа.xlsx</t>
        </is>
      </c>
      <c r="B6" s="152" t="inlineStr">
        <is>
          <t>ЭТА КНИГА. Вся логика, параметры, тексты и методика. Источник правды — правки начинаются здесь.</t>
        </is>
      </c>
    </row>
    <row r="7" ht="32" customHeight="1">
      <c r="A7" s="312" t="inlineStr">
        <is>
          <t>web/index.html</t>
        </is>
      </c>
      <c r="B7" s="313" t="inlineStr">
        <is>
          <t>СТРАНИЦА ВХОДА. Первое, что видит человек: один экран — заголовок, три пользы, кнопка. Принимает реферальную метку и передаёт её в форму. Кто уже начинал, попадает сразу в форму.</t>
        </is>
      </c>
    </row>
    <row r="8" ht="32" customHeight="1">
      <c r="A8" s="149" t="inlineStr">
        <is>
          <t>web/calc.html</t>
        </is>
      </c>
      <c r="B8" s="152" t="inlineStr">
        <is>
          <t>ФОРМА. Вопросы анкеты, кнопка расчёта и анимация расчёта. Больше ничего: краткий итог и блок оплаты вынесены. После расчёта открывается отчёт.</t>
        </is>
      </c>
    </row>
    <row r="9">
      <c r="A9" s="149" t="inlineStr">
        <is>
          <t>web/report.html</t>
        </is>
      </c>
      <c r="B9" s="152" t="inlineStr">
        <is>
          <t>ПОЛНЫЙ ОТЧЁТ. 10 блоков, открывается после оплаты. Данные принимает из формы. Тоже автономный файл.</t>
        </is>
      </c>
    </row>
    <row r="10">
      <c r="A10" s="2" t="n"/>
    </row>
    <row r="11">
      <c r="A11" s="146" t="inlineStr">
        <is>
          <t>КАК УСТРОЕНА КНИГА — 27 листов</t>
        </is>
      </c>
      <c r="B11" s="147" t="n"/>
    </row>
    <row r="12" ht="32" customHeight="1">
      <c r="A12" s="148" t="inlineStr">
        <is>
          <t>Лист</t>
        </is>
      </c>
      <c r="B12" s="148" t="inlineStr">
        <is>
          <t>Назначение</t>
        </is>
      </c>
    </row>
    <row r="13" ht="32" customHeight="1">
      <c r="A13" s="149" t="inlineStr">
        <is>
          <t>00_Читать</t>
        </is>
      </c>
      <c r="B13" s="152" t="inlineStr">
        <is>
          <t>Этот лист — карта проекта</t>
        </is>
      </c>
    </row>
    <row r="14" ht="32" customHeight="1">
      <c r="A14" s="149" t="inlineStr">
        <is>
          <t>01_Глоссарий</t>
        </is>
      </c>
      <c r="B14" s="152" t="inlineStr">
        <is>
          <t>Термины: что такое ставка, амортизация, юнит-экономика</t>
        </is>
      </c>
    </row>
    <row r="15" ht="32" customHeight="1">
      <c r="A15" s="149" t="inlineStr">
        <is>
          <t>02_Параметры</t>
        </is>
      </c>
      <c r="B15" s="152" t="inlineStr">
        <is>
          <t>143 строки. Все входные величины и формулы через ID. ГЛАВНЫЙ лист для правки цифр</t>
        </is>
      </c>
    </row>
    <row r="16" ht="32" customHeight="1">
      <c r="A16" s="149" t="inlineStr">
        <is>
          <t>03_Каталоги</t>
        </is>
      </c>
      <c r="B16" s="152" t="inlineStr">
        <is>
          <t>Оборудование, ПО, реклама — построчно, с ценами и сроками службы</t>
        </is>
      </c>
    </row>
    <row r="17" ht="32" customHeight="1">
      <c r="A17" s="149" t="inlineStr">
        <is>
          <t>04_Итог / 05_Расчёт</t>
        </is>
      </c>
      <c r="B17" s="152" t="inlineStr">
        <is>
          <t>Свод и расчёт по семи налоговым режимам</t>
        </is>
      </c>
    </row>
    <row r="18" ht="32" customHeight="1">
      <c r="A18" s="149" t="inlineStr">
        <is>
          <t>06_Отчёт</t>
        </is>
      </c>
      <c r="B18" s="152" t="inlineStr">
        <is>
          <t>Все цифры отчёта: доход по ролям, расходы, сценарии</t>
        </is>
      </c>
    </row>
    <row r="19" ht="32" customHeight="1">
      <c r="A19" s="149" t="inlineStr">
        <is>
          <t>07_Интерфейс / 08_UI / 08b / 08c</t>
        </is>
      </c>
      <c r="B19" s="152" t="inlineStr">
        <is>
          <t>Структура формы и отчёта: какой блок за каким идёт</t>
        </is>
      </c>
    </row>
    <row r="20" ht="32" customHeight="1">
      <c r="A20" s="149" t="inlineStr">
        <is>
          <t>09_Тексты</t>
        </is>
      </c>
      <c r="B20" s="152" t="inlineStr">
        <is>
          <t>514 надписей. Колонка «Где находится» — поверхность (форма, отчёт, подсказки). Есть автофильтр</t>
        </is>
      </c>
    </row>
    <row r="21" ht="32" customHeight="1">
      <c r="A21" s="149" t="inlineStr">
        <is>
          <t>09b_Методика_цифр</t>
        </is>
      </c>
      <c r="B21" s="152" t="inlineStr">
        <is>
          <t>Как посчитана каждая цифра блока 09, откуда берутся рабочие паузы, правило округления</t>
        </is>
      </c>
    </row>
    <row r="22" ht="32" customHeight="1">
      <c r="A22" s="149" t="inlineStr">
        <is>
          <t>09e_Как_считается</t>
        </is>
      </c>
      <c r="B22" s="152" t="inlineStr">
        <is>
          <t>Полная цепочка расчёта ставки часа: 10 шагов от календаря до цены, с формулами и проверкой сходимости</t>
        </is>
      </c>
    </row>
    <row r="23" ht="32" customHeight="1">
      <c r="A23" s="149" t="inlineStr">
        <is>
          <t>09c_Палитра</t>
        </is>
      </c>
      <c r="B23" s="152" t="inlineStr">
        <is>
          <t>68 цветов. Единая система для формы и отчёта</t>
        </is>
      </c>
    </row>
    <row r="24">
      <c r="A24" s="149" t="inlineStr">
        <is>
          <t>10_Монетизация / 11_Ссылки</t>
        </is>
      </c>
      <c r="B24" s="152" t="inlineStr">
        <is>
          <t>Цена продукта, источники данных</t>
        </is>
      </c>
    </row>
    <row r="25">
      <c r="A25" s="149" t="inlineStr">
        <is>
          <t>12_Диаграммы / 13_Сетка_скидок / 13b_Программа_лояльности / 14_Опрос</t>
        </is>
      </c>
      <c r="B25" s="152" t="inlineStr">
        <is>
          <t>Данные для графиков, скидки за объём, ФОНД И ВСЯ ПРОГРАММА ЛОЯЛЬНОСТИ, опрос в форме</t>
        </is>
      </c>
    </row>
    <row r="26">
      <c r="A26" s="2" t="n"/>
    </row>
    <row r="27" ht="32" customHeight="1">
      <c r="A27" s="146" t="inlineStr">
        <is>
          <t>ЧТО ГДЕ ПРАВИТЬ</t>
        </is>
      </c>
      <c r="B27" s="147" t="n"/>
    </row>
    <row r="28" ht="32" customHeight="1">
      <c r="A28" s="148" t="inlineStr">
        <is>
          <t>Задача</t>
        </is>
      </c>
      <c r="B28" s="148" t="inlineStr">
        <is>
          <t>Куда идти</t>
        </is>
      </c>
    </row>
    <row r="29" ht="32" customHeight="1">
      <c r="A29" s="149" t="inlineStr">
        <is>
          <t>Поменять текст надписи</t>
        </is>
      </c>
      <c r="B29" s="152" t="inlineStr">
        <is>
          <t>09_Тексты → найти по ключу → колонка «Текст». Ключ виден в HTML как data-t="..."</t>
        </is>
      </c>
    </row>
    <row r="30" ht="32" customHeight="1">
      <c r="A30" s="149" t="inlineStr">
        <is>
          <t>Поменять цифру или формулу</t>
        </is>
      </c>
      <c r="B30" s="152" t="inlineStr">
        <is>
          <t>02_Параметры → колонка «Значение»</t>
        </is>
      </c>
    </row>
    <row r="31" ht="32" customHeight="1">
      <c r="A31" s="149" t="inlineStr">
        <is>
          <t>Поменять цвет</t>
        </is>
      </c>
      <c r="B31" s="152" t="inlineStr">
        <is>
          <t>09c_Палитра → HEX. Затем тот же токен в :root обоих HTML</t>
        </is>
      </c>
    </row>
    <row r="32">
      <c r="A32" s="149" t="inlineStr">
        <is>
          <t>Добавить оборудование</t>
        </is>
      </c>
      <c r="B32" s="152" t="inlineStr">
        <is>
          <t>03_Каталоги → новая строка с кодом формы</t>
        </is>
      </c>
    </row>
    <row r="33">
      <c r="A33" s="149" t="inlineStr">
        <is>
          <t>Изменить скидки, фонд, сертификаты</t>
        </is>
      </c>
      <c r="B33" s="152" t="inlineStr">
        <is>
          <t>13b_Программа_лояльности → жёлтые ячейки. Остальное пересчитается формулами</t>
        </is>
      </c>
    </row>
    <row r="34">
      <c r="A34" s="2" t="inlineStr">
        <is>
          <t>Изменить порядок блоков</t>
        </is>
      </c>
      <c r="B34" t="inlineStr">
        <is>
          <t>08c_Структура_отчёта</t>
        </is>
      </c>
    </row>
    <row r="35" ht="32" customHeight="1">
      <c r="A35" s="146" t="inlineStr">
        <is>
          <t>ПЕРЕД ПУБЛИКАЦИЕЙ — обязательно</t>
        </is>
      </c>
      <c r="B35" s="147" t="n"/>
    </row>
    <row r="36" ht="32" customHeight="1">
      <c r="A36" s="148" t="inlineStr">
        <is>
          <t>Что</t>
        </is>
      </c>
      <c r="B36" s="148" t="inlineStr">
        <is>
          <t>Где в calc.html</t>
        </is>
      </c>
    </row>
    <row r="37" ht="32" customHeight="1">
      <c r="A37" s="149" t="inlineStr">
        <is>
          <t>DEV_NO_BLUR = false</t>
        </is>
      </c>
      <c r="B37" s="152" t="inlineStr">
        <is>
          <t>сейчас true — отчёт не размыт, виден бесплатно</t>
        </is>
      </c>
    </row>
    <row r="38" ht="32" customHeight="1">
      <c r="A38" s="149" t="inlineStr">
        <is>
          <t>YM_ID = номер счётчика</t>
        </is>
      </c>
      <c r="B38" s="152" t="inlineStr">
        <is>
          <t>сейчас 0 — Яндекс.Метрика не подключена</t>
        </is>
      </c>
    </row>
    <row r="39">
      <c r="A39" s="149" t="inlineStr">
        <is>
          <t>PAY_URL = ссылка оплаты</t>
        </is>
      </c>
      <c r="B39" s="152" t="inlineStr">
        <is>
          <t>сейчас '#order' — заглушка</t>
        </is>
      </c>
    </row>
    <row r="40">
      <c r="A40" s="149" t="inlineStr">
        <is>
          <t>Связка форма → отчёт</t>
        </is>
      </c>
      <c r="B40" s="152" t="inlineStr">
        <is>
          <t>форма пока не передаёт данные в отчёт, отчёт показывает демо-набор</t>
        </is>
      </c>
    </row>
    <row r="41">
      <c r="A41" s="2" t="n"/>
    </row>
    <row r="42">
      <c r="A42" s="145" t="inlineStr">
        <is>
          <t>Папка _архив — старые версии и черновики. Для работы не нужны, удалять не обязательно.</t>
        </is>
      </c>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sheetData>
  <mergeCells count="1">
    <mergeCell ref="A1:B1"/>
  </mergeCells>
  <pageMargins left="0.75" right="0.75" top="1" bottom="1" header="0.5" footer="0.5"/>
</worksheet>
</file>

<file path=xl/worksheets/sheet2.xml><?xml version="1.0" encoding="utf-8"?>
<worksheet xmlns="http://schemas.openxmlformats.org/spreadsheetml/2006/main">
  <sheetFormatPr defaultRowHeight="15"/>
  <cols>
    <col min="1" max="1" width="6" customWidth="1"/>
    <col min="2" max="2" width="34" customWidth="1"/>
    <col min="3" max="3" width="20" customWidth="1"/>
    <col min="4" max="5" width="14" customWidth="1"/>
    <col min="6" max="6" width="70" customWidth="1"/>
    <col min="7" max="7" width="24" customWidth="1"/>
    <col min="8" max="8" width="60" customWidth="1"/>
  </cols>
  <sheetData>
    <row r="1">
      <c r="A1" t="inlineStr">
        <is>
          <t xml:space="preserve">01 · ГЛОССАРИЙ — единый реестр понятий, параметров и обозначений</t>
        </is>
      </c>
    </row>
    <row r="2">
      <c r="A2" t="inlineStr">
        <is>
          <t xml:space="preserve">Основной источник данных калькулятора. Разделы и подразделы отделены абзацами; HTML собирается из этого листа.</t>
        </is>
      </c>
    </row>
    <row r="3"/>
    <row r="4">
      <c r="A4" t="inlineStr">
        <is>
          <t xml:space="preserve">РАЗДЕЛ · meta</t>
        </is>
      </c>
    </row>
    <row r="5">
      <c r="A5" t="inlineStr">
        <is>
          <t xml:space="preserve">ПОДРАЗДЕЛ · A · МАРКЕРЫ ТИПОВ</t>
        </is>
      </c>
    </row>
    <row r="6">
      <c r="A6" t="inlineStr">
        <is>
          <t xml:space="preserve">№</t>
        </is>
      </c>
      <c r="B6" t="inlineStr">
        <is>
          <t xml:space="preserve">Наименование</t>
        </is>
      </c>
      <c r="C6" t="inlineStr">
        <is>
          <t xml:space="preserve">ID</t>
        </is>
      </c>
      <c r="D6" t="inlineStr">
        <is>
          <t xml:space="preserve">Назначение</t>
        </is>
      </c>
      <c r="E6" t="inlineStr">
        <is>
          <t xml:space="preserve">Тип</t>
        </is>
      </c>
      <c r="F6" t="inlineStr">
        <is>
          <t xml:space="preserve">Понятие</t>
        </is>
      </c>
      <c r="G6" t="inlineStr">
        <is>
          <t xml:space="preserve">Значение/формула</t>
        </is>
      </c>
      <c r="H6" t="inlineStr">
        <is>
          <t xml:space="preserve">Описание алгоритма</t>
        </is>
      </c>
    </row>
    <row r="7">
      <c r="A7" t="inlineStr">
        <is>
          <t xml:space="preserve">1</t>
        </is>
      </c>
      <c r="B7" t="inlineStr">
        <is>
          <t xml:space="preserve">Служебное понятие</t>
        </is>
      </c>
      <c r="C7" t="inlineStr">
        <is>
          <t xml:space="preserve">meta</t>
        </is>
      </c>
      <c r="D7" t="inlineStr">
        <is>
          <t xml:space="preserve">meta</t>
        </is>
      </c>
      <c r="E7" t="inlineStr">
        <is>
          <t xml:space="preserve">meta</t>
        </is>
      </c>
      <c r="F7" t="inlineStr">
        <is>
          <t xml:space="preserve">Обозначение, описывающее устройство самой книги, а не деятельность специалиста.</t>
        </is>
      </c>
      <c r="G7" t="inlineStr">
        <is>
          <t xml:space="preserve">block, form, section</t>
        </is>
      </c>
    </row>
    <row r="8">
      <c r="A8" t="inlineStr">
        <is>
          <t xml:space="preserve">ПОДРАЗДЕЛ · A1 · Служебные понятия — Из чего собраны книга, анкета и отчёт.</t>
        </is>
      </c>
    </row>
    <row r="9">
      <c r="A9" t="inlineStr">
        <is>
          <t xml:space="preserve">№</t>
        </is>
      </c>
      <c r="B9" t="inlineStr">
        <is>
          <t xml:space="preserve">Наименование</t>
        </is>
      </c>
      <c r="C9" t="inlineStr">
        <is>
          <t xml:space="preserve">ID</t>
        </is>
      </c>
      <c r="D9" t="inlineStr">
        <is>
          <t xml:space="preserve">Назначение</t>
        </is>
      </c>
      <c r="E9" t="inlineStr">
        <is>
          <t xml:space="preserve">Тип</t>
        </is>
      </c>
      <c r="F9" t="inlineStr">
        <is>
          <t xml:space="preserve">Понятие</t>
        </is>
      </c>
      <c r="G9" t="inlineStr">
        <is>
          <t xml:space="preserve">Значение/формула</t>
        </is>
      </c>
      <c r="H9" t="inlineStr">
        <is>
          <t xml:space="preserve">Описание алгоритма</t>
        </is>
      </c>
    </row>
    <row r="10">
      <c r="A10" t="inlineStr">
        <is>
          <t xml:space="preserve">2</t>
        </is>
      </c>
      <c r="B10" t="inlineStr">
        <is>
          <t xml:space="preserve">Форма</t>
        </is>
      </c>
      <c r="C10" t="inlineStr">
        <is>
          <t xml:space="preserve">Form001 … Form016</t>
        </is>
      </c>
      <c r="D10" t="inlineStr">
        <is>
          <t xml:space="preserve">meta</t>
        </is>
      </c>
      <c r="E10" t="inlineStr">
        <is>
          <t xml:space="preserve">служебное</t>
        </is>
      </c>
      <c r="F10" t="inlineStr">
        <is>
          <t xml:space="preserve">Набор однотипных строк, которые пользователь заполняет списком.</t>
        </is>
      </c>
      <c r="G10" t="inlineStr">
        <is>
          <t xml:space="preserve">03_Каталоги, 07_Интерфейс</t>
        </is>
      </c>
    </row>
    <row r="11">
      <c r="A11" t="inlineStr">
        <is>
          <t xml:space="preserve">3</t>
        </is>
      </c>
      <c r="B11" t="inlineStr">
        <is>
          <t xml:space="preserve">Тип расхода</t>
        </is>
      </c>
      <c r="C11" t="inlineStr">
        <is>
          <t xml:space="preserve">амортизация · регулярный платёж</t>
        </is>
      </c>
      <c r="D11" t="inlineStr">
        <is>
          <t xml:space="preserve">meta</t>
        </is>
      </c>
      <c r="E11" t="inlineStr">
        <is>
          <t xml:space="preserve">служебное</t>
        </is>
      </c>
      <c r="F11" t="inlineStr">
        <is>
          <t xml:space="preserve">Признак позиции каталога: разовая покупка, разложенная по сроку службы, или платёж, повторяющийся каждый период.</t>
        </is>
      </c>
      <c r="G11" t="inlineStr">
        <is>
          <t xml:space="preserve">03_Каталоги</t>
        </is>
      </c>
    </row>
    <row r="12">
      <c r="A12" t="inlineStr">
        <is>
          <t xml:space="preserve">4</t>
        </is>
      </c>
      <c r="B12" t="inlineStr">
        <is>
          <t xml:space="preserve">Период платежа</t>
        </is>
      </c>
      <c r="C12" t="inlineStr">
        <is>
          <t xml:space="preserve">Год · Квартал · Месяц</t>
        </is>
      </c>
      <c r="D12" t="inlineStr">
        <is>
          <t xml:space="preserve">meta</t>
        </is>
      </c>
      <c r="E12" t="inlineStr">
        <is>
          <t xml:space="preserve">служебное</t>
        </is>
      </c>
      <c r="F12" t="inlineStr">
        <is>
          <t xml:space="preserve">Как часто вносится регулярный платёж. Задаёт множитель платежей в год: 1, 4 или 12.</t>
        </is>
      </c>
      <c r="G12" t="inlineStr">
        <is>
          <t xml:space="preserve">03_Каталоги</t>
        </is>
      </c>
    </row>
    <row r="13">
      <c r="A13" t="inlineStr">
        <is>
          <t xml:space="preserve">5</t>
        </is>
      </c>
      <c r="B13" t="inlineStr">
        <is>
          <t xml:space="preserve">Лист книги</t>
        </is>
      </c>
      <c r="C13" t="inlineStr">
        <is>
          <t xml:space="preserve">00 … 28</t>
        </is>
      </c>
      <c r="D13" t="inlineStr">
        <is>
          <t xml:space="preserve">meta</t>
        </is>
      </c>
      <c r="E13" t="inlineStr">
        <is>
          <t xml:space="preserve">служебное</t>
        </is>
      </c>
      <c r="F13" t="inlineStr">
        <is>
          <t xml:space="preserve">Отдельная страница книги с номером и назначением в названии.</t>
        </is>
      </c>
      <c r="G13" t="inlineStr">
        <is>
          <t xml:space="preserve">вся книга</t>
        </is>
      </c>
    </row>
    <row r="14">
      <c r="A14" t="inlineStr">
        <is>
          <t xml:space="preserve">6</t>
        </is>
      </c>
      <c r="B14" t="inlineStr">
        <is>
          <t xml:space="preserve">id в вёрстке</t>
        </is>
      </c>
      <c r="C14" t="inlineStr">
        <is>
          <t xml:space="preserve">hRate, dn1, lg1</t>
        </is>
      </c>
      <c r="D14" t="inlineStr">
        <is>
          <t xml:space="preserve">meta</t>
        </is>
      </c>
      <c r="E14" t="inlineStr">
        <is>
          <t xml:space="preserve">служебное</t>
        </is>
      </c>
      <c r="F14" t="inlineStr">
        <is>
          <t xml:space="preserve">Обозначение элемента на странице, по которому скрипт подставляет в него рассчитанное значение.</t>
        </is>
      </c>
      <c r="G14" t="inlineStr">
        <is>
          <t xml:space="preserve">08c_Структура_отчёта</t>
        </is>
      </c>
    </row>
    <row r="15">
      <c r="A15" t="inlineStr">
        <is>
          <t xml:space="preserve">ПОДРАЗДЕЛ · A5 · Типы полей анкеты — Как пользователь вводит значение.</t>
        </is>
      </c>
    </row>
    <row r="16">
      <c r="A16" t="inlineStr">
        <is>
          <t xml:space="preserve">№</t>
        </is>
      </c>
      <c r="B16" t="inlineStr">
        <is>
          <t xml:space="preserve">Наименование</t>
        </is>
      </c>
      <c r="C16" t="inlineStr">
        <is>
          <t xml:space="preserve">ID</t>
        </is>
      </c>
      <c r="D16" t="inlineStr">
        <is>
          <t xml:space="preserve">Назначение</t>
        </is>
      </c>
      <c r="E16" t="inlineStr">
        <is>
          <t xml:space="preserve">Тип</t>
        </is>
      </c>
      <c r="F16" t="inlineStr">
        <is>
          <t xml:space="preserve">Понятие</t>
        </is>
      </c>
      <c r="G16" t="inlineStr">
        <is>
          <t xml:space="preserve">Значение/формула</t>
        </is>
      </c>
      <c r="H16" t="inlineStr">
        <is>
          <t xml:space="preserve">Описание алгоритма</t>
        </is>
      </c>
    </row>
    <row r="17">
      <c r="A17" t="inlineStr">
        <is>
          <t xml:space="preserve">7</t>
        </is>
      </c>
      <c r="B17" t="inlineStr">
        <is>
          <t xml:space="preserve">input_number</t>
        </is>
      </c>
      <c r="C17" t="inlineStr">
        <is>
          <t xml:space="preserve">поле ввода</t>
        </is>
      </c>
      <c r="D17" t="inlineStr">
        <is>
          <t xml:space="preserve">meta</t>
        </is>
      </c>
      <c r="E17" t="inlineStr">
        <is>
          <t xml:space="preserve">служебное</t>
        </is>
      </c>
      <c r="F17" t="inlineStr">
        <is>
          <t xml:space="preserve">Поле для ввода числа.</t>
        </is>
      </c>
      <c r="G17" t="inlineStr">
        <is>
          <t xml:space="preserve">доход, ставка, коэффициент</t>
        </is>
      </c>
    </row>
    <row r="18">
      <c r="A18" t="inlineStr">
        <is>
          <t xml:space="preserve">8</t>
        </is>
      </c>
      <c r="B18" t="inlineStr">
        <is>
          <t xml:space="preserve">input_extended</t>
        </is>
      </c>
      <c r="C18" t="inlineStr">
        <is>
          <t xml:space="preserve">поле с настройкой</t>
        </is>
      </c>
      <c r="D18" t="inlineStr">
        <is>
          <t xml:space="preserve">meta</t>
        </is>
      </c>
      <c r="E18" t="inlineStr">
        <is>
          <t xml:space="preserve">служебное</t>
        </is>
      </c>
      <c r="F18" t="inlineStr">
        <is>
          <t xml:space="preserve">Поле для ввода числа с дополнительной настройкой рядом.</t>
        </is>
      </c>
      <c r="G18" t="inlineStr">
        <is>
          <t xml:space="preserve">Block10</t>
        </is>
      </c>
    </row>
    <row r="19">
      <c r="A19" t="inlineStr">
        <is>
          <t xml:space="preserve">9</t>
        </is>
      </c>
      <c r="B19" t="inlineStr">
        <is>
          <t xml:space="preserve">dropdown</t>
        </is>
      </c>
      <c r="C19" t="inlineStr">
        <is>
          <t xml:space="preserve">select</t>
        </is>
      </c>
      <c r="D19" t="inlineStr">
        <is>
          <t xml:space="preserve">meta</t>
        </is>
      </c>
      <c r="E19" t="inlineStr">
        <is>
          <t xml:space="preserve">служебное</t>
        </is>
      </c>
      <c r="F19" t="inlineStr">
        <is>
          <t xml:space="preserve">Выпадающий список с выбором одного варианта.</t>
        </is>
      </c>
      <c r="G19" t="inlineStr">
        <is>
          <t xml:space="preserve">налоговый режим, учёт</t>
        </is>
      </c>
    </row>
    <row r="20">
      <c r="A20" t="inlineStr">
        <is>
          <t xml:space="preserve">10</t>
        </is>
      </c>
      <c r="B20" t="inlineStr">
        <is>
          <t xml:space="preserve">radio</t>
        </is>
      </c>
      <c r="C20" t="inlineStr">
        <is>
          <t xml:space="preserve">переключатель</t>
        </is>
      </c>
      <c r="D20" t="inlineStr">
        <is>
          <t xml:space="preserve">meta</t>
        </is>
      </c>
      <c r="E20" t="inlineStr">
        <is>
          <t xml:space="preserve">служебное</t>
        </is>
      </c>
      <c r="F20" t="inlineStr">
        <is>
          <t xml:space="preserve">Выбор одного варианта из нескольких, все видны сразу.</t>
        </is>
      </c>
      <c r="G20" t="inlineStr">
        <is>
          <t xml:space="preserve">создание сайта</t>
        </is>
      </c>
    </row>
    <row r="21">
      <c r="A21" t="inlineStr">
        <is>
          <t xml:space="preserve">11</t>
        </is>
      </c>
      <c r="B21" t="inlineStr">
        <is>
          <t xml:space="preserve">checkbox</t>
        </is>
      </c>
      <c r="C21" t="inlineStr">
        <is>
          <t xml:space="preserve">галочка</t>
        </is>
      </c>
      <c r="D21" t="inlineStr">
        <is>
          <t xml:space="preserve">meta</t>
        </is>
      </c>
      <c r="E21" t="inlineStr">
        <is>
          <t xml:space="preserve">служебное</t>
        </is>
      </c>
      <c r="F21" t="inlineStr">
        <is>
          <t xml:space="preserve">Включает или выключает блок либо строку расчёта.</t>
        </is>
      </c>
      <c r="G21" t="inlineStr">
        <is>
          <t xml:space="preserve">«Не учитывать этот блок»</t>
        </is>
      </c>
    </row>
    <row r="22">
      <c r="A22" t="inlineStr">
        <is>
          <t xml:space="preserve">12</t>
        </is>
      </c>
      <c r="B22" t="inlineStr">
        <is>
          <t xml:space="preserve">dynamic_table</t>
        </is>
      </c>
      <c r="C22" t="inlineStr">
        <is>
          <t xml:space="preserve">таблица</t>
        </is>
      </c>
      <c r="D22" t="inlineStr">
        <is>
          <t xml:space="preserve">meta</t>
        </is>
      </c>
      <c r="E22" t="inlineStr">
        <is>
          <t xml:space="preserve">служебное</t>
        </is>
      </c>
      <c r="F22" t="inlineStr">
        <is>
          <t xml:space="preserve">Таблица, в которую пользователь сам добавляет и удаляет строки.</t>
        </is>
      </c>
      <c r="G22" t="inlineStr">
        <is>
          <t xml:space="preserve">оборудование, ПО</t>
        </is>
      </c>
    </row>
    <row r="23">
      <c r="A23" t="inlineStr">
        <is>
          <t xml:space="preserve">13</t>
        </is>
      </c>
      <c r="B23" t="inlineStr">
        <is>
          <t xml:space="preserve">dynamic_tables</t>
        </is>
      </c>
      <c r="C23" t="inlineStr">
        <is>
          <t xml:space="preserve">две таблицы</t>
        </is>
      </c>
      <c r="D23" t="inlineStr">
        <is>
          <t xml:space="preserve">meta</t>
        </is>
      </c>
      <c r="E23" t="inlineStr">
        <is>
          <t xml:space="preserve">служебное</t>
        </is>
      </c>
      <c r="F23" t="inlineStr">
        <is>
          <t xml:space="preserve">Две такие таблицы в одном блоке.</t>
        </is>
      </c>
      <c r="G23" t="inlineStr">
        <is>
          <t xml:space="preserve">Block8</t>
        </is>
      </c>
    </row>
    <row r="24">
      <c r="A24" t="inlineStr">
        <is>
          <t xml:space="preserve">14</t>
        </is>
      </c>
      <c r="B24" t="inlineStr">
        <is>
          <t xml:space="preserve">table_head</t>
        </is>
      </c>
      <c r="C24" t="inlineStr">
        <is>
          <t xml:space="preserve">шапка таблицы</t>
        </is>
      </c>
      <c r="D24" t="inlineStr">
        <is>
          <t xml:space="preserve">meta</t>
        </is>
      </c>
      <c r="E24" t="inlineStr">
        <is>
          <t xml:space="preserve">служебное</t>
        </is>
      </c>
      <c r="F24" t="inlineStr">
        <is>
          <t xml:space="preserve">Названия столбцов таблицы.</t>
        </is>
      </c>
    </row>
    <row r="25">
      <c r="A25" t="inlineStr">
        <is>
          <t xml:space="preserve">15</t>
        </is>
      </c>
      <c r="B25" t="inlineStr">
        <is>
          <t xml:space="preserve">table_row</t>
        </is>
      </c>
      <c r="C25" t="inlineStr">
        <is>
          <t xml:space="preserve">строка таблицы</t>
        </is>
      </c>
      <c r="D25" t="inlineStr">
        <is>
          <t xml:space="preserve">meta</t>
        </is>
      </c>
      <c r="E25" t="inlineStr">
        <is>
          <t xml:space="preserve">служебное</t>
        </is>
      </c>
      <c r="F25" t="inlineStr">
        <is>
          <t xml:space="preserve">Одна строка, заполняемая пользователем.</t>
        </is>
      </c>
      <c r="G25" t="inlineStr">
        <is>
          <t xml:space="preserve">39 строк в 08_UI</t>
        </is>
      </c>
    </row>
    <row r="26">
      <c r="A26" t="inlineStr">
        <is>
          <t xml:space="preserve">16</t>
        </is>
      </c>
      <c r="B26" t="inlineStr">
        <is>
          <t xml:space="preserve">button_add</t>
        </is>
      </c>
      <c r="C26" t="inlineStr">
        <is>
          <t xml:space="preserve">кнопка</t>
        </is>
      </c>
      <c r="D26" t="inlineStr">
        <is>
          <t xml:space="preserve">meta</t>
        </is>
      </c>
      <c r="E26" t="inlineStr">
        <is>
          <t xml:space="preserve">служебное</t>
        </is>
      </c>
      <c r="F26" t="inlineStr">
        <is>
          <t xml:space="preserve">Кнопка «Добавить позицию» под таблицей.</t>
        </is>
      </c>
    </row>
    <row r="27">
      <c r="A27" t="inlineStr">
        <is>
          <t xml:space="preserve">17</t>
        </is>
      </c>
      <c r="B27" t="inlineStr">
        <is>
          <t xml:space="preserve">calc_row</t>
        </is>
      </c>
      <c r="C27" t="inlineStr">
        <is>
          <t xml:space="preserve">строка итога</t>
        </is>
      </c>
      <c r="D27" t="inlineStr">
        <is>
          <t xml:space="preserve">meta</t>
        </is>
      </c>
      <c r="E27" t="inlineStr">
        <is>
          <t xml:space="preserve">служебное</t>
        </is>
      </c>
      <c r="F27" t="inlineStr">
        <is>
          <t xml:space="preserve">Строка с рассчитанным значением, пользователь её не заполняет.</t>
        </is>
      </c>
      <c r="G27" t="inlineStr">
        <is>
          <t xml:space="preserve">«Итого амортизация»</t>
        </is>
      </c>
    </row>
    <row r="28">
      <c r="A28" t="inlineStr">
        <is>
          <t xml:space="preserve">18</t>
        </is>
      </c>
      <c r="B28" t="inlineStr">
        <is>
          <t xml:space="preserve">calc_field</t>
        </is>
      </c>
      <c r="C28" t="inlineStr">
        <is>
          <t xml:space="preserve">поле вывода</t>
        </is>
      </c>
      <c r="D28" t="inlineStr">
        <is>
          <t xml:space="preserve">meta</t>
        </is>
      </c>
      <c r="E28" t="inlineStr">
        <is>
          <t xml:space="preserve">служебное</t>
        </is>
      </c>
      <c r="F28" t="inlineStr">
        <is>
          <t xml:space="preserve">Отдельное поле с рассчитанным значением внутри блока.</t>
        </is>
      </c>
    </row>
    <row r="29">
      <c r="A29" t="inlineStr">
        <is>
          <t xml:space="preserve">19</t>
        </is>
      </c>
      <c r="B29" t="inlineStr">
        <is>
          <t xml:space="preserve">subhead</t>
        </is>
      </c>
      <c r="C29" t="inlineStr">
        <is>
          <t xml:space="preserve">подзаголовок</t>
        </is>
      </c>
      <c r="D29" t="inlineStr">
        <is>
          <t xml:space="preserve">meta</t>
        </is>
      </c>
      <c r="E29" t="inlineStr">
        <is>
          <t xml:space="preserve">служебное</t>
        </is>
      </c>
      <c r="F29" t="inlineStr">
        <is>
          <t xml:space="preserve">Подзаголовок внутри блока.</t>
        </is>
      </c>
    </row>
    <row r="30">
      <c r="A30" t="inlineStr">
        <is>
          <t xml:space="preserve">20</t>
        </is>
      </c>
      <c r="B30" t="inlineStr">
        <is>
          <t xml:space="preserve">info_block</t>
        </is>
      </c>
      <c r="C30" t="inlineStr">
        <is>
          <t xml:space="preserve">текстовый блок</t>
        </is>
      </c>
      <c r="D30" t="inlineStr">
        <is>
          <t xml:space="preserve">meta</t>
        </is>
      </c>
      <c r="E30" t="inlineStr">
        <is>
          <t xml:space="preserve">служебное</t>
        </is>
      </c>
      <c r="F30" t="inlineStr">
        <is>
          <t xml:space="preserve">Пояснительный текст без полей ввода.</t>
        </is>
      </c>
      <c r="G30" t="inlineStr">
        <is>
          <t xml:space="preserve">«Как мы считаем»</t>
        </is>
      </c>
    </row>
    <row r="31">
      <c r="A31" t="inlineStr">
        <is>
          <t xml:space="preserve">21</t>
        </is>
      </c>
      <c r="B31" t="inlineStr">
        <is>
          <t xml:space="preserve">2 parts</t>
        </is>
      </c>
      <c r="C31" t="inlineStr">
        <is>
          <t xml:space="preserve">две части</t>
        </is>
      </c>
      <c r="D31" t="inlineStr">
        <is>
          <t xml:space="preserve">meta</t>
        </is>
      </c>
      <c r="E31" t="inlineStr">
        <is>
          <t xml:space="preserve">служебное</t>
        </is>
      </c>
      <c r="F31" t="inlineStr">
        <is>
          <t xml:space="preserve">Блок из двух частей: время и деньги.</t>
        </is>
      </c>
      <c r="G31" t="inlineStr">
        <is>
          <t xml:space="preserve">Block11, Block15</t>
        </is>
      </c>
    </row>
    <row r="32">
      <c r="A32" t="inlineStr">
        <is>
          <t xml:space="preserve">22</t>
        </is>
      </c>
      <c r="B32" t="inlineStr">
        <is>
          <t xml:space="preserve">report</t>
        </is>
      </c>
      <c r="C32" t="inlineStr">
        <is>
          <t xml:space="preserve">вывод</t>
        </is>
      </c>
      <c r="D32" t="inlineStr">
        <is>
          <t xml:space="preserve">meta</t>
        </is>
      </c>
      <c r="E32" t="inlineStr">
        <is>
          <t xml:space="preserve">служебное</t>
        </is>
      </c>
      <c r="F32" t="inlineStr">
        <is>
          <t xml:space="preserve">Блок вывода результата в конце анкеты.</t>
        </is>
      </c>
      <c r="G32" t="inlineStr">
        <is>
          <t xml:space="preserve">Block16 … Block18</t>
        </is>
      </c>
    </row>
    <row r="33">
      <c r="A33" t="inlineStr">
        <is>
          <t xml:space="preserve">ПОДРАЗДЕЛ · A6 · Типы блоков отчёта — Из чего собран отчёт.</t>
        </is>
      </c>
    </row>
    <row r="34">
      <c r="A34" t="inlineStr">
        <is>
          <t xml:space="preserve">№</t>
        </is>
      </c>
      <c r="B34" t="inlineStr">
        <is>
          <t xml:space="preserve">Наименование</t>
        </is>
      </c>
      <c r="C34" t="inlineStr">
        <is>
          <t xml:space="preserve">ID</t>
        </is>
      </c>
      <c r="D34" t="inlineStr">
        <is>
          <t xml:space="preserve">Назначение</t>
        </is>
      </c>
      <c r="E34" t="inlineStr">
        <is>
          <t xml:space="preserve">Тип</t>
        </is>
      </c>
      <c r="F34" t="inlineStr">
        <is>
          <t xml:space="preserve">Понятие</t>
        </is>
      </c>
      <c r="G34" t="inlineStr">
        <is>
          <t xml:space="preserve">Значение/формула</t>
        </is>
      </c>
      <c r="H34" t="inlineStr">
        <is>
          <t xml:space="preserve">Описание алгоритма</t>
        </is>
      </c>
    </row>
    <row r="35">
      <c r="A35" t="inlineStr">
        <is>
          <t xml:space="preserve">23</t>
        </is>
      </c>
      <c r="B35" t="inlineStr">
        <is>
          <t xml:space="preserve">header</t>
        </is>
      </c>
      <c r="C35" t="inlineStr">
        <is>
          <t xml:space="preserve">шапка</t>
        </is>
      </c>
      <c r="D35" t="inlineStr">
        <is>
          <t xml:space="preserve">meta</t>
        </is>
      </c>
      <c r="E35" t="inlineStr">
        <is>
          <t xml:space="preserve">служебное</t>
        </is>
      </c>
      <c r="F35" t="inlineStr">
        <is>
          <t xml:space="preserve">Заголовок, подзаголовок, дата расчёта.</t>
        </is>
      </c>
      <c r="G35" t="inlineStr">
        <is>
          <t xml:space="preserve">rMeta</t>
        </is>
      </c>
    </row>
    <row r="36">
      <c r="A36" t="inlineStr">
        <is>
          <t xml:space="preserve">24</t>
        </is>
      </c>
      <c r="B36" t="inlineStr">
        <is>
          <t xml:space="preserve">hero</t>
        </is>
      </c>
      <c r="C36" t="inlineStr">
        <is>
          <t xml:space="preserve">главная плашка</t>
        </is>
      </c>
      <c r="D36" t="inlineStr">
        <is>
          <t xml:space="preserve">meta</t>
        </is>
      </c>
      <c r="E36" t="inlineStr">
        <is>
          <t xml:space="preserve">служебное</t>
        </is>
      </c>
      <c r="F36" t="inlineStr">
        <is>
          <t xml:space="preserve">Крупная цифра ставки часа на зелёном фоне.</t>
        </is>
      </c>
      <c r="G36" t="inlineStr">
        <is>
          <t xml:space="preserve">hRate</t>
        </is>
      </c>
    </row>
    <row r="37">
      <c r="A37" t="inlineStr">
        <is>
          <t xml:space="preserve">25</t>
        </is>
      </c>
      <c r="B37" t="inlineStr">
        <is>
          <t xml:space="preserve">report_row</t>
        </is>
      </c>
      <c r="C37" t="inlineStr">
        <is>
          <t xml:space="preserve">строка показателей</t>
        </is>
      </c>
      <c r="D37" t="inlineStr">
        <is>
          <t xml:space="preserve">meta</t>
        </is>
      </c>
      <c r="E37" t="inlineStr">
        <is>
          <t xml:space="preserve">служебное</t>
        </is>
      </c>
      <c r="F37" t="inlineStr">
        <is>
          <t xml:space="preserve">Три показателя в строку под главной плашкой.</t>
        </is>
      </c>
    </row>
    <row r="38">
      <c r="A38" t="inlineStr">
        <is>
          <t xml:space="preserve">26</t>
        </is>
      </c>
      <c r="B38" t="inlineStr">
        <is>
          <t xml:space="preserve">chart_donut</t>
        </is>
      </c>
      <c r="C38" t="inlineStr">
        <is>
          <t xml:space="preserve">кольцевая диаграмма</t>
        </is>
      </c>
      <c r="D38" t="inlineStr">
        <is>
          <t xml:space="preserve">meta</t>
        </is>
      </c>
      <c r="E38" t="inlineStr">
        <is>
          <t xml:space="preserve">служебное</t>
        </is>
      </c>
      <c r="F38" t="inlineStr">
        <is>
          <t xml:space="preserve">Кольцо с сегментами и легендой.</t>
        </is>
      </c>
      <c r="G38" t="inlineStr">
        <is>
          <t xml:space="preserve">dn1, lg1</t>
        </is>
      </c>
    </row>
    <row r="39">
      <c r="A39" t="inlineStr">
        <is>
          <t xml:space="preserve">27</t>
        </is>
      </c>
      <c r="B39" t="inlineStr">
        <is>
          <t xml:space="preserve">compare_box</t>
        </is>
      </c>
      <c r="C39" t="inlineStr">
        <is>
          <t xml:space="preserve">сравнение</t>
        </is>
      </c>
      <c r="D39" t="inlineStr">
        <is>
          <t xml:space="preserve">meta</t>
        </is>
      </c>
      <c r="E39" t="inlineStr">
        <is>
          <t xml:space="preserve">служебное</t>
        </is>
      </c>
      <c r="F39" t="inlineStr">
        <is>
          <t xml:space="preserve">Две величины рядом для сравнения.</t>
        </is>
      </c>
    </row>
    <row r="40">
      <c r="A40" t="inlineStr">
        <is>
          <t xml:space="preserve">28</t>
        </is>
      </c>
      <c r="B40" t="inlineStr">
        <is>
          <t xml:space="preserve">cond</t>
        </is>
      </c>
      <c r="C40" t="inlineStr">
        <is>
          <t xml:space="preserve">условия труда</t>
        </is>
      </c>
      <c r="D40" t="inlineStr">
        <is>
          <t xml:space="preserve">meta</t>
        </is>
      </c>
      <c r="E40" t="inlineStr">
        <is>
          <t xml:space="preserve">служебное</t>
        </is>
      </c>
      <c r="F40" t="inlineStr">
        <is>
          <t xml:space="preserve">Пять условий по Трудовому кодексу.</t>
        </is>
      </c>
      <c r="G40" t="inlineStr">
        <is>
          <t xml:space="preserve">condGrid</t>
        </is>
      </c>
    </row>
    <row r="41">
      <c r="A41" t="inlineStr">
        <is>
          <t xml:space="preserve">29</t>
        </is>
      </c>
      <c r="B41" t="inlineStr">
        <is>
          <t xml:space="preserve">trust</t>
        </is>
      </c>
      <c r="C41" t="inlineStr">
        <is>
          <t xml:space="preserve">доверие</t>
        </is>
      </c>
      <c r="D41" t="inlineStr">
        <is>
          <t xml:space="preserve">meta</t>
        </is>
      </c>
      <c r="E41" t="inlineStr">
        <is>
          <t xml:space="preserve">служебное</t>
        </is>
      </c>
      <c r="F41" t="inlineStr">
        <is>
          <t xml:space="preserve">Доводы, почему расчёту можно верить.</t>
        </is>
      </c>
    </row>
    <row r="42">
      <c r="A42" t="inlineStr">
        <is>
          <t xml:space="preserve">30</t>
        </is>
      </c>
      <c r="B42" t="inlineStr">
        <is>
          <t xml:space="preserve">paywall</t>
        </is>
      </c>
      <c r="C42" t="inlineStr">
        <is>
          <t xml:space="preserve">блок оплаты</t>
        </is>
      </c>
      <c r="D42" t="inlineStr">
        <is>
          <t xml:space="preserve">meta</t>
        </is>
      </c>
      <c r="E42" t="inlineStr">
        <is>
          <t xml:space="preserve">служебное</t>
        </is>
      </c>
      <c r="F42" t="inlineStr">
        <is>
          <t xml:space="preserve">Иконка, заголовок, цена, кнопки.</t>
        </is>
      </c>
    </row>
    <row r="43">
      <c r="A43" t="inlineStr">
        <is>
          <t xml:space="preserve">31</t>
        </is>
      </c>
      <c r="B43" t="inlineStr">
        <is>
          <t xml:space="preserve">button</t>
        </is>
      </c>
      <c r="C43" t="inlineStr">
        <is>
          <t xml:space="preserve">кнопка</t>
        </is>
      </c>
      <c r="D43" t="inlineStr">
        <is>
          <t xml:space="preserve">meta</t>
        </is>
      </c>
      <c r="E43" t="inlineStr">
        <is>
          <t xml:space="preserve">служебное</t>
        </is>
      </c>
      <c r="F43" t="inlineStr">
        <is>
          <t xml:space="preserve">Печать, скачивание, «поделиться».</t>
        </is>
      </c>
      <c r="G43" t="inlineStr">
        <is>
          <t xml:space="preserve">dlpdf</t>
        </is>
      </c>
    </row>
    <row r="44">
      <c r="A44" t="inlineStr">
        <is>
          <t xml:space="preserve">32</t>
        </is>
      </c>
      <c r="B44" t="inlineStr">
        <is>
          <t xml:space="preserve">table</t>
        </is>
      </c>
      <c r="C44" t="inlineStr">
        <is>
          <t xml:space="preserve">таблица детализации</t>
        </is>
      </c>
      <c r="D44" t="inlineStr">
        <is>
          <t xml:space="preserve">meta</t>
        </is>
      </c>
      <c r="E44" t="inlineStr">
        <is>
          <t xml:space="preserve">служебное</t>
        </is>
      </c>
      <c r="F44" t="inlineStr">
        <is>
          <t xml:space="preserve">Восемь таблиц с полной выкладкой расчёта.</t>
        </is>
      </c>
      <c r="G44" t="inlineStr">
        <is>
          <t xml:space="preserve">спрдет</t>
        </is>
      </c>
    </row>
    <row r="45">
      <c r="A45" t="inlineStr">
        <is>
          <t xml:space="preserve">ПОДРАЗДЕЛ · C · ПРОВЕРКА ИЕРАРХИИ — три равенства, которые всегда верны</t>
        </is>
      </c>
    </row>
    <row r="46">
      <c r="A46" t="inlineStr">
        <is>
          <t xml:space="preserve">№</t>
        </is>
      </c>
      <c r="B46" t="inlineStr">
        <is>
          <t xml:space="preserve">Наименование</t>
        </is>
      </c>
      <c r="C46" t="inlineStr">
        <is>
          <t xml:space="preserve">ID</t>
        </is>
      </c>
      <c r="D46" t="inlineStr">
        <is>
          <t xml:space="preserve">Назначение</t>
        </is>
      </c>
      <c r="E46" t="inlineStr">
        <is>
          <t xml:space="preserve">Тип</t>
        </is>
      </c>
      <c r="F46" t="inlineStr">
        <is>
          <t xml:space="preserve">Понятие</t>
        </is>
      </c>
      <c r="G46" t="inlineStr">
        <is>
          <t xml:space="preserve">Значение/формула</t>
        </is>
      </c>
      <c r="H46" t="inlineStr">
        <is>
          <t xml:space="preserve">Описание алгоритма</t>
        </is>
      </c>
    </row>
    <row r="47">
      <c r="A47" t="inlineStr">
        <is>
          <t xml:space="preserve">33</t>
        </is>
      </c>
      <c r="B47" t="inlineStr">
        <is>
          <t xml:space="preserve">Первый уровень</t>
        </is>
      </c>
      <c r="D47" t="inlineStr">
        <is>
          <t xml:space="preserve">meta</t>
        </is>
      </c>
      <c r="E47" t="inlineStr">
        <is>
          <t xml:space="preserve">meta</t>
        </is>
      </c>
      <c r="F47" t="inlineStr">
        <is>
          <t xml:space="preserve">ОПЕРАЦИОННОЕ + РЕЗЕРВ + ПРОЕКТНОЕ = ЧИСТОЕ</t>
        </is>
      </c>
      <c r="G47" t="inlineStr">
        <is>
          <t xml:space="preserve">450 + 54,15 + 1 028,85 = 1 533 ✓</t>
        </is>
      </c>
    </row>
    <row r="48">
      <c r="A48" t="inlineStr">
        <is>
          <t xml:space="preserve">34</t>
        </is>
      </c>
      <c r="B48" t="inlineStr">
        <is>
          <t xml:space="preserve">Второй уровень</t>
        </is>
      </c>
      <c r="D48" t="inlineStr">
        <is>
          <t xml:space="preserve">meta</t>
        </is>
      </c>
      <c r="E48" t="inlineStr">
        <is>
          <t xml:space="preserve">meta</t>
        </is>
      </c>
      <c r="F48" t="inlineStr">
        <is>
          <t xml:space="preserve">ПРОФИЛЬНОЕ + работа с клиентом = ПРОЕКТНОЕ</t>
        </is>
      </c>
      <c r="G48" t="inlineStr">
        <is>
          <t xml:space="preserve">985,05 + 43,80 = 1 028,85 ✓</t>
        </is>
      </c>
    </row>
    <row r="49">
      <c r="A49" t="inlineStr">
        <is>
          <t xml:space="preserve">35</t>
        </is>
      </c>
      <c r="B49" t="inlineStr">
        <is>
          <t xml:space="preserve">Третий уровень</t>
        </is>
      </c>
      <c r="D49" t="inlineStr">
        <is>
          <t xml:space="preserve">meta</t>
        </is>
      </c>
      <c r="E49" t="inlineStr">
        <is>
          <t xml:space="preserve">meta</t>
        </is>
      </c>
      <c r="F49" t="inlineStr">
        <is>
          <t xml:space="preserve">СЪЁМОЧНОЕ + постпродакшн = ПРОФИЛЬНОЕ</t>
        </is>
      </c>
      <c r="G49" t="inlineStr">
        <is>
          <t xml:space="preserve">246,26 + 738,79 = 985,05 ✓</t>
        </is>
      </c>
    </row>
    <row r="50">
      <c r="A50" t="inlineStr">
        <is>
          <t xml:space="preserve">ПОДРАЗДЕЛ · F · НАЛОГИ 2026</t>
        </is>
      </c>
    </row>
    <row r="51">
      <c r="A51" t="inlineStr">
        <is>
          <t xml:space="preserve">№</t>
        </is>
      </c>
      <c r="B51" t="inlineStr">
        <is>
          <t xml:space="preserve">Наименование</t>
        </is>
      </c>
      <c r="C51" t="inlineStr">
        <is>
          <t xml:space="preserve">ID</t>
        </is>
      </c>
      <c r="D51" t="inlineStr">
        <is>
          <t xml:space="preserve">Назначение</t>
        </is>
      </c>
      <c r="E51" t="inlineStr">
        <is>
          <t xml:space="preserve">Тип</t>
        </is>
      </c>
      <c r="F51" t="inlineStr">
        <is>
          <t xml:space="preserve">Понятие</t>
        </is>
      </c>
      <c r="G51" t="inlineStr">
        <is>
          <t xml:space="preserve">Значение/формула</t>
        </is>
      </c>
      <c r="H51" t="inlineStr">
        <is>
          <t xml:space="preserve">Описание алгоритма</t>
        </is>
      </c>
    </row>
    <row r="52">
      <c r="A52" t="inlineStr">
        <is>
          <t xml:space="preserve">36</t>
        </is>
      </c>
      <c r="B52" t="inlineStr">
        <is>
          <t xml:space="preserve">Вычет взносов из налога</t>
        </is>
      </c>
      <c r="D52" t="inlineStr">
        <is>
          <t xml:space="preserve">meta</t>
        </is>
      </c>
      <c r="E52" t="inlineStr">
        <is>
          <t xml:space="preserve">meta</t>
        </is>
      </c>
      <c r="F52" t="inlineStr">
        <is>
          <t xml:space="preserve">На УСН «Доходы» взносы уменьшают налог до нуля. Платёж = MAX(налог; взносы), а НЕ сумма</t>
        </is>
      </c>
      <c r="G52" t="inlineStr">
        <is>
          <t xml:space="preserve">ключевая механика</t>
        </is>
      </c>
    </row>
    <row r="53">
      <c r="A53" t="inlineStr">
        <is>
          <t xml:space="preserve">ПОДРАЗДЕЛ · data_type</t>
        </is>
      </c>
    </row>
    <row r="54">
      <c r="A54" t="inlineStr">
        <is>
          <t xml:space="preserve">№</t>
        </is>
      </c>
      <c r="B54" t="inlineStr">
        <is>
          <t xml:space="preserve">Наименование</t>
        </is>
      </c>
      <c r="C54" t="inlineStr">
        <is>
          <t xml:space="preserve">ID</t>
        </is>
      </c>
      <c r="D54" t="inlineStr">
        <is>
          <t xml:space="preserve">Назначение</t>
        </is>
      </c>
      <c r="E54" t="inlineStr">
        <is>
          <t xml:space="preserve">Тип</t>
        </is>
      </c>
      <c r="F54" t="inlineStr">
        <is>
          <t xml:space="preserve">Понятие</t>
        </is>
      </c>
      <c r="G54" t="inlineStr">
        <is>
          <t xml:space="preserve">Значение/формула</t>
        </is>
      </c>
      <c r="H54" t="inlineStr">
        <is>
          <t xml:space="preserve">Описание алгоритма</t>
        </is>
      </c>
    </row>
    <row r="55">
      <c r="A55" t="inlineStr">
        <is>
          <t xml:space="preserve">37</t>
        </is>
      </c>
      <c r="B55" t="inlineStr">
        <is>
          <t xml:space="preserve">Константа</t>
        </is>
      </c>
      <c r="C55" t="inlineStr">
        <is>
          <t xml:space="preserve">const</t>
        </is>
      </c>
      <c r="D55" t="inlineStr">
        <is>
          <t xml:space="preserve">meta</t>
        </is>
      </c>
      <c r="E55" t="inlineStr">
        <is>
          <t xml:space="preserve">meta</t>
        </is>
      </c>
      <c r="F55" t="inlineStr">
        <is>
          <t xml:space="preserve">Заранее установленное значение, которое используется в расчётах и не изменяется в зависимости от введённых пользователем данных.</t>
        </is>
      </c>
      <c r="G55" t="inlineStr">
        <is>
          <t xml:space="preserve">247 дня, 57 390 ₽</t>
        </is>
      </c>
    </row>
    <row r="56">
      <c r="A56" t="inlineStr">
        <is>
          <t xml:space="preserve">38</t>
        </is>
      </c>
      <c r="B56" t="inlineStr">
        <is>
          <t xml:space="preserve">Значение по умолчанию</t>
        </is>
      </c>
      <c r="C56" t="inlineStr">
        <is>
          <t xml:space="preserve">default</t>
        </is>
      </c>
      <c r="D56" t="inlineStr">
        <is>
          <t xml:space="preserve">meta</t>
        </is>
      </c>
      <c r="E56" t="inlineStr">
        <is>
          <t xml:space="preserve">meta</t>
        </is>
      </c>
      <c r="F56" t="inlineStr">
        <is>
          <t xml:space="preserve">Заранее установленное значение параметра, которое используется автоматически, если пользователь не указал другое значение.</t>
        </is>
      </c>
      <c r="G56" t="inlineStr">
        <is>
          <t xml:space="preserve">доход 108 999 ₽</t>
        </is>
      </c>
    </row>
    <row r="57">
      <c r="A57" t="inlineStr">
        <is>
          <t xml:space="preserve">39</t>
        </is>
      </c>
      <c r="B57" t="inlineStr">
        <is>
          <t xml:space="preserve">Формула</t>
        </is>
      </c>
      <c r="C57" t="inlineStr">
        <is>
          <t xml:space="preserve">calc</t>
        </is>
      </c>
      <c r="D57" t="inlineStr">
        <is>
          <t xml:space="preserve">meta</t>
        </is>
      </c>
      <c r="E57" t="inlineStr">
        <is>
          <t xml:space="preserve">meta</t>
        </is>
      </c>
      <c r="F57" t="inlineStr">
        <is>
          <t xml:space="preserve">Расчётное выражение, по которому калькулятор на основе введённых пользователем данных и установленных констант определяет значение параметра.</t>
        </is>
      </c>
      <c r="G57" t="inlineStr">
        <is>
          <t xml:space="preserve">net_time-side_time</t>
        </is>
      </c>
    </row>
    <row r="58">
      <c r="A58" t="inlineStr">
        <is>
          <t xml:space="preserve">40</t>
        </is>
      </c>
      <c r="B58" t="inlineStr">
        <is>
          <t xml:space="preserve">Вводимые данные</t>
        </is>
      </c>
      <c r="C58" t="inlineStr">
        <is>
          <t xml:space="preserve">input_data</t>
        </is>
      </c>
      <c r="D58" t="inlineStr">
        <is>
          <t xml:space="preserve">meta</t>
        </is>
      </c>
      <c r="E58" t="inlineStr">
        <is>
          <t xml:space="preserve">data_type</t>
        </is>
      </c>
      <c r="F58" t="inlineStr">
        <is>
          <t xml:space="preserve">Данные введенные пользователем вручную</t>
        </is>
      </c>
    </row>
    <row r="59">
      <c r="A59" t="inlineStr">
        <is>
          <t xml:space="preserve">ПОДРАЗДЕЛ · marker</t>
        </is>
      </c>
    </row>
    <row r="60">
      <c r="A60" t="inlineStr">
        <is>
          <t xml:space="preserve">№</t>
        </is>
      </c>
      <c r="B60" t="inlineStr">
        <is>
          <t xml:space="preserve">Наименование</t>
        </is>
      </c>
      <c r="C60" t="inlineStr">
        <is>
          <t xml:space="preserve">ID</t>
        </is>
      </c>
      <c r="D60" t="inlineStr">
        <is>
          <t xml:space="preserve">Назначение</t>
        </is>
      </c>
      <c r="E60" t="inlineStr">
        <is>
          <t xml:space="preserve">Тип</t>
        </is>
      </c>
      <c r="F60" t="inlineStr">
        <is>
          <t xml:space="preserve">Понятие</t>
        </is>
      </c>
      <c r="G60" t="inlineStr">
        <is>
          <t xml:space="preserve">Значение/формула</t>
        </is>
      </c>
      <c r="H60" t="inlineStr">
        <is>
          <t xml:space="preserve">Описание алгоритма</t>
        </is>
      </c>
    </row>
    <row r="61">
      <c r="A61" t="inlineStr">
        <is>
          <t xml:space="preserve">41</t>
        </is>
      </c>
      <c r="B61" t="inlineStr">
        <is>
          <t xml:space="preserve">Параметр</t>
        </is>
      </c>
      <c r="C61" t="inlineStr">
        <is>
          <t xml:space="preserve">param</t>
        </is>
      </c>
      <c r="D61" t="inlineStr">
        <is>
          <t xml:space="preserve">meta</t>
        </is>
      </c>
      <c r="E61" t="inlineStr">
        <is>
          <t xml:space="preserve">marker</t>
        </is>
      </c>
      <c r="F61" t="inlineStr">
        <is>
          <t xml:space="preserve">Отдельная величина книги/формы/таблицы с постоянным значением, по которому на неё ссылаются формулы.</t>
        </is>
      </c>
    </row>
    <row r="62">
      <c r="A62" t="inlineStr">
        <is>
          <t xml:space="preserve">42</t>
        </is>
      </c>
      <c r="B62" t="inlineStr">
        <is>
          <t xml:space="preserve">Понятие</t>
        </is>
      </c>
      <c r="D62" t="inlineStr">
        <is>
          <t xml:space="preserve">meta</t>
        </is>
      </c>
      <c r="E62" t="inlineStr">
        <is>
          <t xml:space="preserve">marker</t>
        </is>
      </c>
    </row>
    <row r="63">
      <c r="A63" t="inlineStr">
        <is>
          <t xml:space="preserve">43</t>
        </is>
      </c>
      <c r="B63" t="inlineStr">
        <is>
          <t xml:space="preserve">Значение</t>
        </is>
      </c>
      <c r="D63" t="inlineStr">
        <is>
          <t xml:space="preserve">meta</t>
        </is>
      </c>
      <c r="E63" t="inlineStr">
        <is>
          <t xml:space="preserve">marker</t>
        </is>
      </c>
    </row>
    <row r="64">
      <c r="A64" t="inlineStr">
        <is>
          <t xml:space="preserve">44</t>
        </is>
      </c>
      <c r="B64" t="inlineStr">
        <is>
          <t xml:space="preserve">Пользователь</t>
        </is>
      </c>
      <c r="D64" t="inlineStr">
        <is>
          <t xml:space="preserve">meta</t>
        </is>
      </c>
      <c r="E64" t="inlineStr">
        <is>
          <t xml:space="preserve">marker</t>
        </is>
      </c>
    </row>
    <row r="65">
      <c r="A65" t="inlineStr">
        <is>
          <t xml:space="preserve">45</t>
        </is>
      </c>
      <c r="B65" t="inlineStr">
        <is>
          <t xml:space="preserve">Служебный</t>
        </is>
      </c>
      <c r="C65" t="inlineStr">
        <is>
          <t xml:space="preserve">meta</t>
        </is>
      </c>
      <c r="D65" t="inlineStr">
        <is>
          <t xml:space="preserve">meta</t>
        </is>
      </c>
      <c r="E65" t="inlineStr">
        <is>
          <t xml:space="preserve">marker</t>
        </is>
      </c>
      <c r="F65" t="inlineStr">
        <is>
          <t xml:space="preserve">Значение, использующееся исключительно для внутренних расчетов. Не выводится для пользователя</t>
        </is>
      </c>
    </row>
    <row r="66">
      <c r="A66" t="inlineStr">
        <is>
          <t xml:space="preserve">46</t>
        </is>
      </c>
      <c r="B66" t="inlineStr">
        <is>
          <t xml:space="preserve">Тип поля интерфейса</t>
        </is>
      </c>
      <c r="C66" t="inlineStr">
        <is>
          <t xml:space="preserve">ui</t>
        </is>
      </c>
      <c r="D66" t="inlineStr">
        <is>
          <t xml:space="preserve">meta</t>
        </is>
      </c>
      <c r="E66" t="inlineStr">
        <is>
          <t xml:space="preserve">meta</t>
        </is>
      </c>
      <c r="F66" t="inlineStr">
        <is>
          <t xml:space="preserve">Обозначение способа, которым пользователь вводит или получает значение параметра.</t>
        </is>
      </c>
      <c r="G66" t="inlineStr">
        <is>
          <t xml:space="preserve">input_number, dropdown</t>
        </is>
      </c>
    </row>
    <row r="67">
      <c r="A67" t="inlineStr">
        <is>
          <t xml:space="preserve">47</t>
        </is>
      </c>
      <c r="B67" t="inlineStr">
        <is>
          <t xml:space="preserve">Для пользователя</t>
        </is>
      </c>
      <c r="D67" t="inlineStr">
        <is>
          <t xml:space="preserve">meta</t>
        </is>
      </c>
      <c r="E67" t="inlineStr">
        <is>
          <t xml:space="preserve">marker</t>
        </is>
      </c>
      <c r="F67" t="inlineStr">
        <is>
          <t xml:space="preserve">Значение, использующееся исключительно для  для пользователя</t>
        </is>
      </c>
    </row>
    <row r="68">
      <c r="A68" t="inlineStr">
        <is>
          <t xml:space="preserve">48</t>
        </is>
      </c>
      <c r="B68" t="inlineStr">
        <is>
          <t xml:space="preserve">Общий</t>
        </is>
      </c>
      <c r="D68" t="inlineStr">
        <is>
          <t xml:space="preserve">meta</t>
        </is>
      </c>
      <c r="E68" t="inlineStr">
        <is>
          <t xml:space="preserve">marker</t>
        </is>
      </c>
      <c r="F68" t="inlineStr">
        <is>
          <t xml:space="preserve">Значение, использующееся для внутренних вычислений и для пользователя</t>
        </is>
      </c>
    </row>
    <row r="69">
      <c r="A69" t="inlineStr">
        <is>
          <t xml:space="preserve">49</t>
        </is>
      </c>
      <c r="B69" t="inlineStr">
        <is>
          <t xml:space="preserve">Идентификатор</t>
        </is>
      </c>
      <c r="C69" t="inlineStr">
        <is>
          <t xml:space="preserve">id</t>
        </is>
      </c>
      <c r="D69" t="inlineStr">
        <is>
          <t xml:space="preserve">meta</t>
        </is>
      </c>
      <c r="E69" t="inlineStr">
        <is>
          <t xml:space="preserve">marker</t>
        </is>
      </c>
      <c r="F69" t="inlineStr">
        <is>
          <t xml:space="preserve">Обозначение элемента на странице, по которому скрипт подставляет в него рассчитанное значение.</t>
        </is>
      </c>
    </row>
    <row r="70">
      <c r="A70" t="inlineStr">
        <is>
          <t xml:space="preserve">50</t>
        </is>
      </c>
      <c r="B70" t="inlineStr">
        <is>
          <t xml:space="preserve">Параметр</t>
        </is>
      </c>
      <c r="C70" t="inlineStr">
        <is>
          <t xml:space="preserve">income_month и другие ID</t>
        </is>
      </c>
      <c r="D70" t="inlineStr">
        <is>
          <t xml:space="preserve">meta</t>
        </is>
      </c>
      <c r="E70" t="inlineStr">
        <is>
          <t xml:space="preserve">служебное</t>
        </is>
      </c>
      <c r="F70" t="inlineStr">
        <is>
          <t xml:space="preserve">Отдельная величина книги со своим постоянным обозначением, по которому на неё ссылаются формулы.</t>
        </is>
      </c>
      <c r="G70" t="inlineStr">
        <is>
          <t xml:space="preserve">02_Параметры</t>
        </is>
      </c>
    </row>
    <row r="71">
      <c r="A71" t="inlineStr">
        <is>
          <t xml:space="preserve">51</t>
        </is>
      </c>
      <c r="B71" t="inlineStr">
        <is>
          <t xml:space="preserve">Тип данных</t>
        </is>
      </c>
      <c r="C71" t="inlineStr">
        <is>
          <t xml:space="preserve">data_type</t>
        </is>
      </c>
      <c r="D71" t="inlineStr">
        <is>
          <t xml:space="preserve">meta</t>
        </is>
      </c>
      <c r="E71" t="inlineStr">
        <is>
          <t xml:space="preserve">marker</t>
        </is>
      </c>
    </row>
    <row r="72">
      <c r="A72" t="inlineStr">
        <is>
          <t xml:space="preserve">ПОДРАЗДЕЛ · ui</t>
        </is>
      </c>
    </row>
    <row r="73">
      <c r="A73" t="inlineStr">
        <is>
          <t xml:space="preserve">№</t>
        </is>
      </c>
      <c r="B73" t="inlineStr">
        <is>
          <t xml:space="preserve">Наименование</t>
        </is>
      </c>
      <c r="C73" t="inlineStr">
        <is>
          <t xml:space="preserve">ID</t>
        </is>
      </c>
      <c r="D73" t="inlineStr">
        <is>
          <t xml:space="preserve">Назначение</t>
        </is>
      </c>
      <c r="E73" t="inlineStr">
        <is>
          <t xml:space="preserve">Тип</t>
        </is>
      </c>
      <c r="F73" t="inlineStr">
        <is>
          <t xml:space="preserve">Понятие</t>
        </is>
      </c>
      <c r="G73" t="inlineStr">
        <is>
          <t xml:space="preserve">Значение/формула</t>
        </is>
      </c>
      <c r="H73" t="inlineStr">
        <is>
          <t xml:space="preserve">Описание алгоритма</t>
        </is>
      </c>
    </row>
    <row r="74">
      <c r="A74" t="inlineStr">
        <is>
          <t xml:space="preserve">52</t>
        </is>
      </c>
      <c r="B74" t="inlineStr">
        <is>
          <t xml:space="preserve">Переключатель</t>
        </is>
      </c>
      <c r="C74" t="inlineStr">
        <is>
          <t xml:space="preserve">switch</t>
        </is>
      </c>
      <c r="D74" t="inlineStr">
        <is>
          <t xml:space="preserve">meta</t>
        </is>
      </c>
      <c r="E74" t="inlineStr">
        <is>
          <t xml:space="preserve">meta</t>
        </is>
      </c>
      <c r="F74" t="inlineStr">
        <is>
          <t xml:space="preserve">Параметр с выбором из нескольких вариантов, который меняет не только значение, но и сам ход расчёта.</t>
        </is>
      </c>
      <c r="G74" t="inlineStr">
        <is>
          <t xml:space="preserve">«Работаю из дома» / «Арендую»</t>
        </is>
      </c>
    </row>
    <row r="75">
      <c r="A75" t="inlineStr">
        <is>
          <t xml:space="preserve">53</t>
        </is>
      </c>
      <c r="B75" t="inlineStr">
        <is>
          <t xml:space="preserve">Раздел</t>
        </is>
      </c>
      <c r="C75" t="inlineStr">
        <is>
          <t xml:space="preserve">Section1 … Section6</t>
        </is>
      </c>
      <c r="D75" t="inlineStr">
        <is>
          <t xml:space="preserve">meta</t>
        </is>
      </c>
      <c r="E75" t="inlineStr">
        <is>
          <t xml:space="preserve">служебное</t>
        </is>
      </c>
      <c r="F75" t="inlineStr">
        <is>
          <t xml:space="preserve">Крупная часть анкеты, объединяющая несколько блоков.</t>
        </is>
      </c>
      <c r="G75" t="inlineStr">
        <is>
          <t xml:space="preserve">07_Интерфейс, 08_UI</t>
        </is>
      </c>
    </row>
    <row r="76">
      <c r="A76" t="inlineStr">
        <is>
          <t xml:space="preserve">54</t>
        </is>
      </c>
      <c r="B76" t="inlineStr">
        <is>
          <t xml:space="preserve">Блок</t>
        </is>
      </c>
      <c r="C76" t="inlineStr">
        <is>
          <t xml:space="preserve">Block1 … Block18</t>
        </is>
      </c>
      <c r="D76" t="inlineStr">
        <is>
          <t xml:space="preserve">meta</t>
        </is>
      </c>
      <c r="E76" t="inlineStr">
        <is>
          <t xml:space="preserve">служебное</t>
        </is>
      </c>
      <c r="F76" t="inlineStr">
        <is>
          <t xml:space="preserve">Смысловая часть анкеты: один вопрос или группа связанных вопросов с общим заголовком.</t>
        </is>
      </c>
      <c r="G76" t="inlineStr">
        <is>
          <t xml:space="preserve">07_Интерфейс, 08_UI</t>
        </is>
      </c>
    </row>
    <row r="77">
      <c r="A77" t="inlineStr">
        <is>
          <t xml:space="preserve">55</t>
        </is>
      </c>
      <c r="B77" t="inlineStr">
        <is>
          <t xml:space="preserve">Каталог</t>
        </is>
      </c>
      <c r="C77" t="inlineStr">
        <is>
          <t xml:space="preserve">cat_form, cat_year</t>
        </is>
      </c>
      <c r="D77" t="inlineStr">
        <is>
          <t xml:space="preserve">meta</t>
        </is>
      </c>
      <c r="E77" t="inlineStr">
        <is>
          <t xml:space="preserve">служебное</t>
        </is>
      </c>
      <c r="F77" t="inlineStr">
        <is>
          <t xml:space="preserve">Список позиций формы вместе с ценой, сроком службы, периодом платежа и годовой суммой.</t>
        </is>
      </c>
      <c r="G77" t="inlineStr">
        <is>
          <t xml:space="preserve">03_Каталоги</t>
        </is>
      </c>
    </row>
    <row r="78">
      <c r="A78" t="inlineStr">
        <is>
          <t xml:space="preserve">56</t>
        </is>
      </c>
      <c r="B78" t="inlineStr">
        <is>
          <t xml:space="preserve">Выпадающий список</t>
        </is>
      </c>
      <c r="C78" t="inlineStr">
        <is>
          <t xml:space="preserve">dropdown</t>
        </is>
      </c>
      <c r="D78" t="inlineStr">
        <is>
          <t xml:space="preserve">meta</t>
        </is>
      </c>
      <c r="E78" t="inlineStr">
        <is>
          <t xml:space="preserve">ui</t>
        </is>
      </c>
      <c r="F78" t="inlineStr">
        <is>
          <t xml:space="preserve">Выпадающий список с выбором одного варианта.</t>
        </is>
      </c>
    </row>
    <row r="79">
      <c r="A79" t="inlineStr">
        <is>
          <t xml:space="preserve">57</t>
        </is>
      </c>
      <c r="B79" t="inlineStr">
        <is>
          <t xml:space="preserve">Раздел</t>
        </is>
      </c>
      <c r="C79" t="inlineStr">
        <is>
          <t xml:space="preserve">section</t>
        </is>
      </c>
      <c r="D79" t="inlineStr">
        <is>
          <t xml:space="preserve">meta</t>
        </is>
      </c>
      <c r="E79" t="inlineStr">
        <is>
          <t xml:space="preserve">ui</t>
        </is>
      </c>
      <c r="F79" t="inlineStr">
        <is>
          <t xml:space="preserve">Крупная часть анкеты, объединяющая несколько блоков.</t>
        </is>
      </c>
    </row>
    <row r="80">
      <c r="A80" t="inlineStr">
        <is>
          <t xml:space="preserve">58</t>
        </is>
      </c>
      <c r="B80" t="inlineStr">
        <is>
          <t xml:space="preserve">Блок</t>
        </is>
      </c>
      <c r="C80" t="inlineStr">
        <is>
          <t xml:space="preserve">block</t>
        </is>
      </c>
      <c r="D80" t="inlineStr">
        <is>
          <t xml:space="preserve">meta</t>
        </is>
      </c>
      <c r="E80" t="inlineStr">
        <is>
          <t xml:space="preserve">ui</t>
        </is>
      </c>
      <c r="F80" t="inlineStr">
        <is>
          <t xml:space="preserve">Смысловая часть анкеты: один вопрос или группа связанных вопросов с общим заголовком.</t>
        </is>
      </c>
    </row>
    <row r="81">
      <c r="A81" t="inlineStr">
        <is>
          <t xml:space="preserve">59</t>
        </is>
      </c>
      <c r="B81" t="inlineStr">
        <is>
          <t xml:space="preserve">Форма/ Таблица</t>
        </is>
      </c>
      <c r="C81" t="inlineStr">
        <is>
          <t xml:space="preserve">form</t>
        </is>
      </c>
      <c r="D81" t="inlineStr">
        <is>
          <t xml:space="preserve">meta</t>
        </is>
      </c>
      <c r="E81" t="inlineStr">
        <is>
          <t xml:space="preserve">ui</t>
        </is>
      </c>
      <c r="F81" t="inlineStr">
        <is>
          <t xml:space="preserve">Набор однотипных строк, которые пользователь заполняет списком.</t>
        </is>
      </c>
    </row>
    <row r="82">
      <c r="A82" t="inlineStr">
        <is>
          <t xml:space="preserve">60</t>
        </is>
      </c>
      <c r="B82" t="inlineStr">
        <is>
          <t xml:space="preserve">Шапка таблицы</t>
        </is>
      </c>
      <c r="C82" t="inlineStr">
        <is>
          <t xml:space="preserve">table_head</t>
        </is>
      </c>
      <c r="D82" t="inlineStr">
        <is>
          <t xml:space="preserve">meta</t>
        </is>
      </c>
      <c r="E82" t="inlineStr">
        <is>
          <t xml:space="preserve">ui</t>
        </is>
      </c>
      <c r="F82" t="inlineStr">
        <is>
          <t xml:space="preserve">Названия столбцов таблицы.</t>
        </is>
      </c>
    </row>
    <row r="83">
      <c r="A83" t="inlineStr">
        <is>
          <t xml:space="preserve">61</t>
        </is>
      </c>
      <c r="B83" t="inlineStr">
        <is>
          <t xml:space="preserve">Строка таблицы</t>
        </is>
      </c>
      <c r="C83" t="inlineStr">
        <is>
          <t xml:space="preserve">table_row</t>
        </is>
      </c>
      <c r="D83" t="inlineStr">
        <is>
          <t xml:space="preserve">meta</t>
        </is>
      </c>
      <c r="E83" t="inlineStr">
        <is>
          <t xml:space="preserve">ui</t>
        </is>
      </c>
      <c r="F83" t="inlineStr">
        <is>
          <t xml:space="preserve">Одна строка, заполняемая пользователем.</t>
        </is>
      </c>
    </row>
    <row r="84">
      <c r="A84" t="inlineStr">
        <is>
          <t xml:space="preserve">62</t>
        </is>
      </c>
      <c r="B84" t="inlineStr">
        <is>
          <t xml:space="preserve">Текстовый блок</t>
        </is>
      </c>
      <c r="C84" t="inlineStr">
        <is>
          <t xml:space="preserve">info_block</t>
        </is>
      </c>
      <c r="D84" t="inlineStr">
        <is>
          <t xml:space="preserve">meta</t>
        </is>
      </c>
      <c r="E84" t="inlineStr">
        <is>
          <t xml:space="preserve">ui</t>
        </is>
      </c>
      <c r="F84" t="inlineStr">
        <is>
          <t xml:space="preserve">Пояснительный текст без полей ввода.</t>
        </is>
      </c>
    </row>
    <row r="85">
      <c r="A85" t="inlineStr">
        <is>
          <t xml:space="preserve">63</t>
        </is>
      </c>
      <c r="B85" t="inlineStr">
        <is>
          <t xml:space="preserve">Настраиваемое поле</t>
        </is>
      </c>
      <c r="C85" t="inlineStr">
        <is>
          <t xml:space="preserve">input_extended</t>
        </is>
      </c>
      <c r="D85" t="inlineStr">
        <is>
          <t xml:space="preserve">meta</t>
        </is>
      </c>
      <c r="E85" t="inlineStr">
        <is>
          <t xml:space="preserve">ui</t>
        </is>
      </c>
      <c r="F85" t="inlineStr">
        <is>
          <t xml:space="preserve">Поле для ввода с дополнительной настройкой рядом.</t>
        </is>
      </c>
    </row>
    <row r="86">
      <c r="A86" t="inlineStr">
        <is>
          <t xml:space="preserve">64</t>
        </is>
      </c>
      <c r="B86" t="inlineStr">
        <is>
          <t xml:space="preserve">Галочка</t>
        </is>
      </c>
      <c r="C86" t="inlineStr">
        <is>
          <t xml:space="preserve">checkbox</t>
        </is>
      </c>
      <c r="D86" t="inlineStr">
        <is>
          <t xml:space="preserve">meta</t>
        </is>
      </c>
      <c r="E86" t="inlineStr">
        <is>
          <t xml:space="preserve">ui</t>
        </is>
      </c>
      <c r="F86" t="inlineStr">
        <is>
          <t xml:space="preserve">Включает или выключает блок либо строку расчёта.</t>
        </is>
      </c>
    </row>
    <row r="87">
      <c r="A87" t="inlineStr">
        <is>
          <t xml:space="preserve">65</t>
        </is>
      </c>
      <c r="B87" t="inlineStr">
        <is>
          <t xml:space="preserve">Кнопка</t>
        </is>
      </c>
      <c r="C87" t="inlineStr">
        <is>
          <t xml:space="preserve">button</t>
        </is>
      </c>
      <c r="D87" t="inlineStr">
        <is>
          <t xml:space="preserve">meta</t>
        </is>
      </c>
      <c r="E87" t="inlineStr">
        <is>
          <t xml:space="preserve">ui</t>
        </is>
      </c>
    </row>
    <row r="88">
      <c r="A88" t="inlineStr">
        <is>
          <t xml:space="preserve">66</t>
        </is>
      </c>
      <c r="B88" t="inlineStr">
        <is>
          <t xml:space="preserve">Кнопка «Добавить позицию»</t>
        </is>
      </c>
      <c r="C88" t="inlineStr">
        <is>
          <t xml:space="preserve">button_add</t>
        </is>
      </c>
      <c r="D88" t="inlineStr">
        <is>
          <t xml:space="preserve">meta</t>
        </is>
      </c>
      <c r="E88" t="inlineStr">
        <is>
          <t xml:space="preserve">ui</t>
        </is>
      </c>
      <c r="F88" t="inlineStr">
        <is>
          <t xml:space="preserve">Кнопка «Добавить позицию»</t>
        </is>
      </c>
    </row>
    <row r="89">
      <c r="A89" t="inlineStr">
        <is>
          <t xml:space="preserve">67</t>
        </is>
      </c>
      <c r="B89" t="inlineStr">
        <is>
          <t xml:space="preserve">Вывод</t>
        </is>
      </c>
      <c r="C89" t="inlineStr">
        <is>
          <t xml:space="preserve">report</t>
        </is>
      </c>
      <c r="D89" t="inlineStr">
        <is>
          <t xml:space="preserve">meta</t>
        </is>
      </c>
      <c r="E89" t="inlineStr">
        <is>
          <t xml:space="preserve">ui</t>
        </is>
      </c>
      <c r="F89" t="inlineStr">
        <is>
          <t xml:space="preserve">Строка  вывода результата расчета</t>
        </is>
      </c>
    </row>
    <row r="90">
      <c r="A90" t="inlineStr">
        <is>
          <t xml:space="preserve">68</t>
        </is>
      </c>
      <c r="B90" t="inlineStr">
        <is>
          <t xml:space="preserve">Шапка</t>
        </is>
      </c>
      <c r="C90" t="inlineStr">
        <is>
          <t xml:space="preserve">header</t>
        </is>
      </c>
      <c r="D90" t="inlineStr">
        <is>
          <t xml:space="preserve">meta</t>
        </is>
      </c>
      <c r="E90" t="inlineStr">
        <is>
          <t xml:space="preserve">ui</t>
        </is>
      </c>
      <c r="F90" t="inlineStr">
        <is>
          <t xml:space="preserve">Заголовок, подзаголовок, дата расчёта.</t>
        </is>
      </c>
    </row>
    <row r="91">
      <c r="A91" t="inlineStr">
        <is>
          <t xml:space="preserve">69</t>
        </is>
      </c>
      <c r="B91" t="inlineStr">
        <is>
          <t xml:space="preserve">Главный экран</t>
        </is>
      </c>
      <c r="C91" t="inlineStr">
        <is>
          <t xml:space="preserve">hero</t>
        </is>
      </c>
      <c r="D91" t="inlineStr">
        <is>
          <t xml:space="preserve">meta</t>
        </is>
      </c>
      <c r="E91" t="inlineStr">
        <is>
          <t xml:space="preserve">ui</t>
        </is>
      </c>
      <c r="F91" t="inlineStr">
        <is>
          <t xml:space="preserve">Главный блок на странице</t>
        </is>
      </c>
    </row>
    <row r="92">
      <c r="A92" t="inlineStr">
        <is>
          <t xml:space="preserve">70</t>
        </is>
      </c>
      <c r="B92" t="inlineStr">
        <is>
          <t xml:space="preserve">Строка показателей</t>
        </is>
      </c>
      <c r="C92" t="inlineStr">
        <is>
          <t xml:space="preserve">report_row</t>
        </is>
      </c>
      <c r="D92" t="inlineStr">
        <is>
          <t xml:space="preserve">meta</t>
        </is>
      </c>
      <c r="E92" t="inlineStr">
        <is>
          <t xml:space="preserve">ui</t>
        </is>
      </c>
      <c r="F92" t="inlineStr">
        <is>
          <t xml:space="preserve">Три показателя в строку под главной плашкой.</t>
        </is>
      </c>
    </row>
    <row r="93">
      <c r="A93" t="inlineStr">
        <is>
          <t xml:space="preserve">71</t>
        </is>
      </c>
      <c r="B93" t="inlineStr">
        <is>
          <t xml:space="preserve">Кольцевая диаграмма</t>
        </is>
      </c>
      <c r="C93" t="inlineStr">
        <is>
          <t xml:space="preserve">chart_donut</t>
        </is>
      </c>
      <c r="D93" t="inlineStr">
        <is>
          <t xml:space="preserve">meta</t>
        </is>
      </c>
      <c r="E93" t="inlineStr">
        <is>
          <t xml:space="preserve">ui</t>
        </is>
      </c>
      <c r="F93" t="inlineStr">
        <is>
          <t xml:space="preserve">Кольцо с сегментами и легендой.</t>
        </is>
      </c>
    </row>
    <row r="94">
      <c r="A94" t="inlineStr">
        <is>
          <t xml:space="preserve">72</t>
        </is>
      </c>
      <c r="B94" t="inlineStr">
        <is>
          <t xml:space="preserve">Блок оплаты</t>
        </is>
      </c>
      <c r="C94" t="inlineStr">
        <is>
          <t xml:space="preserve">paywall</t>
        </is>
      </c>
      <c r="D94" t="inlineStr">
        <is>
          <t xml:space="preserve">meta</t>
        </is>
      </c>
      <c r="E94" t="inlineStr">
        <is>
          <t xml:space="preserve">ui</t>
        </is>
      </c>
      <c r="F94" t="inlineStr">
        <is>
          <t xml:space="preserve">Иконка, заголовок, цена, кнопки.</t>
        </is>
      </c>
    </row>
    <row r="95">
      <c r="A95" t="inlineStr">
        <is>
          <t xml:space="preserve">ПОДРАЗДЕЛ · Дополнительные понятия</t>
        </is>
      </c>
    </row>
    <row r="96">
      <c r="A96" t="inlineStr">
        <is>
          <t xml:space="preserve">№</t>
        </is>
      </c>
      <c r="B96" t="inlineStr">
        <is>
          <t xml:space="preserve">Наименование</t>
        </is>
      </c>
      <c r="C96" t="inlineStr">
        <is>
          <t xml:space="preserve">ID</t>
        </is>
      </c>
      <c r="D96" t="inlineStr">
        <is>
          <t xml:space="preserve">Назначение</t>
        </is>
      </c>
      <c r="E96" t="inlineStr">
        <is>
          <t xml:space="preserve">Тип</t>
        </is>
      </c>
      <c r="F96" t="inlineStr">
        <is>
          <t xml:space="preserve">Понятие</t>
        </is>
      </c>
      <c r="G96" t="inlineStr">
        <is>
          <t xml:space="preserve">Значение/формула</t>
        </is>
      </c>
      <c r="H96" t="inlineStr">
        <is>
          <t xml:space="preserve">Описание алгоритма</t>
        </is>
      </c>
    </row>
    <row r="97">
      <c r="A97" t="inlineStr">
        <is>
          <t xml:space="preserve">73</t>
        </is>
      </c>
      <c r="B97" t="inlineStr">
        <is>
          <t xml:space="preserve">Маркер</t>
        </is>
      </c>
      <c r="C97" t="inlineStr">
        <is>
          <t xml:space="preserve">marker</t>
        </is>
      </c>
      <c r="D97" t="inlineStr">
        <is>
          <t xml:space="preserve">meta</t>
        </is>
      </c>
    </row>
    <row r="98">
      <c r="A98" t="inlineStr">
        <is>
          <t xml:space="preserve">74</t>
        </is>
      </c>
      <c r="B98" t="inlineStr">
        <is>
          <t xml:space="preserve">Книга</t>
        </is>
      </c>
      <c r="D98" t="inlineStr">
        <is>
          <t xml:space="preserve">meta</t>
        </is>
      </c>
    </row>
    <row r="99">
      <c r="A99" t="inlineStr">
        <is>
          <t xml:space="preserve">75</t>
        </is>
      </c>
      <c r="B99" t="inlineStr">
        <is>
          <t xml:space="preserve">Страница</t>
        </is>
      </c>
      <c r="D99" t="inlineStr">
        <is>
          <t xml:space="preserve">meta</t>
        </is>
      </c>
    </row>
    <row r="100">
      <c r="A100" t="inlineStr">
        <is>
          <t xml:space="preserve">76</t>
        </is>
      </c>
      <c r="B100" t="inlineStr">
        <is>
          <t xml:space="preserve">Лист книги</t>
        </is>
      </c>
      <c r="C100" t="inlineStr">
        <is>
          <t xml:space="preserve">list</t>
        </is>
      </c>
      <c r="D100" t="inlineStr">
        <is>
          <t xml:space="preserve">meta</t>
        </is>
      </c>
      <c r="F100" t="inlineStr">
        <is>
          <t xml:space="preserve">Отдельная страница книги с номером и назначением в названии.</t>
        </is>
      </c>
    </row>
    <row r="101"/>
    <row r="102">
      <c r="A102" t="inlineStr">
        <is>
          <t xml:space="preserve">РАЗДЕЛ · Базовые понятия</t>
        </is>
      </c>
    </row>
    <row r="103">
      <c r="A103" t="inlineStr">
        <is>
          <t xml:space="preserve">ПОДРАЗДЕЛ · Единицы периода</t>
        </is>
      </c>
    </row>
    <row r="104">
      <c r="A104" t="inlineStr">
        <is>
          <t xml:space="preserve">№</t>
        </is>
      </c>
      <c r="B104" t="inlineStr">
        <is>
          <t xml:space="preserve">Наименование</t>
        </is>
      </c>
      <c r="C104" t="inlineStr">
        <is>
          <t xml:space="preserve">ID</t>
        </is>
      </c>
      <c r="D104" t="inlineStr">
        <is>
          <t xml:space="preserve">Назначение</t>
        </is>
      </c>
      <c r="E104" t="inlineStr">
        <is>
          <t xml:space="preserve">Тип</t>
        </is>
      </c>
      <c r="F104" t="inlineStr">
        <is>
          <t xml:space="preserve">Понятие</t>
        </is>
      </c>
      <c r="G104" t="inlineStr">
        <is>
          <t xml:space="preserve">Значение/формула</t>
        </is>
      </c>
      <c r="H104" t="inlineStr">
        <is>
          <t xml:space="preserve">Описание алгоритма</t>
        </is>
      </c>
    </row>
    <row r="105">
      <c r="A105" t="inlineStr">
        <is>
          <t xml:space="preserve">77</t>
        </is>
      </c>
      <c r="B105" t="inlineStr">
        <is>
          <t xml:space="preserve">Год</t>
        </is>
      </c>
      <c r="D105" t="inlineStr">
        <is>
          <t xml:space="preserve">Базовые понятия</t>
        </is>
      </c>
    </row>
    <row r="106">
      <c r="A106" t="inlineStr">
        <is>
          <t xml:space="preserve">78</t>
        </is>
      </c>
      <c r="B106" t="inlineStr">
        <is>
          <t xml:space="preserve">День</t>
        </is>
      </c>
      <c r="D106" t="inlineStr">
        <is>
          <t xml:space="preserve">Базовые понятия</t>
        </is>
      </c>
    </row>
    <row r="107">
      <c r="A107" t="inlineStr">
        <is>
          <t xml:space="preserve">79</t>
        </is>
      </c>
      <c r="B107" t="inlineStr">
        <is>
          <t xml:space="preserve">Квартал</t>
        </is>
      </c>
      <c r="D107" t="inlineStr">
        <is>
          <t xml:space="preserve">Базовые понятия</t>
        </is>
      </c>
    </row>
    <row r="108">
      <c r="A108" t="inlineStr">
        <is>
          <t xml:space="preserve">80</t>
        </is>
      </c>
      <c r="B108" t="inlineStr">
        <is>
          <t xml:space="preserve">Месяц</t>
        </is>
      </c>
      <c r="D108" t="inlineStr">
        <is>
          <t xml:space="preserve">Базовые понятия</t>
        </is>
      </c>
    </row>
    <row r="109">
      <c r="A109" t="inlineStr">
        <is>
          <t xml:space="preserve">ПОДРАЗДЕЛ · Общие понятия</t>
        </is>
      </c>
    </row>
    <row r="110">
      <c r="A110" t="inlineStr">
        <is>
          <t xml:space="preserve">№</t>
        </is>
      </c>
      <c r="B110" t="inlineStr">
        <is>
          <t xml:space="preserve">Наименование</t>
        </is>
      </c>
      <c r="C110" t="inlineStr">
        <is>
          <t xml:space="preserve">ID</t>
        </is>
      </c>
      <c r="D110" t="inlineStr">
        <is>
          <t xml:space="preserve">Назначение</t>
        </is>
      </c>
      <c r="E110" t="inlineStr">
        <is>
          <t xml:space="preserve">Тип</t>
        </is>
      </c>
      <c r="F110" t="inlineStr">
        <is>
          <t xml:space="preserve">Понятие</t>
        </is>
      </c>
      <c r="G110" t="inlineStr">
        <is>
          <t xml:space="preserve">Значение/формула</t>
        </is>
      </c>
      <c r="H110" t="inlineStr">
        <is>
          <t xml:space="preserve">Описание алгоритма</t>
        </is>
      </c>
    </row>
    <row r="111">
      <c r="A111" t="inlineStr">
        <is>
          <t xml:space="preserve">81</t>
        </is>
      </c>
      <c r="B111" t="inlineStr">
        <is>
          <t xml:space="preserve">Логистика</t>
        </is>
      </c>
      <c r="D111" t="inlineStr">
        <is>
          <t xml:space="preserve">Базовые понятия</t>
        </is>
      </c>
    </row>
    <row r="112">
      <c r="A112" t="inlineStr">
        <is>
          <t xml:space="preserve">82</t>
        </is>
      </c>
      <c r="B112" t="inlineStr">
        <is>
          <t xml:space="preserve">Обучение</t>
        </is>
      </c>
      <c r="D112" t="inlineStr">
        <is>
          <t xml:space="preserve">Базовые понятия</t>
        </is>
      </c>
      <c r="F112"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row>
    <row r="113">
      <c r="A113" t="inlineStr">
        <is>
          <t xml:space="preserve">83</t>
        </is>
      </c>
      <c r="B113" t="inlineStr">
        <is>
          <t xml:space="preserve">Обучение</t>
        </is>
      </c>
      <c r="D113" t="inlineStr">
        <is>
          <t xml:space="preserve">Базовые понятия</t>
        </is>
      </c>
    </row>
    <row r="114">
      <c r="A114" t="inlineStr">
        <is>
          <t xml:space="preserve">84</t>
        </is>
      </c>
      <c r="B114" t="inlineStr">
        <is>
          <t xml:space="preserve">Покупка</t>
        </is>
      </c>
      <c r="D114" t="inlineStr">
        <is>
          <t xml:space="preserve">Базовые понятия</t>
        </is>
      </c>
    </row>
    <row r="115">
      <c r="A115" t="inlineStr">
        <is>
          <t xml:space="preserve">85</t>
        </is>
      </c>
      <c r="B115" t="inlineStr">
        <is>
          <t xml:space="preserve">Сайт</t>
        </is>
      </c>
      <c r="D115" t="inlineStr">
        <is>
          <t xml:space="preserve">Базовые понятия</t>
        </is>
      </c>
      <c r="F115"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row>
    <row r="116">
      <c r="A116" t="inlineStr">
        <is>
          <t xml:space="preserve">86</t>
        </is>
      </c>
      <c r="B116" t="inlineStr">
        <is>
          <t xml:space="preserve">Рабочее место</t>
        </is>
      </c>
      <c r="C116" t="inlineStr">
        <is>
          <t xml:space="preserve">ws_mode</t>
        </is>
      </c>
      <c r="D116" t="inlineStr">
        <is>
          <t xml:space="preserve">Базовые понятия</t>
        </is>
      </c>
      <c r="E116" t="inlineStr">
        <is>
          <t xml:space="preserve">switch</t>
        </is>
      </c>
      <c r="F116" t="inlineStr">
        <is>
          <t xml:space="preserve">Организованное пространство специалиста, оснащённое необходимым оборудованием, инструментами и материалами для выполнения конкретных профессиональных задач.</t>
        </is>
      </c>
      <c r="G116" t="inlineStr">
        <is>
          <t xml:space="preserve">Form005 · Block9</t>
        </is>
      </c>
    </row>
    <row r="117">
      <c r="A117" t="inlineStr">
        <is>
          <t xml:space="preserve">87</t>
        </is>
      </c>
      <c r="B117" t="inlineStr">
        <is>
          <t xml:space="preserve">Амортизация</t>
        </is>
      </c>
      <c r="C117" t="inlineStr">
        <is>
          <t xml:space="preserve">investment</t>
        </is>
      </c>
      <c r="D117" t="inlineStr">
        <is>
          <t xml:space="preserve">Базовые понятия</t>
        </is>
      </c>
      <c r="E117" t="inlineStr">
        <is>
          <t xml:space="preserve">calc</t>
        </is>
      </c>
      <c r="F117" t="inlineStr">
        <is>
          <t xml:space="preserve">Постепенное включение стоимости имущества в расходы бизнеса по мере его использования и износа.</t>
        </is>
      </c>
      <c r="G117" t="inlineStr">
        <is>
          <t xml:space="preserve">308 126 ₽/год</t>
        </is>
      </c>
    </row>
    <row r="118">
      <c r="A118" t="inlineStr">
        <is>
          <t xml:space="preserve">88</t>
        </is>
      </c>
      <c r="B118" t="inlineStr">
        <is>
          <t xml:space="preserve">Банковское обслуживание</t>
        </is>
      </c>
      <c r="D118" t="inlineStr">
        <is>
          <t xml:space="preserve">Базовые понятия</t>
        </is>
      </c>
      <c r="E118" t="inlineStr">
        <is>
          <t xml:space="preserve">понятие</t>
        </is>
      </c>
      <c r="F118" t="inlineStr">
        <is>
          <t xml:space="preserve">Расходы на ведение банковских счетов, проведение платежей и использование других банковских услуг, необходимых для профессиональной деятельности.</t>
        </is>
      </c>
    </row>
    <row r="119">
      <c r="A119" t="inlineStr">
        <is>
          <t xml:space="preserve">89</t>
        </is>
      </c>
      <c r="B119" t="inlineStr">
        <is>
          <t xml:space="preserve">Логистика</t>
        </is>
      </c>
      <c r="D119" t="inlineStr">
        <is>
          <t xml:space="preserve">Базовые понятия</t>
        </is>
      </c>
      <c r="E119" t="inlineStr">
        <is>
          <t xml:space="preserve">понятие</t>
        </is>
      </c>
      <c r="F119" t="inlineStr">
        <is>
          <t xml:space="preserve">Организация перемещения специалиста, оборудования, материалов и готового результата между местами работы, хранения и передачи.</t>
        </is>
      </c>
    </row>
    <row r="120">
      <c r="A120" t="inlineStr">
        <is>
          <t xml:space="preserve">90</t>
        </is>
      </c>
      <c r="B120" t="inlineStr">
        <is>
          <t xml:space="preserve">ПО</t>
        </is>
      </c>
      <c r="D120" t="inlineStr">
        <is>
          <t xml:space="preserve">Базовые понятия</t>
        </is>
      </c>
      <c r="E120" t="inlineStr">
        <is>
          <t xml:space="preserve">понятие</t>
        </is>
      </c>
      <c r="F120" t="inlineStr">
        <is>
          <t xml:space="preserve">Программное обеспечение, используемое специалистом для выполнения профессиональных задач, обработки материалов и организации рабочего процесса.</t>
        </is>
      </c>
    </row>
    <row r="121">
      <c r="A121" t="inlineStr">
        <is>
          <t xml:space="preserve">91</t>
        </is>
      </c>
      <c r="B121" t="inlineStr">
        <is>
          <t xml:space="preserve">Срок службы</t>
        </is>
      </c>
      <c r="D121" t="inlineStr">
        <is>
          <t xml:space="preserve">Базовые понятия</t>
        </is>
      </c>
      <c r="E121" t="inlineStr">
        <is>
          <t xml:space="preserve">понятие</t>
        </is>
      </c>
      <c r="F121" t="inlineStr">
        <is>
          <t xml:space="preserve">Период, в течение которого оборудование или другое имущество может использоваться по назначению при соблюдении установленных условий эксплуатации.</t>
        </is>
      </c>
    </row>
    <row r="122">
      <c r="A122" t="inlineStr">
        <is>
          <t xml:space="preserve">92</t>
        </is>
      </c>
      <c r="B122" t="inlineStr">
        <is>
          <t xml:space="preserve">Юнит-экономика</t>
        </is>
      </c>
      <c r="D122" t="inlineStr">
        <is>
          <t xml:space="preserve">Базовые понятия</t>
        </is>
      </c>
      <c r="E122" t="inlineStr">
        <is>
          <t xml:space="preserve">понятие</t>
        </is>
      </c>
      <c r="F122" t="inlineStr">
        <is>
          <t xml:space="preserve">Расчёт доходов, расходов и финансового результата в расчёте на одну единицу деятельности специалиста, например один час работы, одну услугу, один заказ или один съёмочный проект. Позволяет определить реальную стоимость выполнения работы, понять, сколько специалист зарабатывает после покрытия всех связанных с деятельностью затрат, определить необходимую стоимость услуг и оценить экономическую эффективность своей работы.</t>
        </is>
      </c>
    </row>
    <row r="123"/>
    <row r="124">
      <c r="A124" t="inlineStr">
        <is>
          <t xml:space="preserve">РАЗДЕЛ · Время</t>
        </is>
      </c>
    </row>
    <row r="125">
      <c r="A125" t="inlineStr">
        <is>
          <t xml:space="preserve">ПОДРАЗДЕЛ · Рабочее время</t>
        </is>
      </c>
    </row>
    <row r="126">
      <c r="A126" t="inlineStr">
        <is>
          <t xml:space="preserve">№</t>
        </is>
      </c>
      <c r="B126" t="inlineStr">
        <is>
          <t xml:space="preserve">Наименование</t>
        </is>
      </c>
      <c r="C126" t="inlineStr">
        <is>
          <t xml:space="preserve">ID</t>
        </is>
      </c>
      <c r="D126" t="inlineStr">
        <is>
          <t xml:space="preserve">Назначение</t>
        </is>
      </c>
      <c r="E126" t="inlineStr">
        <is>
          <t xml:space="preserve">Тип</t>
        </is>
      </c>
      <c r="F126" t="inlineStr">
        <is>
          <t xml:space="preserve">Понятие</t>
        </is>
      </c>
      <c r="G126" t="inlineStr">
        <is>
          <t xml:space="preserve">Значение/формула</t>
        </is>
      </c>
      <c r="H126" t="inlineStr">
        <is>
          <t xml:space="preserve">Описание алгоритма</t>
        </is>
      </c>
    </row>
    <row r="127">
      <c r="A127" t="inlineStr">
        <is>
          <t xml:space="preserve">93</t>
        </is>
      </c>
      <c r="B127" t="inlineStr">
        <is>
          <t xml:space="preserve">Рабочее время</t>
        </is>
      </c>
      <c r="C127" t="inlineStr">
        <is>
          <t xml:space="preserve">work_time</t>
        </is>
      </c>
      <c r="D127" t="inlineStr">
        <is>
          <t xml:space="preserve">Время</t>
        </is>
      </c>
      <c r="E127" t="inlineStr">
        <is>
          <t xml:space="preserve">calc</t>
        </is>
      </c>
      <c r="F127" t="inlineStr">
        <is>
          <t xml:space="preserve">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is>
      </c>
      <c r="G127" t="inlineStr">
        <is>
          <t xml:space="preserve">247 × 8 = 1 976 ч/год</t>
        </is>
      </c>
    </row>
    <row r="128">
      <c r="A128" t="inlineStr">
        <is>
          <t xml:space="preserve">94</t>
        </is>
      </c>
      <c r="B128" t="inlineStr">
        <is>
          <t xml:space="preserve">Не эффективное рабочее время</t>
        </is>
      </c>
      <c r="D128" t="inlineStr">
        <is>
          <t xml:space="preserve">Время</t>
        </is>
      </c>
    </row>
    <row r="129">
      <c r="A129" t="inlineStr">
        <is>
          <t xml:space="preserve">95</t>
        </is>
      </c>
      <c r="B129" t="inlineStr">
        <is>
          <t xml:space="preserve">Рабочее время</t>
        </is>
      </c>
      <c r="D129" t="inlineStr">
        <is>
          <t xml:space="preserve">Время</t>
        </is>
      </c>
    </row>
    <row r="130">
      <c r="A130" t="inlineStr">
        <is>
          <t xml:space="preserve">96</t>
        </is>
      </c>
      <c r="B130" t="inlineStr">
        <is>
          <t xml:space="preserve">Эффективное рабочее время</t>
        </is>
      </c>
      <c r="D130" t="inlineStr">
        <is>
          <t xml:space="preserve">Время</t>
        </is>
      </c>
    </row>
    <row r="131">
      <c r="A131" t="inlineStr">
        <is>
          <t xml:space="preserve">97</t>
        </is>
      </c>
      <c r="B131" t="inlineStr">
        <is>
          <t xml:space="preserve">Загрузка специалиста</t>
        </is>
      </c>
      <c r="D131" t="inlineStr">
        <is>
          <t xml:space="preserve">Время</t>
        </is>
      </c>
      <c r="E131" t="inlineStr">
        <is>
          <t xml:space="preserve">понятие</t>
        </is>
      </c>
      <c r="F131" t="inlineStr">
        <is>
          <t xml:space="preserve">Доля рабочего времени специалиста, фактически занятая выполнением оплачиваемой работы, от общего доступного рабочего времени за определённый период.</t>
        </is>
      </c>
    </row>
    <row r="132">
      <c r="A132" t="inlineStr">
        <is>
          <t xml:space="preserve">98</t>
        </is>
      </c>
      <c r="B132" t="inlineStr">
        <is>
          <t xml:space="preserve">Рабочие паузы</t>
        </is>
      </c>
      <c r="D132" t="inlineStr">
        <is>
          <t xml:space="preserve">Время</t>
        </is>
      </c>
      <c r="E132" t="inlineStr">
        <is>
          <t xml:space="preserve">понятие</t>
        </is>
      </c>
      <c r="F132" t="inlineStr">
        <is>
          <t xml:space="preserve">Кратковременные перерывы в течение рабочего времени, связанные с отдыхом, личными потребностями и временным отвлечением от выполнения профессиональных задач.</t>
        </is>
      </c>
    </row>
    <row r="133">
      <c r="A133" t="inlineStr">
        <is>
          <t xml:space="preserve">99</t>
        </is>
      </c>
      <c r="B133" t="inlineStr">
        <is>
          <t xml:space="preserve">Эффективное рабочее время</t>
        </is>
      </c>
      <c r="D133" t="inlineStr">
        <is>
          <t xml:space="preserve">Время</t>
        </is>
      </c>
      <c r="E133" t="inlineStr">
        <is>
          <t xml:space="preserve">понятие</t>
        </is>
      </c>
      <c r="F133"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row>
    <row r="134">
      <c r="A134" t="inlineStr">
        <is>
          <t xml:space="preserve">ПОДРАЗДЕЛ · Проектное время</t>
        </is>
      </c>
    </row>
    <row r="135">
      <c r="A135" t="inlineStr">
        <is>
          <t xml:space="preserve">№</t>
        </is>
      </c>
      <c r="B135" t="inlineStr">
        <is>
          <t xml:space="preserve">Наименование</t>
        </is>
      </c>
      <c r="C135" t="inlineStr">
        <is>
          <t xml:space="preserve">ID</t>
        </is>
      </c>
      <c r="D135" t="inlineStr">
        <is>
          <t xml:space="preserve">Назначение</t>
        </is>
      </c>
      <c r="E135" t="inlineStr">
        <is>
          <t xml:space="preserve">Тип</t>
        </is>
      </c>
      <c r="F135" t="inlineStr">
        <is>
          <t xml:space="preserve">Понятие</t>
        </is>
      </c>
      <c r="G135" t="inlineStr">
        <is>
          <t xml:space="preserve">Значение/формула</t>
        </is>
      </c>
      <c r="H135" t="inlineStr">
        <is>
          <t xml:space="preserve">Описание алгоритма</t>
        </is>
      </c>
    </row>
    <row r="136">
      <c r="A136" t="inlineStr">
        <is>
          <t xml:space="preserve">100</t>
        </is>
      </c>
      <c r="B136" t="inlineStr">
        <is>
          <t xml:space="preserve">Проектное время</t>
        </is>
      </c>
      <c r="D136" t="inlineStr">
        <is>
          <t xml:space="preserve">Время</t>
        </is>
      </c>
      <c r="F136"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row>
    <row r="137">
      <c r="A137" t="inlineStr">
        <is>
          <t xml:space="preserve">101</t>
        </is>
      </c>
      <c r="B137" t="inlineStr">
        <is>
          <t xml:space="preserve">Проектное время</t>
        </is>
      </c>
      <c r="D137" t="inlineStr">
        <is>
          <t xml:space="preserve">Время</t>
        </is>
      </c>
    </row>
    <row r="138">
      <c r="A138" t="inlineStr">
        <is>
          <t xml:space="preserve">ПОДРАЗДЕЛ · Съёмочное время</t>
        </is>
      </c>
    </row>
    <row r="139">
      <c r="A139" t="inlineStr">
        <is>
          <t xml:space="preserve">№</t>
        </is>
      </c>
      <c r="B139" t="inlineStr">
        <is>
          <t xml:space="preserve">Наименование</t>
        </is>
      </c>
      <c r="C139" t="inlineStr">
        <is>
          <t xml:space="preserve">ID</t>
        </is>
      </c>
      <c r="D139" t="inlineStr">
        <is>
          <t xml:space="preserve">Назначение</t>
        </is>
      </c>
      <c r="E139" t="inlineStr">
        <is>
          <t xml:space="preserve">Тип</t>
        </is>
      </c>
      <c r="F139" t="inlineStr">
        <is>
          <t xml:space="preserve">Понятие</t>
        </is>
      </c>
      <c r="G139" t="inlineStr">
        <is>
          <t xml:space="preserve">Значение/формула</t>
        </is>
      </c>
      <c r="H139" t="inlineStr">
        <is>
          <t xml:space="preserve">Описание алгоритма</t>
        </is>
      </c>
    </row>
    <row r="140">
      <c r="A140" t="inlineStr">
        <is>
          <t xml:space="preserve">102</t>
        </is>
      </c>
      <c r="B140" t="inlineStr">
        <is>
          <t xml:space="preserve">СЪЁМОЧНОЕ время</t>
        </is>
      </c>
      <c r="C140" t="inlineStr">
        <is>
          <t xml:space="preserve">shooting_time</t>
        </is>
      </c>
      <c r="D140" t="inlineStr">
        <is>
          <t xml:space="preserve">Время</t>
        </is>
      </c>
      <c r="E140" t="inlineStr">
        <is>
          <t xml:space="preserve">calc</t>
        </is>
      </c>
      <c r="F140" t="inlineStr">
        <is>
          <t xml:space="preserve">ед.: ч/год · зависит от: projects_year, shoot_duration</t>
        </is>
      </c>
      <c r="G140" t="inlineStr">
        <is>
          <t xml:space="preserve">projects_year*shoot_duration</t>
        </is>
      </c>
    </row>
    <row r="141">
      <c r="A141" t="inlineStr">
        <is>
          <t xml:space="preserve">103</t>
        </is>
      </c>
      <c r="B141" t="inlineStr">
        <is>
          <t xml:space="preserve">Продолжительность съёмки</t>
        </is>
      </c>
      <c r="D141" t="inlineStr">
        <is>
          <t xml:space="preserve">Время</t>
        </is>
      </c>
      <c r="E141" t="inlineStr">
        <is>
          <t xml:space="preserve">понятие</t>
        </is>
      </c>
      <c r="F141" t="inlineStr">
        <is>
          <t xml:space="preserve">Время, затрачиваемое специалистом непосредственно на проведение съёмочных работ, от начала до завершения съёмки.</t>
        </is>
      </c>
    </row>
    <row r="142">
      <c r="A142" t="inlineStr">
        <is>
          <t xml:space="preserve">104</t>
        </is>
      </c>
      <c r="B142" t="inlineStr">
        <is>
          <t xml:space="preserve">Съёмочный час</t>
        </is>
      </c>
      <c r="D142" t="inlineStr">
        <is>
          <t xml:space="preserve">Время</t>
        </is>
      </c>
      <c r="E142" t="inlineStr">
        <is>
          <t xml:space="preserve">понятие</t>
        </is>
      </c>
      <c r="F142" t="inlineStr">
        <is>
          <t xml:space="preserve">Единица рабочего времени, в течение которой специалист непосредственно выполняет съёмочные работы в рамках одного заказа или проекта.</t>
        </is>
      </c>
    </row>
    <row r="143">
      <c r="A143" t="inlineStr">
        <is>
          <t xml:space="preserve">ПОДРАЗДЕЛ · Время на постпродакшн</t>
        </is>
      </c>
    </row>
    <row r="144">
      <c r="A144" t="inlineStr">
        <is>
          <t xml:space="preserve">№</t>
        </is>
      </c>
      <c r="B144" t="inlineStr">
        <is>
          <t xml:space="preserve">Наименование</t>
        </is>
      </c>
      <c r="C144" t="inlineStr">
        <is>
          <t xml:space="preserve">ID</t>
        </is>
      </c>
      <c r="D144" t="inlineStr">
        <is>
          <t xml:space="preserve">Назначение</t>
        </is>
      </c>
      <c r="E144" t="inlineStr">
        <is>
          <t xml:space="preserve">Тип</t>
        </is>
      </c>
      <c r="F144" t="inlineStr">
        <is>
          <t xml:space="preserve">Понятие</t>
        </is>
      </c>
      <c r="G144" t="inlineStr">
        <is>
          <t xml:space="preserve">Значение/формула</t>
        </is>
      </c>
      <c r="H144" t="inlineStr">
        <is>
          <t xml:space="preserve">Описание алгоритма</t>
        </is>
      </c>
    </row>
    <row r="145">
      <c r="A145" t="inlineStr">
        <is>
          <t xml:space="preserve">105</t>
        </is>
      </c>
      <c r="B145" t="inlineStr">
        <is>
          <t xml:space="preserve">Постпродакшн</t>
        </is>
      </c>
      <c r="C145" t="inlineStr">
        <is>
          <t xml:space="preserve">post_time</t>
        </is>
      </c>
      <c r="D145" t="inlineStr">
        <is>
          <t xml:space="preserve">Время</t>
        </is>
      </c>
      <c r="E145" t="inlineStr">
        <is>
          <t xml:space="preserve">calc</t>
        </is>
      </c>
      <c r="F145" t="inlineStr">
        <is>
          <t xml:space="preserve">Комплекс работ с отснятым материалом после завершения съёмки, направленных на его обработку, доработку и подготовку к передаче или публикации.</t>
        </is>
      </c>
      <c r="G145" t="inlineStr">
        <is>
          <t xml:space="preserve">262,80 × 3 = 788,40 ч/год</t>
        </is>
      </c>
    </row>
    <row r="146">
      <c r="A146" t="inlineStr">
        <is>
          <t xml:space="preserve">106</t>
        </is>
      </c>
      <c r="B146" t="inlineStr">
        <is>
          <t xml:space="preserve">Время на постпродакшн</t>
        </is>
      </c>
      <c r="D146" t="inlineStr">
        <is>
          <t xml:space="preserve">Время</t>
        </is>
      </c>
    </row>
    <row r="147">
      <c r="A147" t="inlineStr">
        <is>
          <t xml:space="preserve">107</t>
        </is>
      </c>
      <c r="B147" t="inlineStr">
        <is>
          <t xml:space="preserve">Первичная обработка</t>
        </is>
      </c>
      <c r="D147" t="inlineStr">
        <is>
          <t xml:space="preserve">Время</t>
        </is>
      </c>
      <c r="E147" t="inlineStr">
        <is>
          <t xml:space="preserve">понятие</t>
        </is>
      </c>
      <c r="F147" t="inlineStr">
        <is>
          <t xml:space="preserve">Комплекс действий с отснятым фотоматериалом, выполняемых специалистом с использованием специализированных компьютерных программ для подготовки материала к дальнейшему использованию. Включает подготовку материала: создание и организацию папок и файлов, выгрузку материала с карт памяти, резервное копирование; отбор материала: просмотр отснятого материала, удаление технического брака, отбор удачных кадров, исключение дублей, кадров с закрытыми глазами и явно неудачных кадров; базовую цветокоррекцию: коррекцию экспозиции, баланса белого, контраста, светлых и тёмных областей, резкости и насыщенности, приведение всей серии к единому цвету и свету; коррекцию кадра: кадрирование, выравнивание горизонта, коррекцию перспективы и искажений объектива, удаление крупных лишних объектов из кадра; подготовку и передачу результата: импорт и экспорт из программы обработки, подготовку файлов, изменение размера и формата при необходимости. Ретушь в первичную обработку не входит.</t>
        </is>
      </c>
    </row>
    <row r="148">
      <c r="A148" t="inlineStr">
        <is>
          <t xml:space="preserve">ПОДРАЗДЕЛ · Клиентское время</t>
        </is>
      </c>
    </row>
    <row r="149">
      <c r="A149" t="inlineStr">
        <is>
          <t xml:space="preserve">№</t>
        </is>
      </c>
      <c r="B149" t="inlineStr">
        <is>
          <t xml:space="preserve">Наименование</t>
        </is>
      </c>
      <c r="C149" t="inlineStr">
        <is>
          <t xml:space="preserve">ID</t>
        </is>
      </c>
      <c r="D149" t="inlineStr">
        <is>
          <t xml:space="preserve">Назначение</t>
        </is>
      </c>
      <c r="E149" t="inlineStr">
        <is>
          <t xml:space="preserve">Тип</t>
        </is>
      </c>
      <c r="F149" t="inlineStr">
        <is>
          <t xml:space="preserve">Понятие</t>
        </is>
      </c>
      <c r="G149" t="inlineStr">
        <is>
          <t xml:space="preserve">Значение/формула</t>
        </is>
      </c>
      <c r="H149" t="inlineStr">
        <is>
          <t xml:space="preserve">Описание алгоритма</t>
        </is>
      </c>
    </row>
    <row r="150">
      <c r="A150" t="inlineStr">
        <is>
          <t xml:space="preserve">108</t>
        </is>
      </c>
      <c r="B150" t="inlineStr">
        <is>
          <t xml:space="preserve">Клиентское время</t>
        </is>
      </c>
      <c r="D150" t="inlineStr">
        <is>
          <t xml:space="preserve">Время</t>
        </is>
      </c>
    </row>
    <row r="151">
      <c r="A151" t="inlineStr">
        <is>
          <t xml:space="preserve">109</t>
        </is>
      </c>
      <c r="B151" t="inlineStr">
        <is>
          <t xml:space="preserve">Проектное клиентское время</t>
        </is>
      </c>
      <c r="D151" t="inlineStr">
        <is>
          <t xml:space="preserve">Время</t>
        </is>
      </c>
    </row>
    <row r="152">
      <c r="A152" t="inlineStr">
        <is>
          <t xml:space="preserve">110</t>
        </is>
      </c>
      <c r="B152" t="inlineStr">
        <is>
          <t xml:space="preserve">Проектное клиентское время</t>
        </is>
      </c>
      <c r="D152" t="inlineStr">
        <is>
          <t xml:space="preserve">Время</t>
        </is>
      </c>
    </row>
    <row r="153">
      <c r="A153" t="inlineStr">
        <is>
          <t xml:space="preserve">111</t>
        </is>
      </c>
      <c r="B153" t="inlineStr">
        <is>
          <t xml:space="preserve">Проектная работа с клиентами</t>
        </is>
      </c>
      <c r="D153" t="inlineStr">
        <is>
          <t xml:space="preserve">Время</t>
        </is>
      </c>
      <c r="E153" t="inlineStr">
        <is>
          <t xml:space="preserve">понятие</t>
        </is>
      </c>
      <c r="F153" t="inlineStr">
        <is>
          <t xml:space="preserve">Рабочие действия специалиста, связанные с взаимодействием с клиентом в рамках конкретного проекта: обсуждение задачи, согласование условий и деталей работы, подготовка к проекту, коммуникация в процессе его выполнения, согласование результата и завершение проекта.</t>
        </is>
      </c>
    </row>
    <row r="154">
      <c r="A154" t="inlineStr">
        <is>
          <t xml:space="preserve">ПОДРАЗДЕЛ · Накладное время</t>
        </is>
      </c>
    </row>
    <row r="155">
      <c r="A155" t="inlineStr">
        <is>
          <t xml:space="preserve">№</t>
        </is>
      </c>
      <c r="B155" t="inlineStr">
        <is>
          <t xml:space="preserve">Наименование</t>
        </is>
      </c>
      <c r="C155" t="inlineStr">
        <is>
          <t xml:space="preserve">ID</t>
        </is>
      </c>
      <c r="D155" t="inlineStr">
        <is>
          <t xml:space="preserve">Назначение</t>
        </is>
      </c>
      <c r="E155" t="inlineStr">
        <is>
          <t xml:space="preserve">Тип</t>
        </is>
      </c>
      <c r="F155" t="inlineStr">
        <is>
          <t xml:space="preserve">Понятие</t>
        </is>
      </c>
      <c r="G155" t="inlineStr">
        <is>
          <t xml:space="preserve">Значение/формула</t>
        </is>
      </c>
      <c r="H155" t="inlineStr">
        <is>
          <t xml:space="preserve">Описание алгоритма</t>
        </is>
      </c>
    </row>
    <row r="156">
      <c r="A156" t="inlineStr">
        <is>
          <t xml:space="preserve">112</t>
        </is>
      </c>
      <c r="B156" t="inlineStr">
        <is>
          <t xml:space="preserve">ОПЕРАЦИОННОЕ время</t>
        </is>
      </c>
      <c r="C156" t="inlineStr">
        <is>
          <t xml:space="preserve">side_time</t>
        </is>
      </c>
      <c r="D156" t="inlineStr">
        <is>
          <t xml:space="preserve">Время</t>
        </is>
      </c>
      <c r="E156" t="inlineStr">
        <is>
          <t xml:space="preserve">calc</t>
        </is>
      </c>
      <c r="F156" t="inlineStr">
        <is>
          <t xml:space="preserve">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c r="G156" t="inlineStr">
        <is>
          <t xml:space="preserve">438 + 12 = 450 ч/год</t>
        </is>
      </c>
      <c r="H156" t="inlineStr">
        <is>
          <t xml:space="preserve">Складываем часы на все задачи, которые не создают результат для клиента напрямую: продвижение и поиск заказов, работа с клиентом, бухгалтерия и учёт, планирование и организационные дела.</t>
        </is>
      </c>
    </row>
    <row r="157">
      <c r="A157" t="inlineStr">
        <is>
          <t xml:space="preserve">113</t>
        </is>
      </c>
      <c r="B157" t="inlineStr">
        <is>
          <t xml:space="preserve">Продвижение</t>
        </is>
      </c>
      <c r="C157" t="inlineStr">
        <is>
          <t xml:space="preserve">promo_time</t>
        </is>
      </c>
      <c r="D157" t="inlineStr">
        <is>
          <t xml:space="preserve">Время</t>
        </is>
      </c>
      <c r="E157" t="inlineStr">
        <is>
          <t xml:space="preserve">calc</t>
        </is>
      </c>
      <c r="F157" t="inlineStr">
        <is>
          <t xml:space="preserve">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c r="G157" t="inlineStr">
        <is>
          <t xml:space="preserve">2 × 219 = 438 ч/год</t>
        </is>
      </c>
    </row>
    <row r="158">
      <c r="A158" t="inlineStr">
        <is>
          <t xml:space="preserve">114</t>
        </is>
      </c>
      <c r="B158" t="inlineStr">
        <is>
          <t xml:space="preserve">Время на логистику</t>
        </is>
      </c>
      <c r="D158" t="inlineStr">
        <is>
          <t xml:space="preserve">Время</t>
        </is>
      </c>
    </row>
    <row r="159">
      <c r="A159" t="inlineStr">
        <is>
          <t xml:space="preserve">115</t>
        </is>
      </c>
      <c r="B159" t="inlineStr">
        <is>
          <t xml:space="preserve">Время на поиск клиентов</t>
        </is>
      </c>
      <c r="D159" t="inlineStr">
        <is>
          <t xml:space="preserve">Время</t>
        </is>
      </c>
    </row>
    <row r="160">
      <c r="A160" t="inlineStr">
        <is>
          <t xml:space="preserve">116</t>
        </is>
      </c>
      <c r="B160" t="inlineStr">
        <is>
          <t xml:space="preserve">Накладное время</t>
        </is>
      </c>
      <c r="D160" t="inlineStr">
        <is>
          <t xml:space="preserve">Время</t>
        </is>
      </c>
    </row>
    <row r="161">
      <c r="A161" t="inlineStr">
        <is>
          <t xml:space="preserve">117</t>
        </is>
      </c>
      <c r="B161" t="inlineStr">
        <is>
          <t xml:space="preserve">Накладное клиентское время</t>
        </is>
      </c>
      <c r="D161" t="inlineStr">
        <is>
          <t xml:space="preserve">Время</t>
        </is>
      </c>
    </row>
    <row r="162">
      <c r="A162" t="inlineStr">
        <is>
          <t xml:space="preserve">118</t>
        </is>
      </c>
      <c r="B162" t="inlineStr">
        <is>
          <t xml:space="preserve">Продвижение</t>
        </is>
      </c>
      <c r="D162" t="inlineStr">
        <is>
          <t xml:space="preserve">Время</t>
        </is>
      </c>
    </row>
    <row r="163">
      <c r="A163" t="inlineStr">
        <is>
          <t xml:space="preserve">119</t>
        </is>
      </c>
      <c r="B163" t="inlineStr">
        <is>
          <t xml:space="preserve">Учёт</t>
        </is>
      </c>
      <c r="D163" t="inlineStr">
        <is>
          <t xml:space="preserve">Время</t>
        </is>
      </c>
      <c r="F163" t="inlineStr">
        <is>
          <t xml:space="preserve">Систематический сбор, фиксация и анализ информации о доходах, расходах, работе и других показателях профессиональной деятельности.</t>
        </is>
      </c>
    </row>
    <row r="164">
      <c r="A164" t="inlineStr">
        <is>
          <t xml:space="preserve">120</t>
        </is>
      </c>
      <c r="B164" t="inlineStr">
        <is>
          <t xml:space="preserve">Бухгалтерия</t>
        </is>
      </c>
      <c r="D164" t="inlineStr">
        <is>
          <t xml:space="preserve">Время</t>
        </is>
      </c>
      <c r="E164" t="inlineStr">
        <is>
          <t xml:space="preserve">понятие</t>
        </is>
      </c>
      <c r="F164" t="inlineStr">
        <is>
          <t xml:space="preserve">Ведение и обработка финансовой информации о деятельности специалиста, включая учёт доходов и расходов, расчёт обязательных платежей и подготовку необходимой отчётности.</t>
        </is>
      </c>
    </row>
    <row r="165">
      <c r="A165" t="inlineStr">
        <is>
          <t xml:space="preserve">121</t>
        </is>
      </c>
      <c r="B165" t="inlineStr">
        <is>
          <t xml:space="preserve">Операционная работа с клиентами</t>
        </is>
      </c>
      <c r="D165" t="inlineStr">
        <is>
          <t xml:space="preserve">Время</t>
        </is>
      </c>
      <c r="E165" t="inlineStr">
        <is>
          <t xml:space="preserve">понятие</t>
        </is>
      </c>
      <c r="F165" t="inlineStr">
        <is>
          <t xml:space="preserve">Рабочие действия специалиста, связанные с поиском, привлечением и поддержанием взаимодействия с клиентами вне рамок конкретного проекта: обработка обращений, переговоры, ответы на вопросы, повторные контакты и поддержание отношений с потенциальными и действующими клиентами.</t>
        </is>
      </c>
    </row>
    <row r="166">
      <c r="A166" t="inlineStr">
        <is>
          <t xml:space="preserve">122</t>
        </is>
      </c>
      <c r="B166" t="inlineStr">
        <is>
          <t xml:space="preserve">Отчётность</t>
        </is>
      </c>
      <c r="D166" t="inlineStr">
        <is>
          <t xml:space="preserve">Время</t>
        </is>
      </c>
      <c r="E166" t="inlineStr">
        <is>
          <t xml:space="preserve">понятие</t>
        </is>
      </c>
      <c r="F166" t="inlineStr">
        <is>
          <t xml:space="preserve">Систематизированная информация о доходах, расходах, результатах деятельности и обязательствах специалиста, подготовленная за определённый период для анализа, контроля или предоставления в налоговые и иные соответствующие органы в установленных случаях.</t>
        </is>
      </c>
    </row>
    <row r="167">
      <c r="A167" t="inlineStr">
        <is>
          <t xml:space="preserve">123</t>
        </is>
      </c>
      <c r="B167" t="inlineStr">
        <is>
          <t xml:space="preserve">Поиск заказов</t>
        </is>
      </c>
      <c r="D167" t="inlineStr">
        <is>
          <t xml:space="preserve">Время</t>
        </is>
      </c>
      <c r="E167" t="inlineStr">
        <is>
          <t xml:space="preserve">понятие</t>
        </is>
      </c>
      <c r="F167" t="inlineStr">
        <is>
          <t xml:space="preserve">Действия специалиста по выявлению потенциальных клиентов и получению новых заказов на оказание услуг.</t>
        </is>
      </c>
    </row>
    <row r="168">
      <c r="A168" t="inlineStr">
        <is>
          <t xml:space="preserve">124</t>
        </is>
      </c>
      <c r="B168" t="inlineStr">
        <is>
          <t xml:space="preserve">Работа с клиентами</t>
        </is>
      </c>
      <c r="D168" t="inlineStr">
        <is>
          <t xml:space="preserve">Время</t>
        </is>
      </c>
      <c r="E168" t="inlineStr">
        <is>
          <t xml:space="preserve">понятие</t>
        </is>
      </c>
      <c r="F168" t="inlineStr">
        <is>
          <t xml:space="preserve">Совокупность рабочих действий специалиста, связанных с привлечением, коммуникацией и сопровождением клиентов на разных этапах взаимодействия.</t>
        </is>
      </c>
    </row>
    <row r="169">
      <c r="A169" t="inlineStr">
        <is>
          <t xml:space="preserve">ПОДРАЗДЕЛ · Календарное время</t>
        </is>
      </c>
    </row>
    <row r="170">
      <c r="A170" t="inlineStr">
        <is>
          <t xml:space="preserve">№</t>
        </is>
      </c>
      <c r="B170" t="inlineStr">
        <is>
          <t xml:space="preserve">Наименование</t>
        </is>
      </c>
      <c r="C170" t="inlineStr">
        <is>
          <t xml:space="preserve">ID</t>
        </is>
      </c>
      <c r="D170" t="inlineStr">
        <is>
          <t xml:space="preserve">Назначение</t>
        </is>
      </c>
      <c r="E170" t="inlineStr">
        <is>
          <t xml:space="preserve">Тип</t>
        </is>
      </c>
      <c r="F170" t="inlineStr">
        <is>
          <t xml:space="preserve">Понятие</t>
        </is>
      </c>
      <c r="G170" t="inlineStr">
        <is>
          <t xml:space="preserve">Значение/формула</t>
        </is>
      </c>
      <c r="H170" t="inlineStr">
        <is>
          <t xml:space="preserve">Описание алгоритма</t>
        </is>
      </c>
    </row>
    <row r="171">
      <c r="A171" t="inlineStr">
        <is>
          <t xml:space="preserve">125</t>
        </is>
      </c>
      <c r="B171" t="inlineStr">
        <is>
          <t xml:space="preserve">Больничный</t>
        </is>
      </c>
      <c r="D171" t="inlineStr">
        <is>
          <t xml:space="preserve">Время</t>
        </is>
      </c>
      <c r="F171" t="inlineStr">
        <is>
          <t xml:space="preserve">Период временной нетрудоспособности из-за болезни или травмы, в течение которого человек освобождён от работы.</t>
        </is>
      </c>
    </row>
    <row r="172">
      <c r="A172" t="inlineStr">
        <is>
          <t xml:space="preserve">126</t>
        </is>
      </c>
      <c r="B172" t="inlineStr">
        <is>
          <t xml:space="preserve">Больничный</t>
        </is>
      </c>
      <c r="D172" t="inlineStr">
        <is>
          <t xml:space="preserve">Время</t>
        </is>
      </c>
    </row>
    <row r="173">
      <c r="A173" t="inlineStr">
        <is>
          <t xml:space="preserve">127</t>
        </is>
      </c>
      <c r="B173" t="inlineStr">
        <is>
          <t xml:space="preserve">Больничный</t>
        </is>
      </c>
      <c r="D173" t="inlineStr">
        <is>
          <t xml:space="preserve">Время</t>
        </is>
      </c>
    </row>
    <row r="174">
      <c r="A174" t="inlineStr">
        <is>
          <t xml:space="preserve">128</t>
        </is>
      </c>
      <c r="B174" t="inlineStr">
        <is>
          <t xml:space="preserve">Выходной</t>
        </is>
      </c>
      <c r="D174" t="inlineStr">
        <is>
          <t xml:space="preserve">Время</t>
        </is>
      </c>
    </row>
    <row r="175">
      <c r="A175" t="inlineStr">
        <is>
          <t xml:space="preserve">129</t>
        </is>
      </c>
      <c r="B175" t="inlineStr">
        <is>
          <t xml:space="preserve">Отпуск</t>
        </is>
      </c>
      <c r="D175" t="inlineStr">
        <is>
          <t xml:space="preserve">Время</t>
        </is>
      </c>
      <c r="F175" t="inlineStr">
        <is>
          <t xml:space="preserve">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row>
    <row r="176">
      <c r="A176" t="inlineStr">
        <is>
          <t xml:space="preserve">130</t>
        </is>
      </c>
      <c r="B176" t="inlineStr">
        <is>
          <t xml:space="preserve">Отпуск</t>
        </is>
      </c>
      <c r="D176" t="inlineStr">
        <is>
          <t xml:space="preserve">Время</t>
        </is>
      </c>
    </row>
    <row r="177">
      <c r="A177" t="inlineStr">
        <is>
          <t xml:space="preserve">131</t>
        </is>
      </c>
      <c r="B177" t="inlineStr">
        <is>
          <t xml:space="preserve">Отпуск </t>
        </is>
      </c>
      <c r="D177" t="inlineStr">
        <is>
          <t xml:space="preserve">Время</t>
        </is>
      </c>
    </row>
    <row r="178">
      <c r="A178" t="inlineStr">
        <is>
          <t xml:space="preserve">132</t>
        </is>
      </c>
      <c r="B178" t="inlineStr">
        <is>
          <t xml:space="preserve">Празник</t>
        </is>
      </c>
      <c r="D178" t="inlineStr">
        <is>
          <t xml:space="preserve">Время</t>
        </is>
      </c>
    </row>
    <row r="179">
      <c r="A179" t="inlineStr">
        <is>
          <t xml:space="preserve">133</t>
        </is>
      </c>
      <c r="B179" t="inlineStr">
        <is>
          <t xml:space="preserve">Выходные и праздничные дни</t>
        </is>
      </c>
      <c r="D179" t="inlineStr">
        <is>
          <t xml:space="preserve">Время</t>
        </is>
      </c>
      <c r="E179" t="inlineStr">
        <is>
          <t xml:space="preserve">понятие</t>
        </is>
      </c>
      <c r="F179" t="inlineStr">
        <is>
          <t xml:space="preserve">Дни, в которые в соответствии с Трудовым кодексом Российской Федерации работник освобождён от исполнения трудовых обязанностей; конкретные даты выходных и нерабочих праздничных дней и их переносы определяются с учётом производственного календаря.</t>
        </is>
      </c>
    </row>
    <row r="180">
      <c r="A180" t="inlineStr">
        <is>
          <t xml:space="preserve">ПОДРАЗДЕЛ · Инвестиционное время</t>
        </is>
      </c>
    </row>
    <row r="181">
      <c r="A181" t="inlineStr">
        <is>
          <t xml:space="preserve">№</t>
        </is>
      </c>
      <c r="B181" t="inlineStr">
        <is>
          <t xml:space="preserve">Наименование</t>
        </is>
      </c>
      <c r="C181" t="inlineStr">
        <is>
          <t xml:space="preserve">ID</t>
        </is>
      </c>
      <c r="D181" t="inlineStr">
        <is>
          <t xml:space="preserve">Назначение</t>
        </is>
      </c>
      <c r="E181" t="inlineStr">
        <is>
          <t xml:space="preserve">Тип</t>
        </is>
      </c>
      <c r="F181" t="inlineStr">
        <is>
          <t xml:space="preserve">Понятие</t>
        </is>
      </c>
      <c r="G181" t="inlineStr">
        <is>
          <t xml:space="preserve">Значение/формула</t>
        </is>
      </c>
      <c r="H181" t="inlineStr">
        <is>
          <t xml:space="preserve">Описание алгоритма</t>
        </is>
      </c>
    </row>
    <row r="182">
      <c r="A182" t="inlineStr">
        <is>
          <t xml:space="preserve">134</t>
        </is>
      </c>
      <c r="B182" t="inlineStr">
        <is>
          <t xml:space="preserve">Инвестиционное время</t>
        </is>
      </c>
      <c r="D182" t="inlineStr">
        <is>
          <t xml:space="preserve">Время</t>
        </is>
      </c>
    </row>
    <row r="183">
      <c r="A183" t="inlineStr">
        <is>
          <t xml:space="preserve">ПОДРАЗДЕЛ · B · ВРЕМЯ — иерархия по вашему определению (ГЛАВНОЕ)</t>
        </is>
      </c>
    </row>
    <row r="184">
      <c r="A184" t="inlineStr">
        <is>
          <t xml:space="preserve">№</t>
        </is>
      </c>
      <c r="B184" t="inlineStr">
        <is>
          <t xml:space="preserve">Наименование</t>
        </is>
      </c>
      <c r="C184" t="inlineStr">
        <is>
          <t xml:space="preserve">ID</t>
        </is>
      </c>
      <c r="D184" t="inlineStr">
        <is>
          <t xml:space="preserve">Назначение</t>
        </is>
      </c>
      <c r="E184" t="inlineStr">
        <is>
          <t xml:space="preserve">Тип</t>
        </is>
      </c>
      <c r="F184" t="inlineStr">
        <is>
          <t xml:space="preserve">Понятие</t>
        </is>
      </c>
      <c r="G184" t="inlineStr">
        <is>
          <t xml:space="preserve">Значение/формула</t>
        </is>
      </c>
      <c r="H184" t="inlineStr">
        <is>
          <t xml:space="preserve">Описание алгоритма</t>
        </is>
      </c>
    </row>
    <row r="185">
      <c r="A185" t="inlineStr">
        <is>
          <t xml:space="preserve">135</t>
        </is>
      </c>
      <c r="B185" t="inlineStr">
        <is>
          <t xml:space="preserve">ЧИСТОЕ время</t>
        </is>
      </c>
      <c r="C185" t="inlineStr">
        <is>
          <t xml:space="preserve">net_time</t>
        </is>
      </c>
      <c r="D185" t="inlineStr">
        <is>
          <t xml:space="preserve">Время</t>
        </is>
      </c>
      <c r="E185" t="inlineStr">
        <is>
          <t xml:space="preserve">calc</t>
        </is>
      </c>
      <c r="F185"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185" t="inlineStr">
        <is>
          <t xml:space="preserve">(247−20−8) × 7 = 1 533 ч/год</t>
        </is>
      </c>
    </row>
    <row r="186">
      <c r="A186" t="inlineStr">
        <is>
          <t xml:space="preserve">136</t>
        </is>
      </c>
      <c r="B186" t="inlineStr">
        <is>
          <t xml:space="preserve">ПРОЕКТНОЕ время за год</t>
        </is>
      </c>
      <c r="C186" t="inlineStr">
        <is>
          <t xml:space="preserve">project_pool</t>
        </is>
      </c>
      <c r="D186" t="inlineStr">
        <is>
          <t xml:space="preserve">Время</t>
        </is>
      </c>
      <c r="E186" t="inlineStr">
        <is>
          <t xml:space="preserve">calc</t>
        </is>
      </c>
      <c r="F186"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186" t="inlineStr">
        <is>
          <t xml:space="preserve">1 083 − 54,15 = 1 028,85 ч/год</t>
        </is>
      </c>
    </row>
    <row r="187">
      <c r="A187" t="inlineStr">
        <is>
          <t xml:space="preserve">137</t>
        </is>
      </c>
      <c r="B187" t="inlineStr">
        <is>
          <t xml:space="preserve">Проектное время на 1 проект</t>
        </is>
      </c>
      <c r="C187" t="inlineStr">
        <is>
          <t xml:space="preserve">project_time</t>
        </is>
      </c>
      <c r="D187" t="inlineStr">
        <is>
          <t xml:space="preserve">Время</t>
        </is>
      </c>
      <c r="E187" t="inlineStr">
        <is>
          <t xml:space="preserve">calc</t>
        </is>
      </c>
      <c r="F187"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187" t="inlineStr">
        <is>
          <t xml:space="preserve">6×4 + 1 = 25 ч/проект</t>
        </is>
      </c>
    </row>
    <row r="188">
      <c r="A188" t="inlineStr">
        <is>
          <t xml:space="preserve">138</t>
        </is>
      </c>
      <c r="B188" t="inlineStr">
        <is>
          <t xml:space="preserve">ПРОФИЛЬНОЕ время</t>
        </is>
      </c>
      <c r="C188" t="inlineStr">
        <is>
          <t xml:space="preserve">core_time</t>
        </is>
      </c>
      <c r="D188" t="inlineStr">
        <is>
          <t xml:space="preserve">Время</t>
        </is>
      </c>
      <c r="E188" t="inlineStr">
        <is>
          <t xml:space="preserve">calc</t>
        </is>
      </c>
      <c r="F188" t="inlineStr">
        <is>
          <t xml:space="preserve">Работа по профилю: съёмка и обработка ВМЕСТЕ. Равно S × (1+коэф.). БЕЗ клиента</t>
        </is>
      </c>
      <c r="G188" t="inlineStr">
        <is>
          <t xml:space="preserve">262,80 + 788,40 = 1 051,20 ч/год</t>
        </is>
      </c>
    </row>
    <row r="189">
      <c r="A189" t="inlineStr">
        <is>
          <t xml:space="preserve">139</t>
        </is>
      </c>
      <c r="B189" t="inlineStr">
        <is>
          <t xml:space="preserve">СЪЁМОЧНОЕ время (S)</t>
        </is>
      </c>
      <c r="C189" t="inlineStr">
        <is>
          <t xml:space="preserve">shooting_time</t>
        </is>
      </c>
      <c r="D189" t="inlineStr">
        <is>
          <t xml:space="preserve">Время</t>
        </is>
      </c>
      <c r="E189" t="inlineStr">
        <is>
          <t xml:space="preserve">calc</t>
        </is>
      </c>
      <c r="F189" t="inlineStr">
        <is>
          <t xml:space="preserve">Работа на площадке. Обозначается S. ЦЕЛЬ РАСЧЁТА и знаменатель ставки</t>
        </is>
      </c>
      <c r="G189" t="inlineStr">
        <is>
          <t xml:space="preserve">43,80 × 6 = 262,80 ч/год</t>
        </is>
      </c>
    </row>
    <row r="190">
      <c r="A190" t="inlineStr">
        <is>
          <t xml:space="preserve">140</t>
        </is>
      </c>
      <c r="B190" t="inlineStr">
        <is>
          <t xml:space="preserve">Работа с клиентом</t>
        </is>
      </c>
      <c r="C190" t="inlineStr">
        <is>
          <t xml:space="preserve">client_total</t>
        </is>
      </c>
      <c r="D190" t="inlineStr">
        <is>
          <t xml:space="preserve">Время</t>
        </is>
      </c>
      <c r="E190" t="inlineStr">
        <is>
          <t xml:space="preserve">calc</t>
        </is>
      </c>
      <c r="F190" t="inlineStr">
        <is>
          <t xml:space="preserve">Продажа, согласования, организация. 1 час НА КАЖДЫЙ проект: чем короче съёмки, тем больше проектов и тем больше суммарных клиентских часов</t>
        </is>
      </c>
      <c r="G190" t="inlineStr">
        <is>
          <t xml:space="preserve">проектов × 1 ч</t>
        </is>
      </c>
    </row>
    <row r="191">
      <c r="A191" t="inlineStr">
        <is>
          <t xml:space="preserve">141</t>
        </is>
      </c>
      <c r="B191" t="inlineStr">
        <is>
          <t xml:space="preserve">Учёт и планирование</t>
        </is>
      </c>
      <c r="C191" t="inlineStr">
        <is>
          <t xml:space="preserve">accounting_time</t>
        </is>
      </c>
      <c r="D191" t="inlineStr">
        <is>
          <t xml:space="preserve">Время</t>
        </is>
      </c>
      <c r="E191" t="inlineStr">
        <is>
          <t xml:space="preserve">calc</t>
        </is>
      </c>
      <c r="F191" t="inlineStr">
        <is>
          <t xml:space="preserve">Систематический сбор, фиксация и анализ информации о доходах, расходах, работе и других показателях профессиональной деятельности.</t>
        </is>
      </c>
      <c r="G191" t="inlineStr">
        <is>
          <t xml:space="preserve">3 × 4 = 12 ч/год</t>
        </is>
      </c>
    </row>
    <row r="192">
      <c r="A192" t="inlineStr">
        <is>
          <t xml:space="preserve">142</t>
        </is>
      </c>
      <c r="B192" t="inlineStr">
        <is>
          <t xml:space="preserve">Коэффициент обработки</t>
        </is>
      </c>
      <c r="C192" t="inlineStr">
        <is>
          <t xml:space="preserve">post_ratio</t>
        </is>
      </c>
      <c r="D192" t="inlineStr">
        <is>
          <t xml:space="preserve">Время</t>
        </is>
      </c>
      <c r="E192" t="inlineStr">
        <is>
          <t xml:space="preserve">default</t>
        </is>
      </c>
      <c r="F192" t="inlineStr">
        <is>
          <t xml:space="preserve">Часов обработки на 1 час съёмки. По умолчанию 3, пользователь меняет под свой жанр</t>
        </is>
      </c>
      <c r="G192" t="inlineStr">
        <is>
          <t xml:space="preserve">3 (свадьба больше, репортаж меньше)</t>
        </is>
      </c>
    </row>
    <row r="193">
      <c r="A193" t="inlineStr">
        <is>
          <t xml:space="preserve">143</t>
        </is>
      </c>
      <c r="B193" t="inlineStr">
        <is>
          <t xml:space="preserve">Множитель профильного</t>
        </is>
      </c>
      <c r="C193" t="inlineStr">
        <is>
          <t xml:space="preserve">profile_multiplier</t>
        </is>
      </c>
      <c r="D193" t="inlineStr">
        <is>
          <t xml:space="preserve">Время</t>
        </is>
      </c>
      <c r="E193" t="inlineStr">
        <is>
          <t xml:space="preserve">calc</t>
        </is>
      </c>
      <c r="F193" t="inlineStr">
        <is>
          <t xml:space="preserve">1 + коэффициент обработки. Во столько раз профильное время больше съёмочного</t>
        </is>
      </c>
      <c r="G193" t="inlineStr">
        <is>
          <t xml:space="preserve">1 + 3 = 4</t>
        </is>
      </c>
    </row>
    <row r="194">
      <c r="A194" t="inlineStr">
        <is>
          <t xml:space="preserve">144</t>
        </is>
      </c>
      <c r="B194" t="inlineStr">
        <is>
          <t xml:space="preserve">Проектов в год</t>
        </is>
      </c>
      <c r="C194" t="inlineStr">
        <is>
          <t xml:space="preserve">projects_year</t>
        </is>
      </c>
      <c r="D194" t="inlineStr">
        <is>
          <t xml:space="preserve">Время</t>
        </is>
      </c>
      <c r="E194" t="inlineStr">
        <is>
          <t xml:space="preserve">calc</t>
        </is>
      </c>
      <c r="F194" t="inlineStr">
        <is>
          <t xml:space="preserve">Сколько проектов помещается в проектное время</t>
        </is>
      </c>
      <c r="G194" t="inlineStr">
        <is>
          <t xml:space="preserve">1 095 / 25 = 43,80 = число недель</t>
        </is>
      </c>
    </row>
    <row r="195">
      <c r="A195" t="inlineStr">
        <is>
          <t xml:space="preserve">ПОДРАЗДЕЛ · 1 · Календарь</t>
        </is>
      </c>
    </row>
    <row r="196">
      <c r="A196" t="inlineStr">
        <is>
          <t xml:space="preserve">№</t>
        </is>
      </c>
      <c r="B196" t="inlineStr">
        <is>
          <t xml:space="preserve">Наименование</t>
        </is>
      </c>
      <c r="C196" t="inlineStr">
        <is>
          <t xml:space="preserve">ID</t>
        </is>
      </c>
      <c r="D196" t="inlineStr">
        <is>
          <t xml:space="preserve">Назначение</t>
        </is>
      </c>
      <c r="E196" t="inlineStr">
        <is>
          <t xml:space="preserve">Тип</t>
        </is>
      </c>
      <c r="F196" t="inlineStr">
        <is>
          <t xml:space="preserve">Понятие</t>
        </is>
      </c>
      <c r="G196" t="inlineStr">
        <is>
          <t xml:space="preserve">Значение/формула</t>
        </is>
      </c>
      <c r="H196" t="inlineStr">
        <is>
          <t xml:space="preserve">Описание алгоритма</t>
        </is>
      </c>
    </row>
    <row r="197">
      <c r="A197" t="inlineStr">
        <is>
          <t xml:space="preserve">145</t>
        </is>
      </c>
      <c r="B197" t="inlineStr">
        <is>
          <t xml:space="preserve">Всего дней в году</t>
        </is>
      </c>
      <c r="C197" t="inlineStr">
        <is>
          <t xml:space="preserve">days_year</t>
        </is>
      </c>
      <c r="D197" t="inlineStr">
        <is>
          <t xml:space="preserve">Время</t>
        </is>
      </c>
      <c r="E197" t="inlineStr">
        <is>
          <t xml:space="preserve">const</t>
        </is>
      </c>
      <c r="F197" t="inlineStr">
        <is>
          <t xml:space="preserve">ед.: дн</t>
        </is>
      </c>
      <c r="G197" t="inlineStr">
        <is>
          <t xml:space="preserve">365</t>
        </is>
      </c>
    </row>
    <row r="198">
      <c r="A198" t="inlineStr">
        <is>
          <t xml:space="preserve">146</t>
        </is>
      </c>
      <c r="B198" t="inlineStr">
        <is>
          <t xml:space="preserve">Рабочих дней в году</t>
        </is>
      </c>
      <c r="C198" t="inlineStr">
        <is>
          <t xml:space="preserve">work_days</t>
        </is>
      </c>
      <c r="D198" t="inlineStr">
        <is>
          <t xml:space="preserve">Время</t>
        </is>
      </c>
      <c r="E198" t="inlineStr">
        <is>
          <t xml:space="preserve">const</t>
        </is>
      </c>
      <c r="F198" t="inlineStr">
        <is>
          <t xml:space="preserve">ед.: дн</t>
        </is>
      </c>
      <c r="G198" t="inlineStr">
        <is>
          <t xml:space="preserve">247</t>
        </is>
      </c>
    </row>
    <row r="199">
      <c r="A199" t="inlineStr">
        <is>
          <t xml:space="preserve">147</t>
        </is>
      </c>
      <c r="B199" t="inlineStr">
        <is>
          <t xml:space="preserve">Рабочих дней в неделю</t>
        </is>
      </c>
      <c r="C199" t="inlineStr">
        <is>
          <t xml:space="preserve">days_week</t>
        </is>
      </c>
      <c r="D199" t="inlineStr">
        <is>
          <t xml:space="preserve">Время</t>
        </is>
      </c>
      <c r="E199" t="inlineStr">
        <is>
          <t xml:space="preserve">const</t>
        </is>
      </c>
      <c r="F199" t="inlineStr">
        <is>
          <t xml:space="preserve">ед.: дн</t>
        </is>
      </c>
      <c r="G199" t="inlineStr">
        <is>
          <t xml:space="preserve">5</t>
        </is>
      </c>
    </row>
    <row r="200">
      <c r="A200" t="inlineStr">
        <is>
          <t xml:space="preserve">148</t>
        </is>
      </c>
      <c r="B200" t="inlineStr">
        <is>
          <t xml:space="preserve">Месяцев в году</t>
        </is>
      </c>
      <c r="C200" t="inlineStr">
        <is>
          <t xml:space="preserve">months</t>
        </is>
      </c>
      <c r="D200" t="inlineStr">
        <is>
          <t xml:space="preserve">Время</t>
        </is>
      </c>
      <c r="E200" t="inlineStr">
        <is>
          <t xml:space="preserve">const</t>
        </is>
      </c>
      <c r="F200" t="inlineStr">
        <is>
          <t xml:space="preserve">ед.: мес</t>
        </is>
      </c>
      <c r="G200" t="inlineStr">
        <is>
          <t xml:space="preserve">12</t>
        </is>
      </c>
    </row>
    <row r="201">
      <c r="A201" t="inlineStr">
        <is>
          <t xml:space="preserve">149</t>
        </is>
      </c>
      <c r="B201" t="inlineStr">
        <is>
          <t xml:space="preserve">Кварталов в году</t>
        </is>
      </c>
      <c r="C201" t="inlineStr">
        <is>
          <t xml:space="preserve">quarters</t>
        </is>
      </c>
      <c r="D201" t="inlineStr">
        <is>
          <t xml:space="preserve">Время</t>
        </is>
      </c>
      <c r="E201" t="inlineStr">
        <is>
          <t xml:space="preserve">const</t>
        </is>
      </c>
      <c r="F201" t="inlineStr">
        <is>
          <t xml:space="preserve">ед.: кв</t>
        </is>
      </c>
      <c r="G201" t="inlineStr">
        <is>
          <t xml:space="preserve">4</t>
        </is>
      </c>
    </row>
    <row r="202">
      <c r="A202" t="inlineStr">
        <is>
          <t xml:space="preserve">150</t>
        </is>
      </c>
      <c r="B202" t="inlineStr">
        <is>
          <t xml:space="preserve">Всего недель в году</t>
        </is>
      </c>
      <c r="C202" t="inlineStr">
        <is>
          <t xml:space="preserve">weeks_year</t>
        </is>
      </c>
      <c r="D202" t="inlineStr">
        <is>
          <t xml:space="preserve">Время</t>
        </is>
      </c>
      <c r="E202" t="inlineStr">
        <is>
          <t xml:space="preserve">calc</t>
        </is>
      </c>
      <c r="F202" t="inlineStr">
        <is>
          <t xml:space="preserve">ед.: нед · зависит от: days_year</t>
        </is>
      </c>
      <c r="G202" t="inlineStr">
        <is>
          <t xml:space="preserve">days_year/7</t>
        </is>
      </c>
    </row>
    <row r="203">
      <c r="A203" t="inlineStr">
        <is>
          <t xml:space="preserve">151</t>
        </is>
      </c>
      <c r="B203" t="inlineStr">
        <is>
          <t xml:space="preserve">Номинальных часов в дне</t>
        </is>
      </c>
      <c r="C203" t="inlineStr">
        <is>
          <t xml:space="preserve">nominal_hours</t>
        </is>
      </c>
      <c r="D203" t="inlineStr">
        <is>
          <t xml:space="preserve">Время</t>
        </is>
      </c>
      <c r="E203" t="inlineStr">
        <is>
          <t xml:space="preserve">const</t>
        </is>
      </c>
      <c r="F203" t="inlineStr">
        <is>
          <t xml:space="preserve">ед.: ч</t>
        </is>
      </c>
      <c r="G203" t="inlineStr">
        <is>
          <t xml:space="preserve">8</t>
        </is>
      </c>
    </row>
    <row r="204">
      <c r="A204" t="inlineStr">
        <is>
          <t xml:space="preserve">152</t>
        </is>
      </c>
      <c r="B204" t="inlineStr">
        <is>
          <t xml:space="preserve">Рабочих месяцев в году</t>
        </is>
      </c>
      <c r="C204" t="inlineStr">
        <is>
          <t xml:space="preserve">work_months</t>
        </is>
      </c>
      <c r="D204" t="inlineStr">
        <is>
          <t xml:space="preserve">Время</t>
        </is>
      </c>
      <c r="E204" t="inlineStr">
        <is>
          <t xml:space="preserve">const</t>
        </is>
      </c>
      <c r="F204" t="inlineStr">
        <is>
          <t xml:space="preserve">ед.: мес</t>
        </is>
      </c>
      <c r="G204" t="inlineStr">
        <is>
          <t xml:space="preserve">11</t>
        </is>
      </c>
    </row>
    <row r="205">
      <c r="A205" t="inlineStr">
        <is>
          <t xml:space="preserve">153</t>
        </is>
      </c>
      <c r="B205" t="inlineStr">
        <is>
          <t xml:space="preserve">Отпуск, календарных дней</t>
        </is>
      </c>
      <c r="C205" t="inlineStr">
        <is>
          <t xml:space="preserve">vacation_cal</t>
        </is>
      </c>
      <c r="D205" t="inlineStr">
        <is>
          <t xml:space="preserve">Время</t>
        </is>
      </c>
      <c r="E205" t="inlineStr">
        <is>
          <t xml:space="preserve">const</t>
        </is>
      </c>
      <c r="F205" t="inlineStr">
        <is>
          <t xml:space="preserve">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c r="G205" t="inlineStr">
        <is>
          <t xml:space="preserve">28</t>
        </is>
      </c>
    </row>
    <row r="206">
      <c r="A206" t="inlineStr">
        <is>
          <t xml:space="preserve">154</t>
        </is>
      </c>
      <c r="B206" t="inlineStr">
        <is>
          <t xml:space="preserve">Отпуск, рабочих дней</t>
        </is>
      </c>
      <c r="C206" t="inlineStr">
        <is>
          <t xml:space="preserve">vacation_work</t>
        </is>
      </c>
      <c r="D206" t="inlineStr">
        <is>
          <t xml:space="preserve">Время</t>
        </is>
      </c>
      <c r="E206" t="inlineStr">
        <is>
          <t xml:space="preserve">const</t>
        </is>
      </c>
      <c r="F206" t="inlineStr">
        <is>
          <t xml:space="preserve">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c r="G206" t="inlineStr">
        <is>
          <t xml:space="preserve">20</t>
        </is>
      </c>
    </row>
    <row r="207">
      <c r="A207" t="inlineStr">
        <is>
          <t xml:space="preserve">155</t>
        </is>
      </c>
      <c r="B207" t="inlineStr">
        <is>
          <t xml:space="preserve">Больничный, календарных дней</t>
        </is>
      </c>
      <c r="C207" t="inlineStr">
        <is>
          <t xml:space="preserve">sick_cal</t>
        </is>
      </c>
      <c r="D207" t="inlineStr">
        <is>
          <t xml:space="preserve">Время</t>
        </is>
      </c>
      <c r="E207" t="inlineStr">
        <is>
          <t xml:space="preserve">const</t>
        </is>
      </c>
      <c r="F207" t="inlineStr">
        <is>
          <t xml:space="preserve">Период временной нетрудоспособности из-за болезни или травмы, в течение которого человек освобождён от работы.</t>
        </is>
      </c>
      <c r="G207" t="inlineStr">
        <is>
          <t xml:space="preserve">10</t>
        </is>
      </c>
    </row>
    <row r="208">
      <c r="A208" t="inlineStr">
        <is>
          <t xml:space="preserve">156</t>
        </is>
      </c>
      <c r="B208" t="inlineStr">
        <is>
          <t xml:space="preserve">Больничный, рабочих дней</t>
        </is>
      </c>
      <c r="C208" t="inlineStr">
        <is>
          <t xml:space="preserve">sick_work</t>
        </is>
      </c>
      <c r="D208" t="inlineStr">
        <is>
          <t xml:space="preserve">Время</t>
        </is>
      </c>
      <c r="E208" t="inlineStr">
        <is>
          <t xml:space="preserve">const</t>
        </is>
      </c>
      <c r="F208" t="inlineStr">
        <is>
          <t xml:space="preserve">Период временной нетрудоспособности из-за болезни или травмы, в течение которого человек освобождён от работы.</t>
        </is>
      </c>
      <c r="G208" t="inlineStr">
        <is>
          <t xml:space="preserve">8</t>
        </is>
      </c>
    </row>
    <row r="209">
      <c r="A209" t="inlineStr">
        <is>
          <t xml:space="preserve">157</t>
        </is>
      </c>
      <c r="B209" t="inlineStr">
        <is>
          <t xml:space="preserve">Чистых (эффективных) часов в дне</t>
        </is>
      </c>
      <c r="C209" t="inlineStr">
        <is>
          <t xml:space="preserve">eff_hours</t>
        </is>
      </c>
      <c r="D209" t="inlineStr">
        <is>
          <t xml:space="preserve">Время</t>
        </is>
      </c>
      <c r="E209" t="inlineStr">
        <is>
          <t xml:space="preserve">const</t>
        </is>
      </c>
      <c r="F209"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209" t="inlineStr">
        <is>
          <t xml:space="preserve">7</t>
        </is>
      </c>
    </row>
    <row r="210">
      <c r="A210" t="inlineStr">
        <is>
          <t xml:space="preserve">ПОДРАЗДЕЛ · 2 · Время</t>
        </is>
      </c>
    </row>
    <row r="211">
      <c r="A211" t="inlineStr">
        <is>
          <t xml:space="preserve">№</t>
        </is>
      </c>
      <c r="B211" t="inlineStr">
        <is>
          <t xml:space="preserve">Наименование</t>
        </is>
      </c>
      <c r="C211" t="inlineStr">
        <is>
          <t xml:space="preserve">ID</t>
        </is>
      </c>
      <c r="D211" t="inlineStr">
        <is>
          <t xml:space="preserve">Назначение</t>
        </is>
      </c>
      <c r="E211" t="inlineStr">
        <is>
          <t xml:space="preserve">Тип</t>
        </is>
      </c>
      <c r="F211" t="inlineStr">
        <is>
          <t xml:space="preserve">Понятие</t>
        </is>
      </c>
      <c r="G211" t="inlineStr">
        <is>
          <t xml:space="preserve">Значение/формула</t>
        </is>
      </c>
      <c r="H211" t="inlineStr">
        <is>
          <t xml:space="preserve">Описание алгоритма</t>
        </is>
      </c>
    </row>
    <row r="212">
      <c r="A212" t="inlineStr">
        <is>
          <t xml:space="preserve">158</t>
        </is>
      </c>
      <c r="B212" t="inlineStr">
        <is>
          <t xml:space="preserve">Рабочее время по календарю</t>
        </is>
      </c>
      <c r="C212" t="inlineStr">
        <is>
          <t xml:space="preserve">work_time</t>
        </is>
      </c>
      <c r="D212" t="inlineStr">
        <is>
          <t xml:space="preserve">Время</t>
        </is>
      </c>
      <c r="E212" t="inlineStr">
        <is>
          <t xml:space="preserve">calc</t>
        </is>
      </c>
      <c r="F212" t="inlineStr">
        <is>
          <t xml:space="preserve">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is>
      </c>
      <c r="G212" t="inlineStr">
        <is>
          <t xml:space="preserve">work_days*nominal_hours</t>
        </is>
      </c>
    </row>
    <row r="213">
      <c r="A213" t="inlineStr">
        <is>
          <t xml:space="preserve">159</t>
        </is>
      </c>
      <c r="B213" t="inlineStr">
        <is>
          <t xml:space="preserve">Чистое рабочее время, дней</t>
        </is>
      </c>
      <c r="C213" t="inlineStr">
        <is>
          <t xml:space="preserve">net_days</t>
        </is>
      </c>
      <c r="D213" t="inlineStr">
        <is>
          <t xml:space="preserve">Время</t>
        </is>
      </c>
      <c r="E213" t="inlineStr">
        <is>
          <t xml:space="preserve">calc</t>
        </is>
      </c>
      <c r="F213"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213" t="inlineStr">
        <is>
          <t xml:space="preserve">work_days-vacation_work-sick_work</t>
        </is>
      </c>
    </row>
    <row r="214">
      <c r="A214" t="inlineStr">
        <is>
          <t xml:space="preserve">160</t>
        </is>
      </c>
      <c r="B214" t="inlineStr">
        <is>
          <t xml:space="preserve">ЧИСТОЕ время</t>
        </is>
      </c>
      <c r="C214" t="inlineStr">
        <is>
          <t xml:space="preserve">net_time</t>
        </is>
      </c>
      <c r="D214" t="inlineStr">
        <is>
          <t xml:space="preserve">Время</t>
        </is>
      </c>
      <c r="E214" t="inlineStr">
        <is>
          <t xml:space="preserve">calc</t>
        </is>
      </c>
      <c r="F214"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214" t="inlineStr">
        <is>
          <t xml:space="preserve">net_days*eff_hours</t>
        </is>
      </c>
    </row>
    <row r="215">
      <c r="A215" t="inlineStr">
        <is>
          <t xml:space="preserve">161</t>
        </is>
      </c>
      <c r="B215" t="inlineStr">
        <is>
          <t xml:space="preserve">Чистое время, недель</t>
        </is>
      </c>
      <c r="C215" t="inlineStr">
        <is>
          <t xml:space="preserve">net_weeks</t>
        </is>
      </c>
      <c r="D215" t="inlineStr">
        <is>
          <t xml:space="preserve">Время</t>
        </is>
      </c>
      <c r="E215" t="inlineStr">
        <is>
          <t xml:space="preserve">calc</t>
        </is>
      </c>
      <c r="F215"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215" t="inlineStr">
        <is>
          <t xml:space="preserve">net_days/days_week</t>
        </is>
      </c>
    </row>
    <row r="216">
      <c r="A216" t="inlineStr">
        <is>
          <t xml:space="preserve">162</t>
        </is>
      </c>
      <c r="B216" t="inlineStr">
        <is>
          <t xml:space="preserve">Продвижение, часов в день</t>
        </is>
      </c>
      <c r="C216" t="inlineStr">
        <is>
          <t xml:space="preserve">promo_per_day</t>
        </is>
      </c>
      <c r="D216" t="inlineStr">
        <is>
          <t xml:space="preserve">Время</t>
        </is>
      </c>
      <c r="E216" t="inlineStr">
        <is>
          <t xml:space="preserve">default</t>
        </is>
      </c>
      <c r="F216" t="inlineStr">
        <is>
          <t xml:space="preserve">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c r="G216" t="inlineStr">
        <is>
          <t xml:space="preserve">2</t>
        </is>
      </c>
    </row>
    <row r="217">
      <c r="A217" t="inlineStr">
        <is>
          <t xml:space="preserve">163</t>
        </is>
      </c>
      <c r="B217" t="inlineStr">
        <is>
          <t xml:space="preserve">Продвижение за год</t>
        </is>
      </c>
      <c r="C217" t="inlineStr">
        <is>
          <t xml:space="preserve">promo_time</t>
        </is>
      </c>
      <c r="D217" t="inlineStr">
        <is>
          <t xml:space="preserve">Время</t>
        </is>
      </c>
      <c r="E217" t="inlineStr">
        <is>
          <t xml:space="preserve">calc</t>
        </is>
      </c>
      <c r="F217" t="inlineStr">
        <is>
          <t xml:space="preserve">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c r="G217" t="inlineStr">
        <is>
          <t xml:space="preserve">promo_per_day*net_days</t>
        </is>
      </c>
    </row>
    <row r="218">
      <c r="A218" t="inlineStr">
        <is>
          <t xml:space="preserve">164</t>
        </is>
      </c>
      <c r="B218" t="inlineStr">
        <is>
          <t xml:space="preserve">ПЕРЕКЛЮЧАТЕЛЬ · учёт и планирование</t>
        </is>
      </c>
      <c r="C218" t="inlineStr">
        <is>
          <t xml:space="preserve">acc_mode</t>
        </is>
      </c>
      <c r="D218" t="inlineStr">
        <is>
          <t xml:space="preserve">Время</t>
        </is>
      </c>
      <c r="E218" t="inlineStr">
        <is>
          <t xml:space="preserve">switch</t>
        </is>
      </c>
      <c r="G218" t="inlineStr">
        <is>
          <t xml:space="preserve">Веду самостоятельно</t>
        </is>
      </c>
    </row>
    <row r="219">
      <c r="A219" t="inlineStr">
        <is>
          <t xml:space="preserve">165</t>
        </is>
      </c>
      <c r="B219" t="inlineStr">
        <is>
          <t xml:space="preserve">Учёт: часов в квартал, если веду сам</t>
        </is>
      </c>
      <c r="C219" t="inlineStr">
        <is>
          <t xml:space="preserve">acc_per_quarter</t>
        </is>
      </c>
      <c r="D219" t="inlineStr">
        <is>
          <t xml:space="preserve">Время</t>
        </is>
      </c>
      <c r="E219" t="inlineStr">
        <is>
          <t xml:space="preserve">default</t>
        </is>
      </c>
      <c r="F219" t="inlineStr">
        <is>
          <t xml:space="preserve">Систематический сбор, фиксация и анализ информации о доходах, расходах, работе и других показателях профессиональной деятельности.</t>
        </is>
      </c>
      <c r="G219" t="inlineStr">
        <is>
          <t xml:space="preserve">3</t>
        </is>
      </c>
    </row>
    <row r="220">
      <c r="A220" t="inlineStr">
        <is>
          <t xml:space="preserve">166</t>
        </is>
      </c>
      <c r="B220" t="inlineStr">
        <is>
          <t xml:space="preserve">Учёт и планирование, время</t>
        </is>
      </c>
      <c r="C220" t="inlineStr">
        <is>
          <t xml:space="preserve">accounting_time</t>
        </is>
      </c>
      <c r="D220" t="inlineStr">
        <is>
          <t xml:space="preserve">Время</t>
        </is>
      </c>
      <c r="E220" t="inlineStr">
        <is>
          <t xml:space="preserve">calc</t>
        </is>
      </c>
      <c r="F220" t="inlineStr">
        <is>
          <t xml:space="preserve">Систематический сбор, фиксация и анализ информации о доходах, расходах, работе и других показателях профессиональной деятельности.</t>
        </is>
      </c>
      <c r="G220" t="inlineStr">
        <is>
          <t xml:space="preserve">IF(acc_mode="Веду самостоятельно",acc_per_quarter*quarters,0)</t>
        </is>
      </c>
    </row>
    <row r="221">
      <c r="A221" t="inlineStr">
        <is>
          <t xml:space="preserve">167</t>
        </is>
      </c>
      <c r="B221" t="inlineStr">
        <is>
          <t xml:space="preserve">ОПЕРАЦИОННОЕ время</t>
        </is>
      </c>
      <c r="C221" t="inlineStr">
        <is>
          <t xml:space="preserve">side_time</t>
        </is>
      </c>
      <c r="D221" t="inlineStr">
        <is>
          <t xml:space="preserve">Время</t>
        </is>
      </c>
      <c r="E221" t="inlineStr">
        <is>
          <t xml:space="preserve">calc</t>
        </is>
      </c>
      <c r="F221" t="inlineStr">
        <is>
          <t xml:space="preserve">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c r="G221" t="inlineStr">
        <is>
          <t xml:space="preserve">promo_time+accounting_time</t>
        </is>
      </c>
      <c r="H221" t="inlineStr">
        <is>
          <t xml:space="preserve">Складываем часы на все задачи, которые не создают результат для клиента напрямую: продвижение и поиск заказов, работа с клиентом, бухгалтерия и учёт, планирование и организационные дела.</t>
        </is>
      </c>
    </row>
    <row r="222">
      <c r="A222" t="inlineStr">
        <is>
          <t xml:space="preserve">168</t>
        </is>
      </c>
      <c r="B222" t="inlineStr">
        <is>
          <t xml:space="preserve">ПРОЕКТНОЕ время за год</t>
        </is>
      </c>
      <c r="C222" t="inlineStr">
        <is>
          <t xml:space="preserve">project_pool</t>
        </is>
      </c>
      <c r="D222" t="inlineStr">
        <is>
          <t xml:space="preserve">Время</t>
        </is>
      </c>
      <c r="E222" t="inlineStr">
        <is>
          <t xml:space="preserve">calc</t>
        </is>
      </c>
      <c r="F222"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222" t="inlineStr">
        <is>
          <t xml:space="preserve">pool_gross-fm_time</t>
        </is>
      </c>
    </row>
    <row r="223"/>
    <row r="224">
      <c r="A224" t="inlineStr">
        <is>
          <t xml:space="preserve">РАЗДЕЛ · Проект</t>
        </is>
      </c>
    </row>
    <row r="225">
      <c r="A225" t="inlineStr">
        <is>
          <t xml:space="preserve">ПОДРАЗДЕЛ · Проект и результат</t>
        </is>
      </c>
    </row>
    <row r="226">
      <c r="A226" t="inlineStr">
        <is>
          <t xml:space="preserve">№</t>
        </is>
      </c>
      <c r="B226" t="inlineStr">
        <is>
          <t xml:space="preserve">Наименование</t>
        </is>
      </c>
      <c r="C226" t="inlineStr">
        <is>
          <t xml:space="preserve">ID</t>
        </is>
      </c>
      <c r="D226" t="inlineStr">
        <is>
          <t xml:space="preserve">Назначение</t>
        </is>
      </c>
      <c r="E226" t="inlineStr">
        <is>
          <t xml:space="preserve">Тип</t>
        </is>
      </c>
      <c r="F226" t="inlineStr">
        <is>
          <t xml:space="preserve">Понятие</t>
        </is>
      </c>
      <c r="G226" t="inlineStr">
        <is>
          <t xml:space="preserve">Значение/формула</t>
        </is>
      </c>
      <c r="H226" t="inlineStr">
        <is>
          <t xml:space="preserve">Описание алгоритма</t>
        </is>
      </c>
    </row>
    <row r="227">
      <c r="A227" t="inlineStr">
        <is>
          <t xml:space="preserve">169</t>
        </is>
      </c>
      <c r="B227" t="inlineStr">
        <is>
          <t xml:space="preserve">Готовые кадры</t>
        </is>
      </c>
      <c r="D227" t="inlineStr">
        <is>
          <t xml:space="preserve">Проект</t>
        </is>
      </c>
      <c r="E227" t="inlineStr">
        <is>
          <t xml:space="preserve">понятие</t>
        </is>
      </c>
      <c r="F227" t="inlineStr">
        <is>
          <t xml:space="preserve">Снимки, полученные в результате проведения съёмочных работ и прошедшие первичную обработку.</t>
        </is>
      </c>
    </row>
    <row r="228">
      <c r="A228" t="inlineStr">
        <is>
          <t xml:space="preserve">170</t>
        </is>
      </c>
      <c r="B228" t="inlineStr">
        <is>
          <t xml:space="preserve">Минимальный выезд</t>
        </is>
      </c>
      <c r="D228" t="inlineStr">
        <is>
          <t xml:space="preserve">Проект</t>
        </is>
      </c>
      <c r="E228" t="inlineStr">
        <is>
          <t xml:space="preserve">понятие</t>
        </is>
      </c>
      <c r="F228" t="inlineStr">
        <is>
          <t xml:space="preserve">Минимальная стоимость заказа с выездом специалиста, ниже которой выполнение такого заказа экономически нецелесообразно.</t>
        </is>
      </c>
    </row>
    <row r="229">
      <c r="A229" t="inlineStr">
        <is>
          <t xml:space="preserve">171</t>
        </is>
      </c>
      <c r="B229" t="inlineStr">
        <is>
          <t xml:space="preserve">Съёмка</t>
        </is>
      </c>
      <c r="D229" t="inlineStr">
        <is>
          <t xml:space="preserve">Проект</t>
        </is>
      </c>
      <c r="E229" t="inlineStr">
        <is>
          <t xml:space="preserve">понятие</t>
        </is>
      </c>
      <c r="F229" t="inlineStr">
        <is>
          <t xml:space="preserve">Процесс создания фотоматериала с использованием фотооборудования в соответствии с поставленной задачей, условиями и сценарием съёмочного проекта.</t>
        </is>
      </c>
    </row>
    <row r="230">
      <c r="A230" t="inlineStr">
        <is>
          <t xml:space="preserve">172</t>
        </is>
      </c>
      <c r="B230" t="inlineStr">
        <is>
          <t xml:space="preserve">Съёмочный проект</t>
        </is>
      </c>
      <c r="D230" t="inlineStr">
        <is>
          <t xml:space="preserve">Проект</t>
        </is>
      </c>
      <c r="E230" t="inlineStr">
        <is>
          <t xml:space="preserve">понятие</t>
        </is>
      </c>
      <c r="F230" t="inlineStr">
        <is>
          <t xml:space="preserve">Отдельный заказ на проведение съёмочных работ, который может включать одну или несколько съёмок и несколько съёмочных часов, объединённых общей задачей, результатом и условиями выполнения.</t>
        </is>
      </c>
    </row>
    <row r="231">
      <c r="A231" t="inlineStr">
        <is>
          <t xml:space="preserve">ПОДРАЗДЕЛ · 3 · Проект</t>
        </is>
      </c>
    </row>
    <row r="232">
      <c r="A232" t="inlineStr">
        <is>
          <t xml:space="preserve">№</t>
        </is>
      </c>
      <c r="B232" t="inlineStr">
        <is>
          <t xml:space="preserve">Наименование</t>
        </is>
      </c>
      <c r="C232" t="inlineStr">
        <is>
          <t xml:space="preserve">ID</t>
        </is>
      </c>
      <c r="D232" t="inlineStr">
        <is>
          <t xml:space="preserve">Назначение</t>
        </is>
      </c>
      <c r="E232" t="inlineStr">
        <is>
          <t xml:space="preserve">Тип</t>
        </is>
      </c>
      <c r="F232" t="inlineStr">
        <is>
          <t xml:space="preserve">Понятие</t>
        </is>
      </c>
      <c r="G232" t="inlineStr">
        <is>
          <t xml:space="preserve">Значение/формула</t>
        </is>
      </c>
      <c r="H232" t="inlineStr">
        <is>
          <t xml:space="preserve">Описание алгоритма</t>
        </is>
      </c>
    </row>
    <row r="233">
      <c r="A233" t="inlineStr">
        <is>
          <t xml:space="preserve">173</t>
        </is>
      </c>
      <c r="B233" t="inlineStr">
        <is>
          <t xml:space="preserve">Коэффициент обработки</t>
        </is>
      </c>
      <c r="C233" t="inlineStr">
        <is>
          <t xml:space="preserve">post_ratio</t>
        </is>
      </c>
      <c r="D233" t="inlineStr">
        <is>
          <t xml:space="preserve">Проект</t>
        </is>
      </c>
      <c r="E233" t="inlineStr">
        <is>
          <t xml:space="preserve">default</t>
        </is>
      </c>
      <c r="F233" t="inlineStr">
        <is>
          <t xml:space="preserve">ед.: ×</t>
        </is>
      </c>
      <c r="G233" t="inlineStr">
        <is>
          <t xml:space="preserve">3</t>
        </is>
      </c>
    </row>
    <row r="234">
      <c r="A234" t="inlineStr">
        <is>
          <t xml:space="preserve">174</t>
        </is>
      </c>
      <c r="B234" t="inlineStr">
        <is>
          <t xml:space="preserve">Множитель профильного времени</t>
        </is>
      </c>
      <c r="C234" t="inlineStr">
        <is>
          <t xml:space="preserve">profile_multiplier</t>
        </is>
      </c>
      <c r="D234" t="inlineStr">
        <is>
          <t xml:space="preserve">Проект</t>
        </is>
      </c>
      <c r="E234" t="inlineStr">
        <is>
          <t xml:space="preserve">calc</t>
        </is>
      </c>
      <c r="F234" t="inlineStr">
        <is>
          <t xml:space="preserve">ед.: × · зависит от: post_ratio</t>
        </is>
      </c>
      <c r="G234" t="inlineStr">
        <is>
          <t xml:space="preserve">1+post_ratio</t>
        </is>
      </c>
    </row>
    <row r="235">
      <c r="A235" t="inlineStr">
        <is>
          <t xml:space="preserve">175</t>
        </is>
      </c>
      <c r="B235" t="inlineStr">
        <is>
          <t xml:space="preserve">Работа с клиентом на проект</t>
        </is>
      </c>
      <c r="C235" t="inlineStr">
        <is>
          <t xml:space="preserve">client_time</t>
        </is>
      </c>
      <c r="D235" t="inlineStr">
        <is>
          <t xml:space="preserve">Проект</t>
        </is>
      </c>
      <c r="E235" t="inlineStr">
        <is>
          <t xml:space="preserve">default</t>
        </is>
      </c>
      <c r="F235" t="inlineStr">
        <is>
          <t xml:space="preserve">ед.: ч/проект</t>
        </is>
      </c>
      <c r="G235" t="inlineStr">
        <is>
          <t xml:space="preserve">1</t>
        </is>
      </c>
    </row>
    <row r="236">
      <c r="A236" t="inlineStr">
        <is>
          <t xml:space="preserve">176</t>
        </is>
      </c>
      <c r="B236" t="inlineStr">
        <is>
          <t xml:space="preserve">Целевых проектов в неделю</t>
        </is>
      </c>
      <c r="C236" t="inlineStr">
        <is>
          <t xml:space="preserve">week_target</t>
        </is>
      </c>
      <c r="D236" t="inlineStr">
        <is>
          <t xml:space="preserve">Проект</t>
        </is>
      </c>
      <c r="E236" t="inlineStr">
        <is>
          <t xml:space="preserve">default</t>
        </is>
      </c>
      <c r="F236" t="inlineStr">
        <is>
          <t xml:space="preserve">ед.: шт/нед</t>
        </is>
      </c>
      <c r="G236" t="inlineStr">
        <is>
          <t xml:space="preserve">1</t>
        </is>
      </c>
    </row>
    <row r="237">
      <c r="A237" t="inlineStr">
        <is>
          <t xml:space="preserve">177</t>
        </is>
      </c>
      <c r="B237" t="inlineStr">
        <is>
          <t xml:space="preserve">Максимальная съёмка при целевом темпе</t>
        </is>
      </c>
      <c r="C237" t="inlineStr">
        <is>
          <t xml:space="preserve">shoot_auto</t>
        </is>
      </c>
      <c r="D237" t="inlineStr">
        <is>
          <t xml:space="preserve">Проект</t>
        </is>
      </c>
      <c r="E237" t="inlineStr">
        <is>
          <t xml:space="preserve">calc</t>
        </is>
      </c>
      <c r="F237" t="inlineStr">
        <is>
          <t xml:space="preserve">ед.: ч · зависит от: project_pool, net_weeks, week_target, client_time, profile_multiplier</t>
        </is>
      </c>
      <c r="G237" t="inlineStr">
        <is>
          <t xml:space="preserve">IF(profile_multiplier*week_target=0,0,(project_pool/net_weeks/week_target-client_time)/profile_multiplier)</t>
        </is>
      </c>
    </row>
    <row r="238">
      <c r="A238" t="inlineStr">
        <is>
          <t xml:space="preserve">178</t>
        </is>
      </c>
      <c r="B238" t="inlineStr">
        <is>
          <t xml:space="preserve">ТИПОВАЯ продолжительность съёмки (S)</t>
        </is>
      </c>
      <c r="C238" t="inlineStr">
        <is>
          <t xml:space="preserve">shoot_duration</t>
        </is>
      </c>
      <c r="D238" t="inlineStr">
        <is>
          <t xml:space="preserve">Проект</t>
        </is>
      </c>
      <c r="E238" t="inlineStr">
        <is>
          <t xml:space="preserve">default</t>
        </is>
      </c>
      <c r="F238" t="inlineStr">
        <is>
          <t xml:space="preserve">ед.: ч</t>
        </is>
      </c>
      <c r="G238" t="inlineStr">
        <is>
          <t xml:space="preserve">2</t>
        </is>
      </c>
    </row>
    <row r="239">
      <c r="A239" t="inlineStr">
        <is>
          <t xml:space="preserve">179</t>
        </is>
      </c>
      <c r="B239" t="inlineStr">
        <is>
          <t xml:space="preserve">Стоимость часа проектного времени</t>
        </is>
      </c>
      <c r="C239" t="inlineStr">
        <is>
          <t xml:space="preserve">hour_pool</t>
        </is>
      </c>
      <c r="D239" t="inlineStr">
        <is>
          <t xml:space="preserve">Проект</t>
        </is>
      </c>
      <c r="E239" t="inlineStr">
        <is>
          <t xml:space="preserve">calc</t>
        </is>
      </c>
      <c r="F239" t="inlineStr">
        <is>
          <t xml:space="preserve">ед.: ₽/ч · зависит от: выручка, project_pool</t>
        </is>
      </c>
      <c r="G239" t="inlineStr">
        <is>
          <t xml:space="preserve">IF(project_pool=0,0,CHOOSE(regime_no,'05_Расчёт'!B4,'05_Расчёт'!C4,'05_Расчёт'!D4,'05_Расчёт'!E4,'05_Расчёт'!F4,'05_Расчёт'!G4,'05_Расчёт'!H4)/project_pool)</t>
        </is>
      </c>
    </row>
    <row r="240">
      <c r="A240" t="inlineStr">
        <is>
          <t xml:space="preserve">180</t>
        </is>
      </c>
      <c r="B240" t="inlineStr">
        <is>
          <t xml:space="preserve">ПРОЕКТНОЕ время на 1 проект</t>
        </is>
      </c>
      <c r="C240" t="inlineStr">
        <is>
          <t xml:space="preserve">project_time</t>
        </is>
      </c>
      <c r="D240" t="inlineStr">
        <is>
          <t xml:space="preserve">Проект</t>
        </is>
      </c>
      <c r="E240" t="inlineStr">
        <is>
          <t xml:space="preserve">calc</t>
        </is>
      </c>
      <c r="F240"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240" t="inlineStr">
        <is>
          <t xml:space="preserve">shoot_duration*profile_multiplier+client_time</t>
        </is>
      </c>
    </row>
    <row r="241">
      <c r="A241" t="inlineStr">
        <is>
          <t xml:space="preserve">181</t>
        </is>
      </c>
      <c r="B241" t="inlineStr">
        <is>
          <t xml:space="preserve">Проектов в год</t>
        </is>
      </c>
      <c r="C241" t="inlineStr">
        <is>
          <t xml:space="preserve">projects_year</t>
        </is>
      </c>
      <c r="D241" t="inlineStr">
        <is>
          <t xml:space="preserve">Проект</t>
        </is>
      </c>
      <c r="E241" t="inlineStr">
        <is>
          <t xml:space="preserve">calc</t>
        </is>
      </c>
      <c r="F241" t="inlineStr">
        <is>
          <t xml:space="preserve">ед.: шт/год · зависит от: project_pool, project_time</t>
        </is>
      </c>
      <c r="G241" t="inlineStr">
        <is>
          <t xml:space="preserve">IF(project_time=0,0,project_pool/project_time)</t>
        </is>
      </c>
    </row>
    <row r="242">
      <c r="A242" t="inlineStr">
        <is>
          <t xml:space="preserve">182</t>
        </is>
      </c>
      <c r="B242" t="inlineStr">
        <is>
          <t xml:space="preserve">Проектов в месяц</t>
        </is>
      </c>
      <c r="C242" t="inlineStr">
        <is>
          <t xml:space="preserve">projects_month</t>
        </is>
      </c>
      <c r="D242" t="inlineStr">
        <is>
          <t xml:space="preserve">Проект</t>
        </is>
      </c>
      <c r="E242" t="inlineStr">
        <is>
          <t xml:space="preserve">calc</t>
        </is>
      </c>
      <c r="F242" t="inlineStr">
        <is>
          <t xml:space="preserve">ед.: шт/мес · зависит от: projects_year, months</t>
        </is>
      </c>
      <c r="G242" t="inlineStr">
        <is>
          <t xml:space="preserve">projects_year/months</t>
        </is>
      </c>
    </row>
    <row r="243">
      <c r="A243" t="inlineStr">
        <is>
          <t xml:space="preserve">183</t>
        </is>
      </c>
      <c r="B243" t="inlineStr">
        <is>
          <t xml:space="preserve">Проектов в неделю</t>
        </is>
      </c>
      <c r="C243" t="inlineStr">
        <is>
          <t xml:space="preserve">projects_week</t>
        </is>
      </c>
      <c r="D243" t="inlineStr">
        <is>
          <t xml:space="preserve">Проект</t>
        </is>
      </c>
      <c r="E243" t="inlineStr">
        <is>
          <t xml:space="preserve">calc</t>
        </is>
      </c>
      <c r="F243" t="inlineStr">
        <is>
          <t xml:space="preserve">ед.: шт/нед · зависит от: projects_year, net_weeks</t>
        </is>
      </c>
      <c r="G243" t="inlineStr">
        <is>
          <t xml:space="preserve">projects_year/net_weeks</t>
        </is>
      </c>
    </row>
    <row r="244">
      <c r="A244" t="inlineStr">
        <is>
          <t xml:space="preserve">184</t>
        </is>
      </c>
      <c r="B244" t="inlineStr">
        <is>
          <t xml:space="preserve">Съёмочное время в месяц</t>
        </is>
      </c>
      <c r="C244" t="inlineStr">
        <is>
          <t xml:space="preserve">shooting_month</t>
        </is>
      </c>
      <c r="D244" t="inlineStr">
        <is>
          <t xml:space="preserve">Проект</t>
        </is>
      </c>
      <c r="E244" t="inlineStr">
        <is>
          <t xml:space="preserve">calc</t>
        </is>
      </c>
      <c r="F244" t="inlineStr">
        <is>
          <t xml:space="preserve">ед.: ч/мес · зависит от: shooting_time, months</t>
        </is>
      </c>
      <c r="G244" t="inlineStr">
        <is>
          <t xml:space="preserve">shooting_time/months</t>
        </is>
      </c>
    </row>
    <row r="245">
      <c r="A245" t="inlineStr">
        <is>
          <t xml:space="preserve">185</t>
        </is>
      </c>
      <c r="B245" t="inlineStr">
        <is>
          <t xml:space="preserve">Съёмочное время в неделю</t>
        </is>
      </c>
      <c r="C245" t="inlineStr">
        <is>
          <t xml:space="preserve">shooting_week</t>
        </is>
      </c>
      <c r="D245" t="inlineStr">
        <is>
          <t xml:space="preserve">Проект</t>
        </is>
      </c>
      <c r="E245" t="inlineStr">
        <is>
          <t xml:space="preserve">calc</t>
        </is>
      </c>
      <c r="F245" t="inlineStr">
        <is>
          <t xml:space="preserve">ед.: ч/нед · зависит от: shooting_time, net_weeks</t>
        </is>
      </c>
      <c r="G245" t="inlineStr">
        <is>
          <t xml:space="preserve">shooting_time/net_weeks</t>
        </is>
      </c>
    </row>
    <row r="246">
      <c r="A246" t="inlineStr">
        <is>
          <t xml:space="preserve">186</t>
        </is>
      </c>
      <c r="B246" t="inlineStr">
        <is>
          <t xml:space="preserve">Постпродакшн за год</t>
        </is>
      </c>
      <c r="C246" t="inlineStr">
        <is>
          <t xml:space="preserve">post_time</t>
        </is>
      </c>
      <c r="D246" t="inlineStr">
        <is>
          <t xml:space="preserve">Проект</t>
        </is>
      </c>
      <c r="E246" t="inlineStr">
        <is>
          <t xml:space="preserve">calc</t>
        </is>
      </c>
      <c r="F246" t="inlineStr">
        <is>
          <t xml:space="preserve">Комплекс работ с отснятым материалом после завершения съёмки, направленных на его обработку, доработку и подготовку к передаче или публикации.</t>
        </is>
      </c>
      <c r="G246" t="inlineStr">
        <is>
          <t xml:space="preserve">shooting_time*post_ratio</t>
        </is>
      </c>
    </row>
    <row r="247">
      <c r="A247" t="inlineStr">
        <is>
          <t xml:space="preserve">187</t>
        </is>
      </c>
      <c r="B247" t="inlineStr">
        <is>
          <t xml:space="preserve">ПРОФИЛЬНОЕ время</t>
        </is>
      </c>
      <c r="C247" t="inlineStr">
        <is>
          <t xml:space="preserve">core_time</t>
        </is>
      </c>
      <c r="D247" t="inlineStr">
        <is>
          <t xml:space="preserve">Проект</t>
        </is>
      </c>
      <c r="E247" t="inlineStr">
        <is>
          <t xml:space="preserve">calc</t>
        </is>
      </c>
      <c r="F247" t="inlineStr">
        <is>
          <t xml:space="preserve">ед.: ч/год · зависит от: shooting_time, profile_multiplier</t>
        </is>
      </c>
      <c r="G247" t="inlineStr">
        <is>
          <t xml:space="preserve">shooting_time*profile_multiplier</t>
        </is>
      </c>
    </row>
    <row r="248">
      <c r="A248" t="inlineStr">
        <is>
          <t xml:space="preserve">188</t>
        </is>
      </c>
      <c r="B248" t="inlineStr">
        <is>
          <t xml:space="preserve">Работа с клиентом за год</t>
        </is>
      </c>
      <c r="C248" t="inlineStr">
        <is>
          <t xml:space="preserve">client_total</t>
        </is>
      </c>
      <c r="D248" t="inlineStr">
        <is>
          <t xml:space="preserve">Проект</t>
        </is>
      </c>
      <c r="E248" t="inlineStr">
        <is>
          <t xml:space="preserve">calc</t>
        </is>
      </c>
      <c r="F248" t="inlineStr">
        <is>
          <t xml:space="preserve">ед.: ч/год · зависит от: projects_year, client_time</t>
        </is>
      </c>
      <c r="G248" t="inlineStr">
        <is>
          <t xml:space="preserve">projects_year*client_time</t>
        </is>
      </c>
    </row>
    <row r="249">
      <c r="A249" t="inlineStr">
        <is>
          <t xml:space="preserve">189</t>
        </is>
      </c>
      <c r="B249" t="inlineStr">
        <is>
          <t xml:space="preserve">Операционных часов на час съёмки</t>
        </is>
      </c>
      <c r="C249" t="inlineStr">
        <is>
          <t xml:space="preserve">ops_per_shoot</t>
        </is>
      </c>
      <c r="D249" t="inlineStr">
        <is>
          <t xml:space="preserve">Проект</t>
        </is>
      </c>
      <c r="E249" t="inlineStr">
        <is>
          <t xml:space="preserve">calc</t>
        </is>
      </c>
      <c r="F249" t="inlineStr">
        <is>
          <t xml:space="preserve">ед.: ч · зависит от: side_time, shooting_time</t>
        </is>
      </c>
      <c r="G249" t="inlineStr">
        <is>
          <t xml:space="preserve">IF(shooting_time=0,0,side_time/shooting_time)</t>
        </is>
      </c>
    </row>
    <row r="250"/>
    <row r="251">
      <c r="A251" t="inlineStr">
        <is>
          <t xml:space="preserve">РАЗДЕЛ · Настройки модели</t>
        </is>
      </c>
    </row>
    <row r="252">
      <c r="A252" t="inlineStr">
        <is>
          <t xml:space="preserve">ПОДРАЗДЕЛ · D · ПЕРЕКЛЮЧАТЕЛИ — шесть точек выбора пользователя</t>
        </is>
      </c>
    </row>
    <row r="253">
      <c r="A253" t="inlineStr">
        <is>
          <t xml:space="preserve">№</t>
        </is>
      </c>
      <c r="B253" t="inlineStr">
        <is>
          <t xml:space="preserve">Наименование</t>
        </is>
      </c>
      <c r="C253" t="inlineStr">
        <is>
          <t xml:space="preserve">ID</t>
        </is>
      </c>
      <c r="D253" t="inlineStr">
        <is>
          <t xml:space="preserve">Назначение</t>
        </is>
      </c>
      <c r="E253" t="inlineStr">
        <is>
          <t xml:space="preserve">Тип</t>
        </is>
      </c>
      <c r="F253" t="inlineStr">
        <is>
          <t xml:space="preserve">Понятие</t>
        </is>
      </c>
      <c r="G253" t="inlineStr">
        <is>
          <t xml:space="preserve">Значение/формула</t>
        </is>
      </c>
      <c r="H253" t="inlineStr">
        <is>
          <t xml:space="preserve">Описание алгоритма</t>
        </is>
      </c>
    </row>
    <row r="254">
      <c r="A254" t="inlineStr">
        <is>
          <t xml:space="preserve">190</t>
        </is>
      </c>
      <c r="B254" t="inlineStr">
        <is>
          <t xml:space="preserve">Режим налогообложения</t>
        </is>
      </c>
      <c r="C254" t="inlineStr">
        <is>
          <t xml:space="preserve">regime</t>
        </is>
      </c>
      <c r="D254" t="inlineStr">
        <is>
          <t xml:space="preserve">Настройки модели</t>
        </is>
      </c>
      <c r="E254" t="inlineStr">
        <is>
          <t xml:space="preserve">switch</t>
        </is>
      </c>
      <c r="F254" t="inlineStr">
        <is>
          <t xml:space="preserve">Семь вариантов. По умолчанию НПД средняя 5%</t>
        </is>
      </c>
      <c r="G254" t="inlineStr">
        <is>
          <t xml:space="preserve">Form015 · Block4</t>
        </is>
      </c>
    </row>
    <row r="255">
      <c r="A255" t="inlineStr">
        <is>
          <t xml:space="preserve">191</t>
        </is>
      </c>
      <c r="B255" t="inlineStr">
        <is>
          <t xml:space="preserve">Час проектного времени</t>
        </is>
      </c>
      <c r="C255" t="inlineStr">
        <is>
          <t xml:space="preserve">hour_pool</t>
        </is>
      </c>
      <c r="D255" t="inlineStr">
        <is>
          <t xml:space="preserve">Настройки модели</t>
        </is>
      </c>
      <c r="E255" t="inlineStr">
        <is>
          <t xml:space="preserve">calc</t>
        </is>
      </c>
      <c r="F255" t="inlineStr">
        <is>
          <t xml:space="preserve">Выручка / проектное время. ПОСТОЯННАЯ величина: база для сетки объёмных скидок</t>
        </is>
      </c>
      <c r="G255" t="inlineStr">
        <is>
          <t xml:space="preserve">2 138 693 / 1 028,85 = 2 079 ₽</t>
        </is>
      </c>
    </row>
    <row r="256">
      <c r="A256" t="inlineStr">
        <is>
          <t xml:space="preserve">192</t>
        </is>
      </c>
      <c r="B256" t="inlineStr">
        <is>
          <t xml:space="preserve">Живу в своём</t>
        </is>
      </c>
      <c r="C256" t="inlineStr">
        <is>
          <t xml:space="preserve">own_home</t>
        </is>
      </c>
      <c r="D256" t="inlineStr">
        <is>
          <t xml:space="preserve">Настройки модели</t>
        </is>
      </c>
      <c r="E256" t="inlineStr">
        <is>
          <t xml:space="preserve">switch</t>
        </is>
      </c>
      <c r="F256" t="inlineStr">
        <is>
          <t xml:space="preserve">Если жильё своё и ипотеки нет — плата за жильё обнуляется, коммуналка остаётся</t>
        </is>
      </c>
      <c r="G256" t="inlineStr">
        <is>
          <t xml:space="preserve">Form005 · Block9</t>
        </is>
      </c>
    </row>
    <row r="257">
      <c r="A257" t="inlineStr">
        <is>
          <t xml:space="preserve">193</t>
        </is>
      </c>
      <c r="B257" t="inlineStr">
        <is>
          <t xml:space="preserve">Учёт и планирование</t>
        </is>
      </c>
      <c r="C257" t="inlineStr">
        <is>
          <t xml:space="preserve">acc_mode</t>
        </is>
      </c>
      <c r="D257" t="inlineStr">
        <is>
          <t xml:space="preserve">Настройки модели</t>
        </is>
      </c>
      <c r="E257" t="inlineStr">
        <is>
          <t xml:space="preserve">switch</t>
        </is>
      </c>
      <c r="F257" t="inlineStr">
        <is>
          <t xml:space="preserve">Систематический сбор, фиксация и анализ информации о доходах, расходах, работе и других показателях профессиональной деятельности.</t>
        </is>
      </c>
      <c r="G257" t="inlineStr">
        <is>
          <t xml:space="preserve">Form011 · Block14</t>
        </is>
      </c>
    </row>
    <row r="258">
      <c r="A258" t="inlineStr">
        <is>
          <t xml:space="preserve">194</t>
        </is>
      </c>
      <c r="B258" t="inlineStr">
        <is>
          <t xml:space="preserve">Создание сайта</t>
        </is>
      </c>
      <c r="C258" t="inlineStr">
        <is>
          <t xml:space="preserve">site_mode</t>
        </is>
      </c>
      <c r="D258" t="inlineStr">
        <is>
          <t xml:space="preserve">Настройки модели</t>
        </is>
      </c>
      <c r="E258" t="inlineStr">
        <is>
          <t xml:space="preserve">switch</t>
        </is>
      </c>
      <c r="F258" t="inlineStr">
        <is>
          <t xml:space="preserve">Нанимал — цена подрядчика. Делал сам — часы × полная ставка рабочего часа</t>
        </is>
      </c>
      <c r="G258" t="inlineStr">
        <is>
          <t xml:space="preserve">Form014 · Block12</t>
        </is>
      </c>
    </row>
    <row r="259">
      <c r="A259" t="inlineStr">
        <is>
          <t xml:space="preserve">195</t>
        </is>
      </c>
      <c r="B259" t="inlineStr">
        <is>
          <t xml:space="preserve">Период платежа</t>
        </is>
      </c>
      <c r="D259" t="inlineStr">
        <is>
          <t xml:space="preserve">Настройки модели</t>
        </is>
      </c>
      <c r="E259" t="inlineStr">
        <is>
          <t xml:space="preserve">switch</t>
        </is>
      </c>
      <c r="F259" t="inlineStr">
        <is>
          <t xml:space="preserve">Год / Квартал / Месяц. Множитель платежей в год: 1 / 4 / 12</t>
        </is>
      </c>
      <c r="G259" t="inlineStr">
        <is>
          <t xml:space="preserve">03_Каталоги, столбец «Период»</t>
        </is>
      </c>
    </row>
    <row r="260"/>
    <row r="261">
      <c r="A261" t="inlineStr">
        <is>
          <t xml:space="preserve">РАЗДЕЛ · Доход и стоимость</t>
        </is>
      </c>
    </row>
    <row r="262">
      <c r="A262" t="inlineStr">
        <is>
          <t xml:space="preserve">ПОДРАЗДЕЛ · Доход</t>
        </is>
      </c>
    </row>
    <row r="263">
      <c r="A263" t="inlineStr">
        <is>
          <t xml:space="preserve">№</t>
        </is>
      </c>
      <c r="B263" t="inlineStr">
        <is>
          <t xml:space="preserve">Наименование</t>
        </is>
      </c>
      <c r="C263" t="inlineStr">
        <is>
          <t xml:space="preserve">ID</t>
        </is>
      </c>
      <c r="D263" t="inlineStr">
        <is>
          <t xml:space="preserve">Назначение</t>
        </is>
      </c>
      <c r="E263" t="inlineStr">
        <is>
          <t xml:space="preserve">Тип</t>
        </is>
      </c>
      <c r="F263" t="inlineStr">
        <is>
          <t xml:space="preserve">Понятие</t>
        </is>
      </c>
      <c r="G263" t="inlineStr">
        <is>
          <t xml:space="preserve">Значение/формула</t>
        </is>
      </c>
      <c r="H263" t="inlineStr">
        <is>
          <t xml:space="preserve">Описание алгоритма</t>
        </is>
      </c>
    </row>
    <row r="264">
      <c r="A264" t="inlineStr">
        <is>
          <t xml:space="preserve">196</t>
        </is>
      </c>
      <c r="B264" t="inlineStr">
        <is>
          <t xml:space="preserve">Желаемый доход</t>
        </is>
      </c>
      <c r="C264" t="inlineStr">
        <is>
          <t xml:space="preserve">target_income</t>
        </is>
      </c>
      <c r="D264" t="inlineStr">
        <is>
          <t xml:space="preserve">Доход и стоимость</t>
        </is>
      </c>
      <c r="E264" t="inlineStr">
        <is>
          <t xml:space="preserve">calc</t>
        </is>
      </c>
      <c r="F264" t="inlineStr">
        <is>
          <t xml:space="preserve">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c r="G264" t="inlineStr">
        <is>
          <t xml:space="preserve">108 999 × 12 = 1 307 988 ₽</t>
        </is>
      </c>
    </row>
    <row r="265">
      <c r="A265" t="inlineStr">
        <is>
          <t xml:space="preserve">197</t>
        </is>
      </c>
      <c r="B265" t="inlineStr">
        <is>
          <t xml:space="preserve">Выручка</t>
        </is>
      </c>
      <c r="C265" t="inlineStr">
        <is>
          <t xml:space="preserve">revenue</t>
        </is>
      </c>
      <c r="D265" t="inlineStr">
        <is>
          <t xml:space="preserve">Доход и стоимость</t>
        </is>
      </c>
      <c r="E265" t="inlineStr">
        <is>
          <t xml:space="preserve">calc</t>
        </is>
      </c>
      <c r="F265" t="inlineStr">
        <is>
          <t xml:space="preserve">Общая сумма денежных средств, которую специалист получил или должен получить от продажи работ или услуг за определённый период, до вычета расходов, налогов и других затрат.</t>
        </is>
      </c>
      <c r="G265" t="inlineStr">
        <is>
          <t xml:space="preserve">04_Расчёт, строка 4</t>
        </is>
      </c>
    </row>
    <row r="266">
      <c r="A266" t="inlineStr">
        <is>
          <t xml:space="preserve">198</t>
        </is>
      </c>
      <c r="B266" t="inlineStr">
        <is>
          <t xml:space="preserve">Доход на руки</t>
        </is>
      </c>
      <c r="D266" t="inlineStr">
        <is>
          <t xml:space="preserve">Доход и стоимость</t>
        </is>
      </c>
      <c r="E266" t="inlineStr">
        <is>
          <t xml:space="preserve">понятие</t>
        </is>
      </c>
      <c r="F266" t="inlineStr">
        <is>
          <t xml:space="preserve">Сумма денежных средств, остающаяся у специалиста после вычета налогов, обязательных платежей и других предусмотренных расходов.</t>
        </is>
      </c>
    </row>
    <row r="267">
      <c r="A267" t="inlineStr">
        <is>
          <t xml:space="preserve">ПОДРАЗДЕЛ · Ставки и стоимость часа</t>
        </is>
      </c>
    </row>
    <row r="268">
      <c r="A268" t="inlineStr">
        <is>
          <t xml:space="preserve">№</t>
        </is>
      </c>
      <c r="B268" t="inlineStr">
        <is>
          <t xml:space="preserve">Наименование</t>
        </is>
      </c>
      <c r="C268" t="inlineStr">
        <is>
          <t xml:space="preserve">ID</t>
        </is>
      </c>
      <c r="D268" t="inlineStr">
        <is>
          <t xml:space="preserve">Назначение</t>
        </is>
      </c>
      <c r="E268" t="inlineStr">
        <is>
          <t xml:space="preserve">Тип</t>
        </is>
      </c>
      <c r="F268" t="inlineStr">
        <is>
          <t xml:space="preserve">Понятие</t>
        </is>
      </c>
      <c r="G268" t="inlineStr">
        <is>
          <t xml:space="preserve">Значение/формула</t>
        </is>
      </c>
      <c r="H268" t="inlineStr">
        <is>
          <t xml:space="preserve">Описание алгоритма</t>
        </is>
      </c>
    </row>
    <row r="269">
      <c r="A269" t="inlineStr">
        <is>
          <t xml:space="preserve">199</t>
        </is>
      </c>
      <c r="B269" t="inlineStr">
        <is>
          <t xml:space="preserve">Клиентская стомость часа</t>
        </is>
      </c>
      <c r="D269" t="inlineStr">
        <is>
          <t xml:space="preserve">Доход и стоимость</t>
        </is>
      </c>
    </row>
    <row r="270">
      <c r="A270" t="inlineStr">
        <is>
          <t xml:space="preserve">200</t>
        </is>
      </c>
      <c r="B270" t="inlineStr">
        <is>
          <t xml:space="preserve">Ставка часа</t>
        </is>
      </c>
      <c r="D270" t="inlineStr">
        <is>
          <t xml:space="preserve">Доход и стоимость</t>
        </is>
      </c>
    </row>
    <row r="271">
      <c r="A271" t="inlineStr">
        <is>
          <t xml:space="preserve">201</t>
        </is>
      </c>
      <c r="B271" t="inlineStr">
        <is>
          <t xml:space="preserve">Фактическая стоимость часа</t>
        </is>
      </c>
      <c r="D271" t="inlineStr">
        <is>
          <t xml:space="preserve">Доход и стоимость</t>
        </is>
      </c>
    </row>
    <row r="272">
      <c r="A272" t="inlineStr">
        <is>
          <t xml:space="preserve">202</t>
        </is>
      </c>
      <c r="B272" t="inlineStr">
        <is>
          <t xml:space="preserve">Текущая ставка</t>
        </is>
      </c>
      <c r="C272" t="inlineStr">
        <is>
          <t xml:space="preserve">current_rate</t>
        </is>
      </c>
      <c r="D272" t="inlineStr">
        <is>
          <t xml:space="preserve">Доход и стоимость</t>
        </is>
      </c>
      <c r="E272" t="inlineStr">
        <is>
          <t xml:space="preserve">default</t>
        </is>
      </c>
      <c r="F272" t="inlineStr">
        <is>
          <t xml:space="preserve">Стоимость одного часа работы специалиста, установленная им на данный момент с учётом действующих условий оказания услуг.</t>
        </is>
      </c>
      <c r="G272" t="inlineStr">
        <is>
          <t xml:space="preserve">6 000 ₽/ч</t>
        </is>
      </c>
    </row>
    <row r="273">
      <c r="A273" t="inlineStr">
        <is>
          <t xml:space="preserve">203</t>
        </is>
      </c>
      <c r="B273" t="inlineStr">
        <is>
          <t xml:space="preserve">Желаемая ставка</t>
        </is>
      </c>
      <c r="D273" t="inlineStr">
        <is>
          <t xml:space="preserve">Доход и стоимость</t>
        </is>
      </c>
      <c r="E273" t="inlineStr">
        <is>
          <t xml:space="preserve">понятие</t>
        </is>
      </c>
      <c r="F273" t="inlineStr">
        <is>
          <t xml:space="preserve">Стоимость одного часа работы, которую специалист планирует получать с учётом желаемого дохода, расходов, налогов и других обязательных платежей.</t>
        </is>
      </c>
    </row>
    <row r="274">
      <c r="A274" t="inlineStr">
        <is>
          <t xml:space="preserve">204</t>
        </is>
      </c>
      <c r="B274" t="inlineStr">
        <is>
          <t xml:space="preserve">Полная стоимость часа работы</t>
        </is>
      </c>
      <c r="D274" t="inlineStr">
        <is>
          <t xml:space="preserve">Доход и стоимость</t>
        </is>
      </c>
      <c r="E274" t="inlineStr">
        <is>
          <t xml:space="preserve">понятие</t>
        </is>
      </c>
      <c r="F274" t="inlineStr">
        <is>
          <t xml:space="preserve">Вся выручка за год, разделённая на рабочее время — рабочие дни, умноженные на восемь часов. Показывает, сколько денег приносит один час работы до вычета расходов и налогов. Нужна, чтобы видеть разницу между тем, что платят клиенты, и тем, что остаётся на руки: между этими двумя величинами лежат все расходы дела, налоги и эквайринг.</t>
        </is>
      </c>
    </row>
    <row r="275">
      <c r="A275" t="inlineStr">
        <is>
          <t xml:space="preserve">205</t>
        </is>
      </c>
      <c r="B275" t="inlineStr">
        <is>
          <t xml:space="preserve">Ставка часа съёмки (стоимость съёмочного часа)</t>
        </is>
      </c>
      <c r="D275" t="inlineStr">
        <is>
          <t xml:space="preserve">Доход и стоимость</t>
        </is>
      </c>
      <c r="E275" t="inlineStr">
        <is>
          <t xml:space="preserve">понятие</t>
        </is>
      </c>
      <c r="F275" t="inlineStr">
        <is>
          <t xml:space="preserve">Стоимость одного часа съёмочных работ, установленная специалистом с учётом его дохода, затрат, налогов, взносов и других расходов, связанных с профессиональной деятельностью.</t>
        </is>
      </c>
    </row>
    <row r="276">
      <c r="A276" t="inlineStr">
        <is>
          <t xml:space="preserve">206</t>
        </is>
      </c>
      <c r="B276" t="inlineStr">
        <is>
          <t xml:space="preserve">Стоимость клиентского часа</t>
        </is>
      </c>
      <c r="D276" t="inlineStr">
        <is>
          <t xml:space="preserve">Доход и стоимость</t>
        </is>
      </c>
      <c r="E276" t="inlineStr">
        <is>
          <t xml:space="preserve">понятие</t>
        </is>
      </c>
      <c r="F276" t="inlineStr">
        <is>
          <t xml:space="preserve">Стоимость одного часа работы специалиста для клиента. Считается так: выручка за год делится на проектное время — часы, которые остаются на выполнение заказов после вычета поиска клиентов, учёта и резерва на форс-мажоры. Нужна, чтобы самостоятельно назначать цену на услуги вне съёмки: консультации, организацию съёмки, подбор команды. Такой час выполняется вместо заказа, поэтому и стоить должен как час заказа, иначе работа выполняется в убыток.</t>
        </is>
      </c>
    </row>
    <row r="277">
      <c r="A277" t="inlineStr">
        <is>
          <t xml:space="preserve">207</t>
        </is>
      </c>
      <c r="B277" t="inlineStr">
        <is>
          <t xml:space="preserve">Фактическая стоимость часа работы</t>
        </is>
      </c>
      <c r="D277" t="inlineStr">
        <is>
          <t xml:space="preserve">Доход и стоимость</t>
        </is>
      </c>
      <c r="E277" t="inlineStr">
        <is>
          <t xml:space="preserve">понятие</t>
        </is>
      </c>
      <c r="F277" t="inlineStr">
        <is>
          <t xml:space="preserve">Сумма денежных средств, которую специалист получает за один час рабочего времени. Считается так: доход на руки за год делится на рабочее время — рабочие дни, умноженные на восемь часов. Нужна, чтобы понимать свой реальный заработок за час и сравнивать его с зарплатой наёмного сотрудника той же профессии.</t>
        </is>
      </c>
    </row>
    <row r="278">
      <c r="A278" t="inlineStr">
        <is>
          <t xml:space="preserve">ПОДРАЗДЕЛ · Себестоимость и безубыточность</t>
        </is>
      </c>
    </row>
    <row r="279">
      <c r="A279" t="inlineStr">
        <is>
          <t xml:space="preserve">№</t>
        </is>
      </c>
      <c r="B279" t="inlineStr">
        <is>
          <t xml:space="preserve">Наименование</t>
        </is>
      </c>
      <c r="C279" t="inlineStr">
        <is>
          <t xml:space="preserve">ID</t>
        </is>
      </c>
      <c r="D279" t="inlineStr">
        <is>
          <t xml:space="preserve">Назначение</t>
        </is>
      </c>
      <c r="E279" t="inlineStr">
        <is>
          <t xml:space="preserve">Тип</t>
        </is>
      </c>
      <c r="F279" t="inlineStr">
        <is>
          <t xml:space="preserve">Понятие</t>
        </is>
      </c>
      <c r="G279" t="inlineStr">
        <is>
          <t xml:space="preserve">Значение/формула</t>
        </is>
      </c>
      <c r="H279" t="inlineStr">
        <is>
          <t xml:space="preserve">Описание алгоритма</t>
        </is>
      </c>
    </row>
    <row r="280">
      <c r="A280" t="inlineStr">
        <is>
          <t xml:space="preserve">208</t>
        </is>
      </c>
      <c r="B280" t="inlineStr">
        <is>
          <t xml:space="preserve">Точка безубыточности</t>
        </is>
      </c>
      <c r="C280" t="inlineStr">
        <is>
          <t xml:space="preserve">breakeven</t>
        </is>
      </c>
      <c r="D280" t="inlineStr">
        <is>
          <t xml:space="preserve">Доход и стоимость</t>
        </is>
      </c>
      <c r="E280" t="inlineStr">
        <is>
          <t xml:space="preserve">calc</t>
        </is>
      </c>
      <c r="F280" t="inlineStr">
        <is>
          <t xml:space="preserve">Объём работы или выручки, при котором доход специалиста полностью покрывает все расходы, но ещё не формирует прибыль.</t>
        </is>
      </c>
      <c r="G280" t="inlineStr">
        <is>
          <t xml:space="preserve">подставить N = 0</t>
        </is>
      </c>
    </row>
    <row r="281">
      <c r="A281" t="inlineStr">
        <is>
          <t xml:space="preserve">209</t>
        </is>
      </c>
      <c r="B281" t="inlineStr">
        <is>
          <t xml:space="preserve">Наценка к себестоимости</t>
        </is>
      </c>
      <c r="D281" t="inlineStr">
        <is>
          <t xml:space="preserve">Доход и стоимость</t>
        </is>
      </c>
      <c r="E281" t="inlineStr">
        <is>
          <t xml:space="preserve">понятие</t>
        </is>
      </c>
      <c r="F281" t="inlineStr">
        <is>
          <t xml:space="preserve">Процентное или денежное увеличение себестоимости услуги, формирующее дополнительную сумму сверх затрат и обеспечивающее получение прибыли.</t>
        </is>
      </c>
    </row>
    <row r="282">
      <c r="A282" t="inlineStr">
        <is>
          <t xml:space="preserve">210</t>
        </is>
      </c>
      <c r="B282" t="inlineStr">
        <is>
          <t xml:space="preserve">Себестоимость часа съёмки</t>
        </is>
      </c>
      <c r="D282" t="inlineStr">
        <is>
          <t xml:space="preserve">Доход и стоимость</t>
        </is>
      </c>
      <c r="E282" t="inlineStr">
        <is>
          <t xml:space="preserve">понятие</t>
        </is>
      </c>
      <c r="F282" t="inlineStr">
        <is>
          <t xml:space="preserve">Сумма затрат, необходимых специалисту для проведения одного съёмочного часа, включая прямые и распределённые расходы, связанные с выполнением съёмочных работ.</t>
        </is>
      </c>
    </row>
    <row r="283">
      <c r="A283" t="inlineStr">
        <is>
          <t xml:space="preserve">211</t>
        </is>
      </c>
      <c r="B283" t="inlineStr">
        <is>
          <t xml:space="preserve">Ставка в ноль</t>
        </is>
      </c>
      <c r="D283" t="inlineStr">
        <is>
          <t xml:space="preserve">Доход и стоимость</t>
        </is>
      </c>
      <c r="E283" t="inlineStr">
        <is>
          <t xml:space="preserve">понятие</t>
        </is>
      </c>
      <c r="F283" t="inlineStr">
        <is>
          <t xml:space="preserve">Минимальная стоимость одного часа работы, при которой полученная выручка полностью покрывает все расходы специалиста, но не приносит ему прибыли.</t>
        </is>
      </c>
    </row>
    <row r="284">
      <c r="A284" t="inlineStr">
        <is>
          <t xml:space="preserve">ПОДРАЗДЕЛ · Прайс и цена проекта</t>
        </is>
      </c>
    </row>
    <row r="285">
      <c r="A285" t="inlineStr">
        <is>
          <t xml:space="preserve">№</t>
        </is>
      </c>
      <c r="B285" t="inlineStr">
        <is>
          <t xml:space="preserve">Наименование</t>
        </is>
      </c>
      <c r="C285" t="inlineStr">
        <is>
          <t xml:space="preserve">ID</t>
        </is>
      </c>
      <c r="D285" t="inlineStr">
        <is>
          <t xml:space="preserve">Назначение</t>
        </is>
      </c>
      <c r="E285" t="inlineStr">
        <is>
          <t xml:space="preserve">Тип</t>
        </is>
      </c>
      <c r="F285" t="inlineStr">
        <is>
          <t xml:space="preserve">Понятие</t>
        </is>
      </c>
      <c r="G285" t="inlineStr">
        <is>
          <t xml:space="preserve">Значение/формула</t>
        </is>
      </c>
      <c r="H285" t="inlineStr">
        <is>
          <t xml:space="preserve">Описание алгоритма</t>
        </is>
      </c>
    </row>
    <row r="286">
      <c r="A286" t="inlineStr">
        <is>
          <t xml:space="preserve">212</t>
        </is>
      </c>
      <c r="B286" t="inlineStr">
        <is>
          <t xml:space="preserve">Прайс</t>
        </is>
      </c>
      <c r="D286" t="inlineStr">
        <is>
          <t xml:space="preserve">Доход и стоимость</t>
        </is>
      </c>
      <c r="E286" t="inlineStr">
        <is>
          <t xml:space="preserve">понятие</t>
        </is>
      </c>
      <c r="F286" t="inlineStr">
        <is>
          <t xml:space="preserve">Перечень услуг с указанием их стоимости и, при необходимости, основных условий их предоставления.</t>
        </is>
      </c>
    </row>
    <row r="287">
      <c r="A287" t="inlineStr">
        <is>
          <t xml:space="preserve">213</t>
        </is>
      </c>
      <c r="B287" t="inlineStr">
        <is>
          <t xml:space="preserve">Средний чек съёмки</t>
        </is>
      </c>
      <c r="D287" t="inlineStr">
        <is>
          <t xml:space="preserve">Доход и стоимость</t>
        </is>
      </c>
      <c r="E287" t="inlineStr">
        <is>
          <t xml:space="preserve">понятие</t>
        </is>
      </c>
      <c r="F287" t="inlineStr">
        <is>
          <t xml:space="preserve">Средняя стоимость одной съёмки, рассчитанная на основе общей выручки от съёмок и их количества за определённый период.</t>
        </is>
      </c>
    </row>
    <row r="288">
      <c r="A288" t="inlineStr">
        <is>
          <t xml:space="preserve">ПОДРАЗДЕЛ · E · ДЕНЬГИ</t>
        </is>
      </c>
    </row>
    <row r="289">
      <c r="A289" t="inlineStr">
        <is>
          <t xml:space="preserve">№</t>
        </is>
      </c>
      <c r="B289" t="inlineStr">
        <is>
          <t xml:space="preserve">Наименование</t>
        </is>
      </c>
      <c r="C289" t="inlineStr">
        <is>
          <t xml:space="preserve">ID</t>
        </is>
      </c>
      <c r="D289" t="inlineStr">
        <is>
          <t xml:space="preserve">Назначение</t>
        </is>
      </c>
      <c r="E289" t="inlineStr">
        <is>
          <t xml:space="preserve">Тип</t>
        </is>
      </c>
      <c r="F289" t="inlineStr">
        <is>
          <t xml:space="preserve">Понятие</t>
        </is>
      </c>
      <c r="G289" t="inlineStr">
        <is>
          <t xml:space="preserve">Значение/формула</t>
        </is>
      </c>
      <c r="H289" t="inlineStr">
        <is>
          <t xml:space="preserve">Описание алгоритма</t>
        </is>
      </c>
    </row>
    <row r="290">
      <c r="A290" t="inlineStr">
        <is>
          <t xml:space="preserve">214</t>
        </is>
      </c>
      <c r="B290" t="inlineStr">
        <is>
          <t xml:space="preserve">Всего расходов</t>
        </is>
      </c>
      <c r="C290" t="inlineStr">
        <is>
          <t xml:space="preserve">total_costs</t>
        </is>
      </c>
      <c r="D290" t="inlineStr">
        <is>
          <t xml:space="preserve">Доход и стоимость</t>
        </is>
      </c>
      <c r="E290" t="inlineStr">
        <is>
          <t xml:space="preserve">calc</t>
        </is>
      </c>
      <c r="F290" t="inlineStr">
        <is>
          <t xml:space="preserve">Амортизация плюс переменные. Без эквайринга</t>
        </is>
      </c>
      <c r="G290" t="inlineStr">
        <is>
          <t xml:space="preserve">C = 786 026 ₽/год</t>
        </is>
      </c>
    </row>
    <row r="291">
      <c r="A291" t="inlineStr">
        <is>
          <t xml:space="preserve">215</t>
        </is>
      </c>
      <c r="B291" t="inlineStr">
        <is>
          <t xml:space="preserve">Переменные расходы</t>
        </is>
      </c>
      <c r="C291" t="inlineStr">
        <is>
          <t xml:space="preserve">variable_costs</t>
        </is>
      </c>
      <c r="D291" t="inlineStr">
        <is>
          <t xml:space="preserve">Доход и стоимость</t>
        </is>
      </c>
      <c r="E291" t="inlineStr">
        <is>
          <t xml:space="preserve">calc</t>
        </is>
      </c>
      <c r="F291" t="inlineStr">
        <is>
          <t xml:space="preserve">Регулярные платежи за год</t>
        </is>
      </c>
      <c r="G291" t="inlineStr">
        <is>
          <t xml:space="preserve">477 900 ₽/год</t>
        </is>
      </c>
    </row>
    <row r="292">
      <c r="A292" t="inlineStr">
        <is>
          <t xml:space="preserve">216</t>
        </is>
      </c>
      <c r="B292" t="inlineStr">
        <is>
          <t xml:space="preserve">База для выручки</t>
        </is>
      </c>
      <c r="C292" t="inlineStr">
        <is>
          <t xml:space="preserve">revenue_base</t>
        </is>
      </c>
      <c r="D292" t="inlineStr">
        <is>
          <t xml:space="preserve">Доход и стоимость</t>
        </is>
      </c>
      <c r="E292" t="inlineStr">
        <is>
          <t xml:space="preserve">calc</t>
        </is>
      </c>
      <c r="F292" t="inlineStr">
        <is>
          <t xml:space="preserve">Расходы плюс желаемый доход. Получить ПОСЛЕ всех платежей</t>
        </is>
      </c>
      <c r="G292" t="inlineStr">
        <is>
          <t xml:space="preserve">N + C = 2 094 014 ₽</t>
        </is>
      </c>
    </row>
    <row r="293">
      <c r="A293" t="inlineStr">
        <is>
          <t xml:space="preserve">ПОДРАЗДЕЛ · G · СТАВКИ ЧАСА (все на съёмочный час)</t>
        </is>
      </c>
    </row>
    <row r="294">
      <c r="A294" t="inlineStr">
        <is>
          <t xml:space="preserve">№</t>
        </is>
      </c>
      <c r="B294" t="inlineStr">
        <is>
          <t xml:space="preserve">Наименование</t>
        </is>
      </c>
      <c r="C294" t="inlineStr">
        <is>
          <t xml:space="preserve">ID</t>
        </is>
      </c>
      <c r="D294" t="inlineStr">
        <is>
          <t xml:space="preserve">Назначение</t>
        </is>
      </c>
      <c r="E294" t="inlineStr">
        <is>
          <t xml:space="preserve">Тип</t>
        </is>
      </c>
      <c r="F294" t="inlineStr">
        <is>
          <t xml:space="preserve">Понятие</t>
        </is>
      </c>
      <c r="G294" t="inlineStr">
        <is>
          <t xml:space="preserve">Значение/формула</t>
        </is>
      </c>
      <c r="H294" t="inlineStr">
        <is>
          <t xml:space="preserve">Описание алгоритма</t>
        </is>
      </c>
    </row>
    <row r="295">
      <c r="A295" t="inlineStr">
        <is>
          <t xml:space="preserve">217</t>
        </is>
      </c>
      <c r="B295" t="inlineStr">
        <is>
          <t xml:space="preserve">Наивная ставка</t>
        </is>
      </c>
      <c r="C295" t="inlineStr">
        <is>
          <t xml:space="preserve">naive_rate</t>
        </is>
      </c>
      <c r="D295" t="inlineStr">
        <is>
          <t xml:space="preserve">Доход и стоимость</t>
        </is>
      </c>
      <c r="E295" t="inlineStr">
        <is>
          <t xml:space="preserve">calc</t>
        </is>
      </c>
      <c r="F295" t="inlineStr">
        <is>
          <t xml:space="preserve">Доход / съёмочные часы. Без расходов и налогов. Демонстрация ошибки</t>
        </is>
      </c>
      <c r="G295" t="inlineStr">
        <is>
          <t xml:space="preserve">4 977 ₽/ч</t>
        </is>
      </c>
    </row>
    <row r="296">
      <c r="A296" t="inlineStr">
        <is>
          <t xml:space="preserve">218</t>
        </is>
      </c>
      <c r="B296" t="inlineStr">
        <is>
          <t xml:space="preserve">Базовая ставка</t>
        </is>
      </c>
      <c r="C296" t="inlineStr">
        <is>
          <t xml:space="preserve">base_rate</t>
        </is>
      </c>
      <c r="D296" t="inlineStr">
        <is>
          <t xml:space="preserve">Доход и стоимость</t>
        </is>
      </c>
      <c r="E296" t="inlineStr">
        <is>
          <t xml:space="preserve">calc</t>
        </is>
      </c>
      <c r="F296" t="inlineStr">
        <is>
          <t xml:space="preserve">Доход / чистое время. ТОЛЬКО личный доход, без налогов и расходов</t>
        </is>
      </c>
      <c r="G296" t="inlineStr">
        <is>
          <t xml:space="preserve">1 307 988 / 1 533 = 853 ₽/ч</t>
        </is>
      </c>
    </row>
    <row r="297">
      <c r="A297" t="inlineStr">
        <is>
          <t xml:space="preserve">219</t>
        </is>
      </c>
      <c r="B297" t="inlineStr">
        <is>
          <t xml:space="preserve">Операционная ставка</t>
        </is>
      </c>
      <c r="C297" t="inlineStr">
        <is>
          <t xml:space="preserve">ops_rate</t>
        </is>
      </c>
      <c r="D297" t="inlineStr">
        <is>
          <t xml:space="preserve">Доход и стоимость</t>
        </is>
      </c>
      <c r="E297" t="inlineStr">
        <is>
          <t xml:space="preserve">calc</t>
        </is>
      </c>
      <c r="F297" t="inlineStr">
        <is>
          <t xml:space="preserve">Покрывает доход и расходы, но БЕЗ налога</t>
        </is>
      </c>
      <c r="G297" t="inlineStr">
        <is>
          <t xml:space="preserve">(N+C) / 261,41 = 8 011 ₽/ч</t>
        </is>
      </c>
    </row>
    <row r="298">
      <c r="A298" t="inlineStr">
        <is>
          <t xml:space="preserve">220</t>
        </is>
      </c>
      <c r="B298" t="inlineStr">
        <is>
          <t xml:space="preserve">ПОЛНАЯ ставка</t>
        </is>
      </c>
      <c r="C298" t="inlineStr">
        <is>
          <t xml:space="preserve">real_rate</t>
        </is>
      </c>
      <c r="D298" t="inlineStr">
        <is>
          <t xml:space="preserve">Доход и стоимость</t>
        </is>
      </c>
      <c r="E298" t="inlineStr">
        <is>
          <t xml:space="preserve">calc</t>
        </is>
      </c>
      <c r="F298" t="inlineStr">
        <is>
          <t xml:space="preserve">Покрывает доход, расходы, налог и эквайринг. ЦЕНА ДЛЯ КЛИЕНТА</t>
        </is>
      </c>
      <c r="G298" t="inlineStr">
        <is>
          <t xml:space="preserve">05_Итог, строка 5</t>
        </is>
      </c>
    </row>
    <row r="299">
      <c r="A299" t="inlineStr">
        <is>
          <t xml:space="preserve">ПОДРАЗДЕЛ · 4 · Доход</t>
        </is>
      </c>
    </row>
    <row r="300">
      <c r="A300" t="inlineStr">
        <is>
          <t xml:space="preserve">№</t>
        </is>
      </c>
      <c r="B300" t="inlineStr">
        <is>
          <t xml:space="preserve">Наименование</t>
        </is>
      </c>
      <c r="C300" t="inlineStr">
        <is>
          <t xml:space="preserve">ID</t>
        </is>
      </c>
      <c r="D300" t="inlineStr">
        <is>
          <t xml:space="preserve">Назначение</t>
        </is>
      </c>
      <c r="E300" t="inlineStr">
        <is>
          <t xml:space="preserve">Тип</t>
        </is>
      </c>
      <c r="F300" t="inlineStr">
        <is>
          <t xml:space="preserve">Понятие</t>
        </is>
      </c>
      <c r="G300" t="inlineStr">
        <is>
          <t xml:space="preserve">Значение/формула</t>
        </is>
      </c>
      <c r="H300" t="inlineStr">
        <is>
          <t xml:space="preserve">Описание алгоритма</t>
        </is>
      </c>
    </row>
    <row r="301">
      <c r="A301" t="inlineStr">
        <is>
          <t xml:space="preserve">221</t>
        </is>
      </c>
      <c r="B301" t="inlineStr">
        <is>
          <t xml:space="preserve">Желаемый доход на руки</t>
        </is>
      </c>
      <c r="C301" t="inlineStr">
        <is>
          <t xml:space="preserve">income_month</t>
        </is>
      </c>
      <c r="D301" t="inlineStr">
        <is>
          <t xml:space="preserve">Доход и стоимость</t>
        </is>
      </c>
      <c r="E301" t="inlineStr">
        <is>
          <t xml:space="preserve">default</t>
        </is>
      </c>
      <c r="F301" t="inlineStr">
        <is>
          <t xml:space="preserve">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c r="G301" t="inlineStr">
        <is>
          <t xml:space="preserve">108999</t>
        </is>
      </c>
    </row>
    <row r="302">
      <c r="A302" t="inlineStr">
        <is>
          <t xml:space="preserve">222</t>
        </is>
      </c>
      <c r="B302" t="inlineStr">
        <is>
          <t xml:space="preserve">Желаемый доход за год</t>
        </is>
      </c>
      <c r="C302" t="inlineStr">
        <is>
          <t xml:space="preserve">target_income</t>
        </is>
      </c>
      <c r="D302" t="inlineStr">
        <is>
          <t xml:space="preserve">Доход и стоимость</t>
        </is>
      </c>
      <c r="E302" t="inlineStr">
        <is>
          <t xml:space="preserve">calc</t>
        </is>
      </c>
      <c r="F302" t="inlineStr">
        <is>
          <t xml:space="preserve">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c r="G302" t="inlineStr">
        <is>
          <t xml:space="preserve">income_month*months</t>
        </is>
      </c>
    </row>
    <row r="303">
      <c r="A303" t="inlineStr">
        <is>
          <t xml:space="preserve">223</t>
        </is>
      </c>
      <c r="B303" t="inlineStr">
        <is>
          <t xml:space="preserve">Текущая ставка часа</t>
        </is>
      </c>
      <c r="C303" t="inlineStr">
        <is>
          <t xml:space="preserve">current_rate</t>
        </is>
      </c>
      <c r="D303" t="inlineStr">
        <is>
          <t xml:space="preserve">Доход и стоимость</t>
        </is>
      </c>
      <c r="E303" t="inlineStr">
        <is>
          <t xml:space="preserve">default</t>
        </is>
      </c>
      <c r="F303" t="inlineStr">
        <is>
          <t xml:space="preserve">Стоимость одного часа работы специалиста, установленная им на данный момент с учётом действующих условий оказания услуг.</t>
        </is>
      </c>
      <c r="G303" t="inlineStr">
        <is>
          <t xml:space="preserve">6000</t>
        </is>
      </c>
    </row>
    <row r="304">
      <c r="A304" t="inlineStr">
        <is>
          <t xml:space="preserve">ПОДРАЗДЕЛ · 9 · Справочные ставки</t>
        </is>
      </c>
    </row>
    <row r="305">
      <c r="A305" t="inlineStr">
        <is>
          <t xml:space="preserve">№</t>
        </is>
      </c>
      <c r="B305" t="inlineStr">
        <is>
          <t xml:space="preserve">Наименование</t>
        </is>
      </c>
      <c r="C305" t="inlineStr">
        <is>
          <t xml:space="preserve">ID</t>
        </is>
      </c>
      <c r="D305" t="inlineStr">
        <is>
          <t xml:space="preserve">Назначение</t>
        </is>
      </c>
      <c r="E305" t="inlineStr">
        <is>
          <t xml:space="preserve">Тип</t>
        </is>
      </c>
      <c r="F305" t="inlineStr">
        <is>
          <t xml:space="preserve">Понятие</t>
        </is>
      </c>
      <c r="G305" t="inlineStr">
        <is>
          <t xml:space="preserve">Значение/формула</t>
        </is>
      </c>
      <c r="H305" t="inlineStr">
        <is>
          <t xml:space="preserve">Описание алгоритма</t>
        </is>
      </c>
    </row>
    <row r="306">
      <c r="A306" t="inlineStr">
        <is>
          <t xml:space="preserve">224</t>
        </is>
      </c>
      <c r="B306" t="inlineStr">
        <is>
          <t xml:space="preserve">Наивная ставка</t>
        </is>
      </c>
      <c r="C306" t="inlineStr">
        <is>
          <t xml:space="preserve">naive_rate</t>
        </is>
      </c>
      <c r="D306" t="inlineStr">
        <is>
          <t xml:space="preserve">Доход и стоимость</t>
        </is>
      </c>
      <c r="E306" t="inlineStr">
        <is>
          <t xml:space="preserve">calc</t>
        </is>
      </c>
      <c r="F306" t="inlineStr">
        <is>
          <t xml:space="preserve">ед.: ₽/ч · зависит от: target_income, shooting_time</t>
        </is>
      </c>
      <c r="G306" t="inlineStr">
        <is>
          <t xml:space="preserve">IF(shooting_time=0,0,target_income/shooting_time)</t>
        </is>
      </c>
    </row>
    <row r="307">
      <c r="A307" t="inlineStr">
        <is>
          <t xml:space="preserve">225</t>
        </is>
      </c>
      <c r="B307" t="inlineStr">
        <is>
          <t xml:space="preserve">Базовая ставка часа</t>
        </is>
      </c>
      <c r="C307" t="inlineStr">
        <is>
          <t xml:space="preserve">base_rate</t>
        </is>
      </c>
      <c r="D307" t="inlineStr">
        <is>
          <t xml:space="preserve">Доход и стоимость</t>
        </is>
      </c>
      <c r="E307" t="inlineStr">
        <is>
          <t xml:space="preserve">calc</t>
        </is>
      </c>
      <c r="F307" t="inlineStr">
        <is>
          <t xml:space="preserve">ед.: ₽/ч · зависит от: target_income, net_time</t>
        </is>
      </c>
      <c r="G307" t="inlineStr">
        <is>
          <t xml:space="preserve">target_income/net_time</t>
        </is>
      </c>
    </row>
    <row r="308">
      <c r="A308" t="inlineStr">
        <is>
          <t xml:space="preserve">226</t>
        </is>
      </c>
      <c r="B308" t="inlineStr">
        <is>
          <t xml:space="preserve">Операционная ставка часа</t>
        </is>
      </c>
      <c r="C308" t="inlineStr">
        <is>
          <t xml:space="preserve">ops_rate</t>
        </is>
      </c>
      <c r="D308" t="inlineStr">
        <is>
          <t xml:space="preserve">Доход и стоимость</t>
        </is>
      </c>
      <c r="E308" t="inlineStr">
        <is>
          <t xml:space="preserve">calc</t>
        </is>
      </c>
      <c r="F308" t="inlineStr">
        <is>
          <t xml:space="preserve">ед.: ₽/ч · зависит от: revenue_base, shooting_time</t>
        </is>
      </c>
      <c r="G308" t="inlineStr">
        <is>
          <t xml:space="preserve">IF(shooting_time=0,0,revenue_base/shooting_time)</t>
        </is>
      </c>
    </row>
    <row r="309">
      <c r="A309" t="inlineStr">
        <is>
          <t xml:space="preserve">227</t>
        </is>
      </c>
      <c r="B309" t="inlineStr">
        <is>
          <t xml:space="preserve">ПОЛНАЯ ставка рабочего часа</t>
        </is>
      </c>
      <c r="C309" t="inlineStr">
        <is>
          <t xml:space="preserve">full_hour_rate</t>
        </is>
      </c>
      <c r="D309" t="inlineStr">
        <is>
          <t xml:space="preserve">Доход и стоимость</t>
        </is>
      </c>
      <c r="E309" t="inlineStr">
        <is>
          <t xml:space="preserve">calc</t>
        </is>
      </c>
      <c r="F309" t="inlineStr">
        <is>
          <t xml:space="preserve">ед.: ₽/ч · зависит от: выручка, net_time</t>
        </is>
      </c>
      <c r="G309" t="inlineStr">
        <is>
          <t xml:space="preserve">IF(net_time=0,0,CHOOSE(regime_no,'05_Расчёт'!B4,'05_Расчёт'!C4,'05_Расчёт'!D4,'05_Расчёт'!E4,'05_Расчёт'!F4,'05_Расчёт'!G4,'05_Расчёт'!H4)/net_time)</t>
        </is>
      </c>
    </row>
    <row r="310">
      <c r="A310" t="inlineStr">
        <is>
          <t xml:space="preserve">228</t>
        </is>
      </c>
      <c r="B310" t="inlineStr">
        <is>
          <t xml:space="preserve">Сайт · оценка своего труда</t>
        </is>
      </c>
      <c r="C310" t="inlineStr">
        <is>
          <t xml:space="preserve">site_value</t>
        </is>
      </c>
      <c r="D310" t="inlineStr">
        <is>
          <t xml:space="preserve">Доход и стоимость</t>
        </is>
      </c>
      <c r="E310" t="inlineStr">
        <is>
          <t xml:space="preserve">calc</t>
        </is>
      </c>
      <c r="F310"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10" t="inlineStr">
        <is>
          <t xml:space="preserve">IF(site_mode="Нанимал (а) специалиста",site_cost,site_hours*full_hour_rate)</t>
        </is>
      </c>
    </row>
    <row r="311"/>
    <row r="312">
      <c r="A312" t="inlineStr">
        <is>
          <t xml:space="preserve">РАЗДЕЛ · Вложения и инвестиции</t>
        </is>
      </c>
    </row>
    <row r="313">
      <c r="A313" t="inlineStr">
        <is>
          <t xml:space="preserve">ПОДРАЗДЕЛ · Оборудование и рабочее место</t>
        </is>
      </c>
    </row>
    <row r="314">
      <c r="A314" t="inlineStr">
        <is>
          <t xml:space="preserve">№</t>
        </is>
      </c>
      <c r="B314" t="inlineStr">
        <is>
          <t xml:space="preserve">Наименование</t>
        </is>
      </c>
      <c r="C314" t="inlineStr">
        <is>
          <t xml:space="preserve">ID</t>
        </is>
      </c>
      <c r="D314" t="inlineStr">
        <is>
          <t xml:space="preserve">Назначение</t>
        </is>
      </c>
      <c r="E314" t="inlineStr">
        <is>
          <t xml:space="preserve">Тип</t>
        </is>
      </c>
      <c r="F314" t="inlineStr">
        <is>
          <t xml:space="preserve">Понятие</t>
        </is>
      </c>
      <c r="G314" t="inlineStr">
        <is>
          <t xml:space="preserve">Значение/формула</t>
        </is>
      </c>
      <c r="H314" t="inlineStr">
        <is>
          <t xml:space="preserve">Описание алгоритма</t>
        </is>
      </c>
    </row>
    <row r="315">
      <c r="A315" t="inlineStr">
        <is>
          <t xml:space="preserve">229</t>
        </is>
      </c>
      <c r="B315" t="inlineStr">
        <is>
          <t xml:space="preserve">Обустройство рабочего места</t>
        </is>
      </c>
      <c r="D315" t="inlineStr">
        <is>
          <t xml:space="preserve">Вложения и инвестиции</t>
        </is>
      </c>
      <c r="E315" t="inlineStr">
        <is>
          <t xml:space="preserve">понятие</t>
        </is>
      </c>
      <c r="F315" t="inlineStr">
        <is>
          <t xml:space="preserve">Затраты на создание и оснащение пространства, необходимого специалисту для выполнения профессиональной деятельности.</t>
        </is>
      </c>
    </row>
    <row r="316">
      <c r="A316" t="inlineStr">
        <is>
          <t xml:space="preserve">230</t>
        </is>
      </c>
      <c r="B316" t="inlineStr">
        <is>
          <t xml:space="preserve">Офисное оборудование</t>
        </is>
      </c>
      <c r="D316" t="inlineStr">
        <is>
          <t xml:space="preserve">Вложения и инвестиции</t>
        </is>
      </c>
      <c r="E316" t="inlineStr">
        <is>
          <t xml:space="preserve">понятие</t>
        </is>
      </c>
      <c r="F316" t="inlineStr">
        <is>
          <t xml:space="preserve">Оборудование и технические средства, используемые для организации рабочего процесса, выполнения административных задач и обеспечения повседневной деятельности специалиста.</t>
        </is>
      </c>
    </row>
    <row r="317">
      <c r="A317" t="inlineStr">
        <is>
          <t xml:space="preserve">231</t>
        </is>
      </c>
      <c r="B317" t="inlineStr">
        <is>
          <t xml:space="preserve">Съёмочное оборудование</t>
        </is>
      </c>
      <c r="D317" t="inlineStr">
        <is>
          <t xml:space="preserve">Вложения и инвестиции</t>
        </is>
      </c>
      <c r="E317" t="inlineStr">
        <is>
          <t xml:space="preserve">понятие</t>
        </is>
      </c>
      <c r="F317" t="inlineStr">
        <is>
          <t xml:space="preserve">Неизменный рабочий комплект оборудования, который фотограф использует на каждой съёмке и без которого проведение съёмочного процесса невозможно или существенно затруднено. Узкоспециализированное оборудование для разовых или нестандартных проектов в основной комплект не входит и учитывается отдельно в зависимости от конкретных задач.</t>
        </is>
      </c>
    </row>
    <row r="318">
      <c r="A318" t="inlineStr">
        <is>
          <t xml:space="preserve">ПОДРАЗДЕЛ · Износ и ресурс</t>
        </is>
      </c>
    </row>
    <row r="319">
      <c r="A319" t="inlineStr">
        <is>
          <t xml:space="preserve">№</t>
        </is>
      </c>
      <c r="B319" t="inlineStr">
        <is>
          <t xml:space="preserve">Наименование</t>
        </is>
      </c>
      <c r="C319" t="inlineStr">
        <is>
          <t xml:space="preserve">ID</t>
        </is>
      </c>
      <c r="D319" t="inlineStr">
        <is>
          <t xml:space="preserve">Назначение</t>
        </is>
      </c>
      <c r="E319" t="inlineStr">
        <is>
          <t xml:space="preserve">Тип</t>
        </is>
      </c>
      <c r="F319" t="inlineStr">
        <is>
          <t xml:space="preserve">Понятие</t>
        </is>
      </c>
      <c r="G319" t="inlineStr">
        <is>
          <t xml:space="preserve">Значение/формула</t>
        </is>
      </c>
      <c r="H319" t="inlineStr">
        <is>
          <t xml:space="preserve">Описание алгоритма</t>
        </is>
      </c>
    </row>
    <row r="320">
      <c r="A320" t="inlineStr">
        <is>
          <t xml:space="preserve">232</t>
        </is>
      </c>
      <c r="B320" t="inlineStr">
        <is>
          <t xml:space="preserve">Выработка ресурса</t>
        </is>
      </c>
      <c r="D320" t="inlineStr">
        <is>
          <t xml:space="preserve">Вложения и инвестиции</t>
        </is>
      </c>
      <c r="E320" t="inlineStr">
        <is>
          <t xml:space="preserve">понятие</t>
        </is>
      </c>
      <c r="F320" t="inlineStr">
        <is>
          <t xml:space="preserve">Использование установленного ресурса оборудования, выраженное в количестве предусмотренных производителем операций или циклов работы.</t>
        </is>
      </c>
    </row>
    <row r="321">
      <c r="A321" t="inlineStr">
        <is>
          <t xml:space="preserve">233</t>
        </is>
      </c>
      <c r="B321" t="inlineStr">
        <is>
          <t xml:space="preserve">Износ камеры</t>
        </is>
      </c>
      <c r="D321" t="inlineStr">
        <is>
          <t xml:space="preserve">Вложения и инвестиции</t>
        </is>
      </c>
      <c r="E321" t="inlineStr">
        <is>
          <t xml:space="preserve">понятие</t>
        </is>
      </c>
      <c r="F321" t="inlineStr">
        <is>
          <t xml:space="preserve">Степень физического и эксплуатационного старения камеры в результате её использования, выраженная в снижении остаточного ресурса и необходимости последующей замены или ремонта.</t>
        </is>
      </c>
    </row>
    <row r="322">
      <c r="A322" t="inlineStr">
        <is>
          <t xml:space="preserve">234</t>
        </is>
      </c>
      <c r="B322" t="inlineStr">
        <is>
          <t xml:space="preserve">Остаток ресурса</t>
        </is>
      </c>
      <c r="D322" t="inlineStr">
        <is>
          <t xml:space="preserve">Вложения и инвестиции</t>
        </is>
      </c>
      <c r="E322" t="inlineStr">
        <is>
          <t xml:space="preserve">понятие</t>
        </is>
      </c>
      <c r="F322" t="inlineStr">
        <is>
          <t xml:space="preserve">Неиспользованная часть рабочего ресурса оборудования, которую специалист может использовать до достижения установленного срока службы или предельного количества операций.</t>
        </is>
      </c>
    </row>
    <row r="323">
      <c r="A323" t="inlineStr">
        <is>
          <t xml:space="preserve">235</t>
        </is>
      </c>
      <c r="B323" t="inlineStr">
        <is>
          <t xml:space="preserve">Ресурс затвора</t>
        </is>
      </c>
      <c r="D323" t="inlineStr">
        <is>
          <t xml:space="preserve">Вложения и инвестиции</t>
        </is>
      </c>
      <c r="E323" t="inlineStr">
        <is>
          <t xml:space="preserve">понятие</t>
        </is>
      </c>
      <c r="F323" t="inlineStr">
        <is>
          <t xml:space="preserve">Расчётное количество срабатываний затвора камеры, которое предусмотрено производителем до достижения установленного уровня его эксплуатационного ресурса.</t>
        </is>
      </c>
    </row>
    <row r="324">
      <c r="A324" t="inlineStr">
        <is>
          <t xml:space="preserve">236</t>
        </is>
      </c>
      <c r="B324" t="inlineStr">
        <is>
          <t xml:space="preserve">Срабатывание затвора</t>
        </is>
      </c>
      <c r="D324" t="inlineStr">
        <is>
          <t xml:space="preserve">Вложения и инвестиции</t>
        </is>
      </c>
      <c r="E324" t="inlineStr">
        <is>
          <t xml:space="preserve">понятие</t>
        </is>
      </c>
      <c r="F324" t="inlineStr">
        <is>
          <t xml:space="preserve">Однократный цикл работы затвора камеры, происходящий при создании снимка и учитываемый при определении выработки ресурса затвора.</t>
        </is>
      </c>
    </row>
    <row r="325">
      <c r="A325" t="inlineStr">
        <is>
          <t xml:space="preserve">ПОДРАЗДЕЛ · 5 · Рабочее место</t>
        </is>
      </c>
    </row>
    <row r="326">
      <c r="A326" t="inlineStr">
        <is>
          <t xml:space="preserve">№</t>
        </is>
      </c>
      <c r="B326" t="inlineStr">
        <is>
          <t xml:space="preserve">Наименование</t>
        </is>
      </c>
      <c r="C326" t="inlineStr">
        <is>
          <t xml:space="preserve">ID</t>
        </is>
      </c>
      <c r="D326" t="inlineStr">
        <is>
          <t xml:space="preserve">Назначение</t>
        </is>
      </c>
      <c r="E326" t="inlineStr">
        <is>
          <t xml:space="preserve">Тип</t>
        </is>
      </c>
      <c r="F326" t="inlineStr">
        <is>
          <t xml:space="preserve">Понятие</t>
        </is>
      </c>
      <c r="G326" t="inlineStr">
        <is>
          <t xml:space="preserve">Значение/формула</t>
        </is>
      </c>
      <c r="H326" t="inlineStr">
        <is>
          <t xml:space="preserve">Описание алгоритма</t>
        </is>
      </c>
    </row>
    <row r="327">
      <c r="A327" t="inlineStr">
        <is>
          <t xml:space="preserve">237</t>
        </is>
      </c>
      <c r="B327" t="inlineStr">
        <is>
          <t xml:space="preserve">ПЕРЕКЛЮЧАТЕЛЬ · рабочее место</t>
        </is>
      </c>
      <c r="C327" t="inlineStr">
        <is>
          <t xml:space="preserve">ws_mode</t>
        </is>
      </c>
      <c r="D327" t="inlineStr">
        <is>
          <t xml:space="preserve">Вложения и инвестиции</t>
        </is>
      </c>
      <c r="E327" t="inlineStr">
        <is>
          <t xml:space="preserve">switch</t>
        </is>
      </c>
      <c r="G327" t="inlineStr">
        <is>
          <t xml:space="preserve">Работаю из дома</t>
        </is>
      </c>
    </row>
    <row r="328">
      <c r="A328" t="inlineStr">
        <is>
          <t xml:space="preserve">238</t>
        </is>
      </c>
      <c r="B328" t="inlineStr">
        <is>
          <t xml:space="preserve">ДОМА · живу в своём, ипотеки нет</t>
        </is>
      </c>
      <c r="C328" t="inlineStr">
        <is>
          <t xml:space="preserve">own_home</t>
        </is>
      </c>
      <c r="D328" t="inlineStr">
        <is>
          <t xml:space="preserve">Вложения и инвестиции</t>
        </is>
      </c>
      <c r="E328" t="inlineStr">
        <is>
          <t xml:space="preserve">switch</t>
        </is>
      </c>
      <c r="G328" t="inlineStr">
        <is>
          <t xml:space="preserve">нет</t>
        </is>
      </c>
    </row>
    <row r="329">
      <c r="A329" t="inlineStr">
        <is>
          <t xml:space="preserve">239</t>
        </is>
      </c>
      <c r="B329" t="inlineStr">
        <is>
          <t xml:space="preserve">ДОМА · общая площадь жилья</t>
        </is>
      </c>
      <c r="C329" t="inlineStr">
        <is>
          <t xml:space="preserve">home_area</t>
        </is>
      </c>
      <c r="D329" t="inlineStr">
        <is>
          <t xml:space="preserve">Вложения и инвестиции</t>
        </is>
      </c>
      <c r="E329" t="inlineStr">
        <is>
          <t xml:space="preserve">default</t>
        </is>
      </c>
      <c r="F329" t="inlineStr">
        <is>
          <t xml:space="preserve">ед.: м²</t>
        </is>
      </c>
      <c r="G329" t="inlineStr">
        <is>
          <t xml:space="preserve">50</t>
        </is>
      </c>
    </row>
    <row r="330">
      <c r="A330" t="inlineStr">
        <is>
          <t xml:space="preserve">240</t>
        </is>
      </c>
      <c r="B330" t="inlineStr">
        <is>
          <t xml:space="preserve">ДОМА · площадь под кабинет</t>
        </is>
      </c>
      <c r="C330" t="inlineStr">
        <is>
          <t xml:space="preserve">cab_area</t>
        </is>
      </c>
      <c r="D330" t="inlineStr">
        <is>
          <t xml:space="preserve">Вложения и инвестиции</t>
        </is>
      </c>
      <c r="E330" t="inlineStr">
        <is>
          <t xml:space="preserve">default</t>
        </is>
      </c>
      <c r="F330" t="inlineStr">
        <is>
          <t xml:space="preserve">ед.: м²</t>
        </is>
      </c>
      <c r="G330" t="inlineStr">
        <is>
          <t xml:space="preserve">6</t>
        </is>
      </c>
    </row>
    <row r="331">
      <c r="A331" t="inlineStr">
        <is>
          <t xml:space="preserve">241</t>
        </is>
      </c>
      <c r="B331" t="inlineStr">
        <is>
          <t xml:space="preserve">ДОМА · доля кабинета</t>
        </is>
      </c>
      <c r="C331" t="inlineStr">
        <is>
          <t xml:space="preserve">cab_share</t>
        </is>
      </c>
      <c r="D331" t="inlineStr">
        <is>
          <t xml:space="preserve">Вложения и инвестиции</t>
        </is>
      </c>
      <c r="E331" t="inlineStr">
        <is>
          <t xml:space="preserve">calc</t>
        </is>
      </c>
      <c r="F331" t="inlineStr">
        <is>
          <t xml:space="preserve">ед.: % · зависит от: cab_area, home_area</t>
        </is>
      </c>
      <c r="G331" t="inlineStr">
        <is>
          <t xml:space="preserve">IF(home_area=0,0,cab_area/home_area)</t>
        </is>
      </c>
    </row>
    <row r="332">
      <c r="A332" t="inlineStr">
        <is>
          <t xml:space="preserve">ПОДРАЗДЕЛ · 6 · Обучение и сайт</t>
        </is>
      </c>
    </row>
    <row r="333">
      <c r="A333" t="inlineStr">
        <is>
          <t xml:space="preserve">№</t>
        </is>
      </c>
      <c r="B333" t="inlineStr">
        <is>
          <t xml:space="preserve">Наименование</t>
        </is>
      </c>
      <c r="C333" t="inlineStr">
        <is>
          <t xml:space="preserve">ID</t>
        </is>
      </c>
      <c r="D333" t="inlineStr">
        <is>
          <t xml:space="preserve">Назначение</t>
        </is>
      </c>
      <c r="E333" t="inlineStr">
        <is>
          <t xml:space="preserve">Тип</t>
        </is>
      </c>
      <c r="F333" t="inlineStr">
        <is>
          <t xml:space="preserve">Понятие</t>
        </is>
      </c>
      <c r="G333" t="inlineStr">
        <is>
          <t xml:space="preserve">Значение/формула</t>
        </is>
      </c>
      <c r="H333" t="inlineStr">
        <is>
          <t xml:space="preserve">Описание алгоритма</t>
        </is>
      </c>
    </row>
    <row r="334">
      <c r="A334" t="inlineStr">
        <is>
          <t xml:space="preserve">242</t>
        </is>
      </c>
      <c r="B334" t="inlineStr">
        <is>
          <t xml:space="preserve">Обучение · стоимость курса</t>
        </is>
      </c>
      <c r="C334" t="inlineStr">
        <is>
          <t xml:space="preserve">edu_cost</t>
        </is>
      </c>
      <c r="D334" t="inlineStr">
        <is>
          <t xml:space="preserve">Вложения и инвестиции</t>
        </is>
      </c>
      <c r="E334" t="inlineStr">
        <is>
          <t xml:space="preserve">default</t>
        </is>
      </c>
      <c r="F334"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c r="G334" t="inlineStr">
        <is>
          <t xml:space="preserve">80000</t>
        </is>
      </c>
    </row>
    <row r="335">
      <c r="A335" t="inlineStr">
        <is>
          <t xml:space="preserve">243</t>
        </is>
      </c>
      <c r="B335" t="inlineStr">
        <is>
          <t xml:space="preserve">Обучение · месяцев без дохода</t>
        </is>
      </c>
      <c r="C335" t="inlineStr">
        <is>
          <t xml:space="preserve">edu_months</t>
        </is>
      </c>
      <c r="D335" t="inlineStr">
        <is>
          <t xml:space="preserve">Вложения и инвестиции</t>
        </is>
      </c>
      <c r="E335" t="inlineStr">
        <is>
          <t xml:space="preserve">default</t>
        </is>
      </c>
      <c r="F335"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c r="G335" t="inlineStr">
        <is>
          <t xml:space="preserve">4</t>
        </is>
      </c>
    </row>
    <row r="336">
      <c r="A336" t="inlineStr">
        <is>
          <t xml:space="preserve">244</t>
        </is>
      </c>
      <c r="B336" t="inlineStr">
        <is>
          <t xml:space="preserve">Обучение · срок амортизации</t>
        </is>
      </c>
      <c r="C336" t="inlineStr">
        <is>
          <t xml:space="preserve">edu_life</t>
        </is>
      </c>
      <c r="D336" t="inlineStr">
        <is>
          <t xml:space="preserve">Вложения и инвестиции</t>
        </is>
      </c>
      <c r="E336" t="inlineStr">
        <is>
          <t xml:space="preserve">default</t>
        </is>
      </c>
      <c r="F336"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c r="G336" t="inlineStr">
        <is>
          <t xml:space="preserve">7</t>
        </is>
      </c>
    </row>
    <row r="337">
      <c r="A337" t="inlineStr">
        <is>
          <t xml:space="preserve">245</t>
        </is>
      </c>
      <c r="B337" t="inlineStr">
        <is>
          <t xml:space="preserve">Обучение · упущенная выгода</t>
        </is>
      </c>
      <c r="C337" t="inlineStr">
        <is>
          <t xml:space="preserve">edu_opportunity</t>
        </is>
      </c>
      <c r="D337" t="inlineStr">
        <is>
          <t xml:space="preserve">Вложения и инвестиции</t>
        </is>
      </c>
      <c r="E337" t="inlineStr">
        <is>
          <t xml:space="preserve">calc</t>
        </is>
      </c>
      <c r="F337"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c r="G337" t="inlineStr">
        <is>
          <t xml:space="preserve">edu_months*income_month</t>
        </is>
      </c>
    </row>
    <row r="338">
      <c r="A338" t="inlineStr">
        <is>
          <t xml:space="preserve">246</t>
        </is>
      </c>
      <c r="B338" t="inlineStr">
        <is>
          <t xml:space="preserve">Амортизация · обучение</t>
        </is>
      </c>
      <c r="C338" t="inlineStr">
        <is>
          <t xml:space="preserve">dep_education</t>
        </is>
      </c>
      <c r="D338" t="inlineStr">
        <is>
          <t xml:space="preserve">Вложения и инвестиции</t>
        </is>
      </c>
      <c r="E338" t="inlineStr">
        <is>
          <t xml:space="preserve">calc</t>
        </is>
      </c>
      <c r="F338" t="inlineStr">
        <is>
          <t xml:space="preserve">Постепенное включение стоимости имущества в расходы бизнеса по мере его использования и износа.</t>
        </is>
      </c>
      <c r="G338" t="inlineStr">
        <is>
          <t xml:space="preserve">IF(edu_life=0,0,(edu_cost+edu_opportunity)/edu_life)</t>
        </is>
      </c>
    </row>
    <row r="339">
      <c r="A339" t="inlineStr">
        <is>
          <t xml:space="preserve">247</t>
        </is>
      </c>
      <c r="B339" t="inlineStr">
        <is>
          <t xml:space="preserve">ПЕРЕКЛЮЧАТЕЛЬ · создание сайта</t>
        </is>
      </c>
      <c r="C339" t="inlineStr">
        <is>
          <t xml:space="preserve">site_mode</t>
        </is>
      </c>
      <c r="D339" t="inlineStr">
        <is>
          <t xml:space="preserve">Вложения и инвестиции</t>
        </is>
      </c>
      <c r="E339" t="inlineStr">
        <is>
          <t xml:space="preserve">switch</t>
        </is>
      </c>
      <c r="G339" t="inlineStr">
        <is>
          <t xml:space="preserve">Нанимал (а) специалиста</t>
        </is>
      </c>
    </row>
    <row r="340">
      <c r="A340" t="inlineStr">
        <is>
          <t xml:space="preserve">248</t>
        </is>
      </c>
      <c r="B340" t="inlineStr">
        <is>
          <t xml:space="preserve">Сайт · стоимость подрядчика</t>
        </is>
      </c>
      <c r="C340" t="inlineStr">
        <is>
          <t xml:space="preserve">site_cost</t>
        </is>
      </c>
      <c r="D340" t="inlineStr">
        <is>
          <t xml:space="preserve">Вложения и инвестиции</t>
        </is>
      </c>
      <c r="E340" t="inlineStr">
        <is>
          <t xml:space="preserve">default</t>
        </is>
      </c>
      <c r="F340"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40" t="inlineStr">
        <is>
          <t xml:space="preserve">70000</t>
        </is>
      </c>
    </row>
    <row r="341">
      <c r="A341" t="inlineStr">
        <is>
          <t xml:space="preserve">249</t>
        </is>
      </c>
      <c r="B341" t="inlineStr">
        <is>
          <t xml:space="preserve">Сайт · часов своими руками</t>
        </is>
      </c>
      <c r="C341" t="inlineStr">
        <is>
          <t xml:space="preserve">site_hours</t>
        </is>
      </c>
      <c r="D341" t="inlineStr">
        <is>
          <t xml:space="preserve">Вложения и инвестиции</t>
        </is>
      </c>
      <c r="E341" t="inlineStr">
        <is>
          <t xml:space="preserve">default</t>
        </is>
      </c>
      <c r="F341"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41" t="inlineStr">
        <is>
          <t xml:space="preserve">0</t>
        </is>
      </c>
    </row>
    <row r="342">
      <c r="A342" t="inlineStr">
        <is>
          <t xml:space="preserve">250</t>
        </is>
      </c>
      <c r="B342" t="inlineStr">
        <is>
          <t xml:space="preserve">Сайт · срок амортизации</t>
        </is>
      </c>
      <c r="C342" t="inlineStr">
        <is>
          <t xml:space="preserve">site_life</t>
        </is>
      </c>
      <c r="D342" t="inlineStr">
        <is>
          <t xml:space="preserve">Вложения и инвестиции</t>
        </is>
      </c>
      <c r="E342" t="inlineStr">
        <is>
          <t xml:space="preserve">default</t>
        </is>
      </c>
      <c r="F342"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42" t="inlineStr">
        <is>
          <t xml:space="preserve">7</t>
        </is>
      </c>
    </row>
    <row r="343">
      <c r="A343" t="inlineStr">
        <is>
          <t xml:space="preserve">251</t>
        </is>
      </c>
      <c r="B343" t="inlineStr">
        <is>
          <t xml:space="preserve">Амортизация · сайт</t>
        </is>
      </c>
      <c r="C343" t="inlineStr">
        <is>
          <t xml:space="preserve">dep_website</t>
        </is>
      </c>
      <c r="D343" t="inlineStr">
        <is>
          <t xml:space="preserve">Вложения и инвестиции</t>
        </is>
      </c>
      <c r="E343" t="inlineStr">
        <is>
          <t xml:space="preserve">calc</t>
        </is>
      </c>
      <c r="F343" t="inlineStr">
        <is>
          <t xml:space="preserve">Постепенное включение стоимости имущества в расходы бизнеса по мере его использования и износа.</t>
        </is>
      </c>
      <c r="G343" t="inlineStr">
        <is>
          <t xml:space="preserve">IF(site_mode="Нанимал (а) специалиста",IF(site_life=0,0,site_cost/site_life),0)</t>
        </is>
      </c>
    </row>
    <row r="344">
      <c r="A344" t="inlineStr">
        <is>
          <t xml:space="preserve">252</t>
        </is>
      </c>
      <c r="B344" t="inlineStr">
        <is>
          <t xml:space="preserve">Сайт · поправка знаменателя</t>
        </is>
      </c>
      <c r="C344" t="inlineStr">
        <is>
          <t xml:space="preserve">site_divisor</t>
        </is>
      </c>
      <c r="D344" t="inlineStr">
        <is>
          <t xml:space="preserve">Вложения и инвестиции</t>
        </is>
      </c>
      <c r="E344" t="inlineStr">
        <is>
          <t xml:space="preserve">calc</t>
        </is>
      </c>
      <c r="F344"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44" t="inlineStr">
        <is>
          <t xml:space="preserve">IF(site_mode="Нанимал (а) специалиста",0,IF(site_life*net_time=0,0,site_hours/(site_life*net_time)))</t>
        </is>
      </c>
    </row>
    <row r="345">
      <c r="A345" t="inlineStr">
        <is>
          <t xml:space="preserve">ПОДРАЗДЕЛ · 7 · Расходы</t>
        </is>
      </c>
    </row>
    <row r="346">
      <c r="A346" t="inlineStr">
        <is>
          <t xml:space="preserve">№</t>
        </is>
      </c>
      <c r="B346" t="inlineStr">
        <is>
          <t xml:space="preserve">Наименование</t>
        </is>
      </c>
      <c r="C346" t="inlineStr">
        <is>
          <t xml:space="preserve">ID</t>
        </is>
      </c>
      <c r="D346" t="inlineStr">
        <is>
          <t xml:space="preserve">Назначение</t>
        </is>
      </c>
      <c r="E346" t="inlineStr">
        <is>
          <t xml:space="preserve">Тип</t>
        </is>
      </c>
      <c r="F346" t="inlineStr">
        <is>
          <t xml:space="preserve">Понятие</t>
        </is>
      </c>
      <c r="G346" t="inlineStr">
        <is>
          <t xml:space="preserve">Значение/формула</t>
        </is>
      </c>
      <c r="H346" t="inlineStr">
        <is>
          <t xml:space="preserve">Описание алгоритма</t>
        </is>
      </c>
    </row>
    <row r="347">
      <c r="A347" t="inlineStr">
        <is>
          <t xml:space="preserve">253</t>
        </is>
      </c>
      <c r="B347" t="inlineStr">
        <is>
          <t xml:space="preserve">Амортизация · съёмочное оборудование</t>
        </is>
      </c>
      <c r="C347" t="inlineStr">
        <is>
          <t xml:space="preserve">dep_shoot</t>
        </is>
      </c>
      <c r="D347" t="inlineStr">
        <is>
          <t xml:space="preserve">Вложения и инвестиции</t>
        </is>
      </c>
      <c r="E347" t="inlineStr">
        <is>
          <t xml:space="preserve">calc</t>
        </is>
      </c>
      <c r="F347" t="inlineStr">
        <is>
          <t xml:space="preserve">Постепенное включение стоимости имущества в расходы бизнеса по мере его использования и износа.</t>
        </is>
      </c>
      <c r="G347" t="inlineStr">
        <is>
          <t xml:space="preserve">SUMIF(cat_form,"Form001",cat_year)</t>
        </is>
      </c>
    </row>
    <row r="348">
      <c r="A348" t="inlineStr">
        <is>
          <t xml:space="preserve">254</t>
        </is>
      </c>
      <c r="B348" t="inlineStr">
        <is>
          <t xml:space="preserve">Амортизация · офисное оборудование</t>
        </is>
      </c>
      <c r="C348" t="inlineStr">
        <is>
          <t xml:space="preserve">dep_office</t>
        </is>
      </c>
      <c r="D348" t="inlineStr">
        <is>
          <t xml:space="preserve">Вложения и инвестиции</t>
        </is>
      </c>
      <c r="E348" t="inlineStr">
        <is>
          <t xml:space="preserve">calc</t>
        </is>
      </c>
      <c r="F348" t="inlineStr">
        <is>
          <t xml:space="preserve">Постепенное включение стоимости имущества в расходы бизнеса по мере его использования и износа.</t>
        </is>
      </c>
      <c r="G348" t="inlineStr">
        <is>
          <t xml:space="preserve">SUMIF(cat_form,"Form002",cat_year)</t>
        </is>
      </c>
    </row>
    <row r="349">
      <c r="A349" t="inlineStr">
        <is>
          <t xml:space="preserve">255</t>
        </is>
      </c>
      <c r="B349" t="inlineStr">
        <is>
          <t xml:space="preserve">Амортизация · ПО разовые покупки</t>
        </is>
      </c>
      <c r="C349" t="inlineStr">
        <is>
          <t xml:space="preserve">dep_software</t>
        </is>
      </c>
      <c r="D349" t="inlineStr">
        <is>
          <t xml:space="preserve">Вложения и инвестиции</t>
        </is>
      </c>
      <c r="E349" t="inlineStr">
        <is>
          <t xml:space="preserve">calc</t>
        </is>
      </c>
      <c r="F349" t="inlineStr">
        <is>
          <t xml:space="preserve">Постепенное включение стоимости имущества в расходы бизнеса по мере его использования и износа.</t>
        </is>
      </c>
      <c r="G349" t="inlineStr">
        <is>
          <t xml:space="preserve">SUMIF(cat_form,"Form004",cat_year)</t>
        </is>
      </c>
    </row>
    <row r="350">
      <c r="A350" t="inlineStr">
        <is>
          <t xml:space="preserve">256</t>
        </is>
      </c>
      <c r="B350" t="inlineStr">
        <is>
          <t xml:space="preserve">Амортизация · обустройство места</t>
        </is>
      </c>
      <c r="C350" t="inlineStr">
        <is>
          <t xml:space="preserve">dep_workspace</t>
        </is>
      </c>
      <c r="D350" t="inlineStr">
        <is>
          <t xml:space="preserve">Вложения и инвестиции</t>
        </is>
      </c>
      <c r="E350" t="inlineStr">
        <is>
          <t xml:space="preserve">calc</t>
        </is>
      </c>
      <c r="F350" t="inlineStr">
        <is>
          <t xml:space="preserve">Постепенное включение стоимости имущества в расходы бизнеса по мере его использования и износа.</t>
        </is>
      </c>
      <c r="G350" t="inlineStr">
        <is>
          <t xml:space="preserve">SUMIF(cat_form,"Form013",cat_year)</t>
        </is>
      </c>
    </row>
    <row r="351">
      <c r="A351" t="inlineStr">
        <is>
          <t xml:space="preserve">257</t>
        </is>
      </c>
      <c r="B351" t="inlineStr">
        <is>
          <t xml:space="preserve">ИТОГО амортизация</t>
        </is>
      </c>
      <c r="C351" t="inlineStr">
        <is>
          <t xml:space="preserve">investment</t>
        </is>
      </c>
      <c r="D351" t="inlineStr">
        <is>
          <t xml:space="preserve">Вложения и инвестиции</t>
        </is>
      </c>
      <c r="E351" t="inlineStr">
        <is>
          <t xml:space="preserve">calc</t>
        </is>
      </c>
      <c r="F351" t="inlineStr">
        <is>
          <t xml:space="preserve">ед.: ₽/год · зависит от: dep_*</t>
        </is>
      </c>
      <c r="G351" t="inlineStr">
        <is>
          <t xml:space="preserve">dep_shoot+dep_office+dep_software+dep_workspace+dep_education+dep_website</t>
        </is>
      </c>
    </row>
    <row r="352"/>
    <row r="353">
      <c r="A353" t="inlineStr">
        <is>
          <t xml:space="preserve">РАЗДЕЛ · Переменные расходы</t>
        </is>
      </c>
    </row>
    <row r="354">
      <c r="A354" t="inlineStr">
        <is>
          <t xml:space="preserve">ПОДРАЗДЕЛ · Общие расходы</t>
        </is>
      </c>
    </row>
    <row r="355">
      <c r="A355" t="inlineStr">
        <is>
          <t xml:space="preserve">№</t>
        </is>
      </c>
      <c r="B355" t="inlineStr">
        <is>
          <t xml:space="preserve">Наименование</t>
        </is>
      </c>
      <c r="C355" t="inlineStr">
        <is>
          <t xml:space="preserve">ID</t>
        </is>
      </c>
      <c r="D355" t="inlineStr">
        <is>
          <t xml:space="preserve">Назначение</t>
        </is>
      </c>
      <c r="E355" t="inlineStr">
        <is>
          <t xml:space="preserve">Тип</t>
        </is>
      </c>
      <c r="F355" t="inlineStr">
        <is>
          <t xml:space="preserve">Понятие</t>
        </is>
      </c>
      <c r="G355" t="inlineStr">
        <is>
          <t xml:space="preserve">Значение/формула</t>
        </is>
      </c>
      <c r="H355" t="inlineStr">
        <is>
          <t xml:space="preserve">Описание алгоритма</t>
        </is>
      </c>
    </row>
    <row r="356">
      <c r="A356" t="inlineStr">
        <is>
          <t xml:space="preserve">258</t>
        </is>
      </c>
      <c r="B356" t="inlineStr">
        <is>
          <t xml:space="preserve">Прямые расходы</t>
        </is>
      </c>
      <c r="D356" t="inlineStr">
        <is>
          <t xml:space="preserve">Переменные расходы</t>
        </is>
      </c>
      <c r="E356" t="inlineStr">
        <is>
          <t xml:space="preserve">понятие</t>
        </is>
      </c>
      <c r="F356" t="inlineStr">
        <is>
          <t xml:space="preserve">Расходы, непосредственно связанные с выполнением конкретного заказа или проекта и возникающие в процессе оказания услуги.</t>
        </is>
      </c>
    </row>
    <row r="357">
      <c r="A357" t="inlineStr">
        <is>
          <t xml:space="preserve">259</t>
        </is>
      </c>
      <c r="B357" t="inlineStr">
        <is>
          <t xml:space="preserve">Текущие расходы</t>
        </is>
      </c>
      <c r="D357" t="inlineStr">
        <is>
          <t xml:space="preserve">Переменные расходы</t>
        </is>
      </c>
      <c r="E357" t="inlineStr">
        <is>
          <t xml:space="preserve">понятие</t>
        </is>
      </c>
      <c r="F357" t="inlineStr">
        <is>
          <t xml:space="preserve">Регулярные расходы специалиста, необходимые для поддержания профессиональной деятельности и выполнения работы в течение определённого периода.</t>
        </is>
      </c>
    </row>
    <row r="358">
      <c r="A358" t="inlineStr">
        <is>
          <t xml:space="preserve">ПОДРАЗДЕЛ · Подписки</t>
        </is>
      </c>
    </row>
    <row r="359">
      <c r="A359" t="inlineStr">
        <is>
          <t xml:space="preserve">№</t>
        </is>
      </c>
      <c r="B359" t="inlineStr">
        <is>
          <t xml:space="preserve">Наименование</t>
        </is>
      </c>
      <c r="C359" t="inlineStr">
        <is>
          <t xml:space="preserve">ID</t>
        </is>
      </c>
      <c r="D359" t="inlineStr">
        <is>
          <t xml:space="preserve">Назначение</t>
        </is>
      </c>
      <c r="E359" t="inlineStr">
        <is>
          <t xml:space="preserve">Тип</t>
        </is>
      </c>
      <c r="F359" t="inlineStr">
        <is>
          <t xml:space="preserve">Понятие</t>
        </is>
      </c>
      <c r="G359" t="inlineStr">
        <is>
          <t xml:space="preserve">Значение/формула</t>
        </is>
      </c>
      <c r="H359" t="inlineStr">
        <is>
          <t xml:space="preserve">Описание алгоритма</t>
        </is>
      </c>
    </row>
    <row r="360">
      <c r="A360" t="inlineStr">
        <is>
          <t xml:space="preserve">260</t>
        </is>
      </c>
      <c r="B360" t="inlineStr">
        <is>
          <t xml:space="preserve">Подписка</t>
        </is>
      </c>
      <c r="D360" t="inlineStr">
        <is>
          <t xml:space="preserve">Переменные расходы</t>
        </is>
      </c>
    </row>
    <row r="361">
      <c r="A361" t="inlineStr">
        <is>
          <t xml:space="preserve">261</t>
        </is>
      </c>
      <c r="B361" t="inlineStr">
        <is>
          <t xml:space="preserve">Подписки</t>
        </is>
      </c>
      <c r="D361" t="inlineStr">
        <is>
          <t xml:space="preserve">Переменные расходы</t>
        </is>
      </c>
      <c r="E361" t="inlineStr">
        <is>
          <t xml:space="preserve">понятие</t>
        </is>
      </c>
      <c r="F361" t="inlineStr">
        <is>
          <t xml:space="preserve">Регулярные платежи за доступ к программам, сервисам, платформам и другим цифровым инструментам, необходимым специалисту для работы.</t>
        </is>
      </c>
    </row>
    <row r="362">
      <c r="A362" t="inlineStr">
        <is>
          <t xml:space="preserve">ПОДРАЗДЕЛ · Реклама</t>
        </is>
      </c>
    </row>
    <row r="363">
      <c r="A363" t="inlineStr">
        <is>
          <t xml:space="preserve">№</t>
        </is>
      </c>
      <c r="B363" t="inlineStr">
        <is>
          <t xml:space="preserve">Наименование</t>
        </is>
      </c>
      <c r="C363" t="inlineStr">
        <is>
          <t xml:space="preserve">ID</t>
        </is>
      </c>
      <c r="D363" t="inlineStr">
        <is>
          <t xml:space="preserve">Назначение</t>
        </is>
      </c>
      <c r="E363" t="inlineStr">
        <is>
          <t xml:space="preserve">Тип</t>
        </is>
      </c>
      <c r="F363" t="inlineStr">
        <is>
          <t xml:space="preserve">Понятие</t>
        </is>
      </c>
      <c r="G363" t="inlineStr">
        <is>
          <t xml:space="preserve">Значение/формула</t>
        </is>
      </c>
      <c r="H363" t="inlineStr">
        <is>
          <t xml:space="preserve">Описание алгоритма</t>
        </is>
      </c>
    </row>
    <row r="364">
      <c r="A364" t="inlineStr">
        <is>
          <t xml:space="preserve">262</t>
        </is>
      </c>
      <c r="B364" t="inlineStr">
        <is>
          <t xml:space="preserve">Реклама</t>
        </is>
      </c>
      <c r="D364" t="inlineStr">
        <is>
          <t xml:space="preserve">Переменные расходы</t>
        </is>
      </c>
    </row>
    <row r="365">
      <c r="A365" t="inlineStr">
        <is>
          <t xml:space="preserve">263</t>
        </is>
      </c>
      <c r="B365" t="inlineStr">
        <is>
          <t xml:space="preserve">Реклама</t>
        </is>
      </c>
      <c r="D365" t="inlineStr">
        <is>
          <t xml:space="preserve">Переменные расходы</t>
        </is>
      </c>
      <c r="E365" t="inlineStr">
        <is>
          <t xml:space="preserve">понятие</t>
        </is>
      </c>
      <c r="F365" t="inlineStr">
        <is>
          <t xml:space="preserve">Распространение информации о специалисте, его услугах или продуктах с целью привлечения внимания потенциальных клиентов и стимулирования спроса.</t>
        </is>
      </c>
    </row>
    <row r="366">
      <c r="A366" t="inlineStr">
        <is>
          <t xml:space="preserve">ПОДРАЗДЕЛ · Рабочее место</t>
        </is>
      </c>
    </row>
    <row r="367">
      <c r="A367" t="inlineStr">
        <is>
          <t xml:space="preserve">№</t>
        </is>
      </c>
      <c r="B367" t="inlineStr">
        <is>
          <t xml:space="preserve">Наименование</t>
        </is>
      </c>
      <c r="C367" t="inlineStr">
        <is>
          <t xml:space="preserve">ID</t>
        </is>
      </c>
      <c r="D367" t="inlineStr">
        <is>
          <t xml:space="preserve">Назначение</t>
        </is>
      </c>
      <c r="E367" t="inlineStr">
        <is>
          <t xml:space="preserve">Тип</t>
        </is>
      </c>
      <c r="F367" t="inlineStr">
        <is>
          <t xml:space="preserve">Понятие</t>
        </is>
      </c>
      <c r="G367" t="inlineStr">
        <is>
          <t xml:space="preserve">Значение/формула</t>
        </is>
      </c>
      <c r="H367" t="inlineStr">
        <is>
          <t xml:space="preserve">Описание алгоритма</t>
        </is>
      </c>
    </row>
    <row r="368">
      <c r="A368" t="inlineStr">
        <is>
          <t xml:space="preserve">264</t>
        </is>
      </c>
      <c r="B368" t="inlineStr">
        <is>
          <t xml:space="preserve">Содержание рабочего места</t>
        </is>
      </c>
      <c r="C368" t="inlineStr">
        <is>
          <t xml:space="preserve">var_workspace</t>
        </is>
      </c>
      <c r="D368" t="inlineStr">
        <is>
          <t xml:space="preserve">Переменные расходы</t>
        </is>
      </c>
      <c r="E368" t="inlineStr">
        <is>
          <t xml:space="preserve">calc</t>
        </is>
      </c>
      <c r="F368" t="inlineStr">
        <is>
          <t xml:space="preserve">Расходы на поддержание рабочего пространства и оборудования в состоянии, необходимом для регулярного выполнения профессиональной деятельности.</t>
        </is>
      </c>
      <c r="G368" t="inlineStr">
        <is>
          <t xml:space="preserve">IF(ws_mode="Работаю из дома",(home_rent+home_util)*cab_share*months,(office_rent+office_util)*months)</t>
        </is>
      </c>
    </row>
    <row r="369">
      <c r="A369" t="inlineStr">
        <is>
          <t xml:space="preserve">ПОДРАЗДЕЛ · 5 · Рабочее место</t>
        </is>
      </c>
    </row>
    <row r="370">
      <c r="A370" t="inlineStr">
        <is>
          <t xml:space="preserve">№</t>
        </is>
      </c>
      <c r="B370" t="inlineStr">
        <is>
          <t xml:space="preserve">Наименование</t>
        </is>
      </c>
      <c r="C370" t="inlineStr">
        <is>
          <t xml:space="preserve">ID</t>
        </is>
      </c>
      <c r="D370" t="inlineStr">
        <is>
          <t xml:space="preserve">Назначение</t>
        </is>
      </c>
      <c r="E370" t="inlineStr">
        <is>
          <t xml:space="preserve">Тип</t>
        </is>
      </c>
      <c r="F370" t="inlineStr">
        <is>
          <t xml:space="preserve">Понятие</t>
        </is>
      </c>
      <c r="G370" t="inlineStr">
        <is>
          <t xml:space="preserve">Значение/формула</t>
        </is>
      </c>
      <c r="H370" t="inlineStr">
        <is>
          <t xml:space="preserve">Описание алгоритма</t>
        </is>
      </c>
    </row>
    <row r="371">
      <c r="A371" t="inlineStr">
        <is>
          <t xml:space="preserve">265</t>
        </is>
      </c>
      <c r="B371" t="inlineStr">
        <is>
          <t xml:space="preserve">ДОМА · аренда или ипотека</t>
        </is>
      </c>
      <c r="C371" t="inlineStr">
        <is>
          <t xml:space="preserve">home_rent</t>
        </is>
      </c>
      <c r="D371" t="inlineStr">
        <is>
          <t xml:space="preserve">Переменные расходы</t>
        </is>
      </c>
      <c r="E371" t="inlineStr">
        <is>
          <t xml:space="preserve">default</t>
        </is>
      </c>
      <c r="F371" t="inlineStr">
        <is>
          <t xml:space="preserve">ед.: ₽/мес</t>
        </is>
      </c>
      <c r="G371" t="inlineStr">
        <is>
          <t xml:space="preserve">40000</t>
        </is>
      </c>
    </row>
    <row r="372">
      <c r="A372" t="inlineStr">
        <is>
          <t xml:space="preserve">266</t>
        </is>
      </c>
      <c r="B372" t="inlineStr">
        <is>
          <t xml:space="preserve">ДОМА · коммунальные и связь</t>
        </is>
      </c>
      <c r="C372" t="inlineStr">
        <is>
          <t xml:space="preserve">home_util</t>
        </is>
      </c>
      <c r="D372" t="inlineStr">
        <is>
          <t xml:space="preserve">Переменные расходы</t>
        </is>
      </c>
      <c r="E372" t="inlineStr">
        <is>
          <t xml:space="preserve">default</t>
        </is>
      </c>
      <c r="F372" t="inlineStr">
        <is>
          <t xml:space="preserve">ед.: ₽/мес</t>
        </is>
      </c>
      <c r="G372" t="inlineStr">
        <is>
          <t xml:space="preserve">7000</t>
        </is>
      </c>
    </row>
    <row r="373">
      <c r="A373" t="inlineStr">
        <is>
          <t xml:space="preserve">267</t>
        </is>
      </c>
      <c r="B373" t="inlineStr">
        <is>
          <t xml:space="preserve">АРЕНДА · стоимость помещения</t>
        </is>
      </c>
      <c r="C373" t="inlineStr">
        <is>
          <t xml:space="preserve">office_rent</t>
        </is>
      </c>
      <c r="D373" t="inlineStr">
        <is>
          <t xml:space="preserve">Переменные расходы</t>
        </is>
      </c>
      <c r="E373" t="inlineStr">
        <is>
          <t xml:space="preserve">default</t>
        </is>
      </c>
      <c r="F373" t="inlineStr">
        <is>
          <t xml:space="preserve">ед.: ₽/мес</t>
        </is>
      </c>
      <c r="G373" t="inlineStr">
        <is>
          <t xml:space="preserve">15000</t>
        </is>
      </c>
    </row>
    <row r="374">
      <c r="A374" t="inlineStr">
        <is>
          <t xml:space="preserve">268</t>
        </is>
      </c>
      <c r="B374" t="inlineStr">
        <is>
          <t xml:space="preserve">АРЕНДА · коммунальные и связь</t>
        </is>
      </c>
      <c r="C374" t="inlineStr">
        <is>
          <t xml:space="preserve">office_util</t>
        </is>
      </c>
      <c r="D374" t="inlineStr">
        <is>
          <t xml:space="preserve">Переменные расходы</t>
        </is>
      </c>
      <c r="E374" t="inlineStr">
        <is>
          <t xml:space="preserve">default</t>
        </is>
      </c>
      <c r="F374" t="inlineStr">
        <is>
          <t xml:space="preserve">ед.: ₽/мес</t>
        </is>
      </c>
      <c r="G374" t="inlineStr">
        <is>
          <t xml:space="preserve">7000</t>
        </is>
      </c>
    </row>
    <row r="375">
      <c r="A375" t="inlineStr">
        <is>
          <t xml:space="preserve">ПОДРАЗДЕЛ · 7 · Расходы</t>
        </is>
      </c>
    </row>
    <row r="376">
      <c r="A376" t="inlineStr">
        <is>
          <t xml:space="preserve">№</t>
        </is>
      </c>
      <c r="B376" t="inlineStr">
        <is>
          <t xml:space="preserve">Наименование</t>
        </is>
      </c>
      <c r="C376" t="inlineStr">
        <is>
          <t xml:space="preserve">ID</t>
        </is>
      </c>
      <c r="D376" t="inlineStr">
        <is>
          <t xml:space="preserve">Назначение</t>
        </is>
      </c>
      <c r="E376" t="inlineStr">
        <is>
          <t xml:space="preserve">Тип</t>
        </is>
      </c>
      <c r="F376" t="inlineStr">
        <is>
          <t xml:space="preserve">Понятие</t>
        </is>
      </c>
      <c r="G376" t="inlineStr">
        <is>
          <t xml:space="preserve">Значение/формула</t>
        </is>
      </c>
      <c r="H376" t="inlineStr">
        <is>
          <t xml:space="preserve">Описание алгоритма</t>
        </is>
      </c>
    </row>
    <row r="377">
      <c r="A377" t="inlineStr">
        <is>
          <t xml:space="preserve">269</t>
        </is>
      </c>
      <c r="B377" t="inlineStr">
        <is>
          <t xml:space="preserve">Переменные · подписки ПО</t>
        </is>
      </c>
      <c r="C377" t="inlineStr">
        <is>
          <t xml:space="preserve">var_software</t>
        </is>
      </c>
      <c r="D377" t="inlineStr">
        <is>
          <t xml:space="preserve">Переменные расходы</t>
        </is>
      </c>
      <c r="E377" t="inlineStr">
        <is>
          <t xml:space="preserve">calc</t>
        </is>
      </c>
      <c r="F377" t="inlineStr">
        <is>
          <t xml:space="preserve">ед.: ₽/год · зависит от: Form003</t>
        </is>
      </c>
      <c r="G377" t="inlineStr">
        <is>
          <t xml:space="preserve">SUMIF(cat_form,"Form003",cat_year)</t>
        </is>
      </c>
    </row>
    <row r="378">
      <c r="A378" t="inlineStr">
        <is>
          <t xml:space="preserve">270</t>
        </is>
      </c>
      <c r="B378" t="inlineStr">
        <is>
          <t xml:space="preserve">Переменные · реклама и продвижение</t>
        </is>
      </c>
      <c r="C378" t="inlineStr">
        <is>
          <t xml:space="preserve">var_ads</t>
        </is>
      </c>
      <c r="D378" t="inlineStr">
        <is>
          <t xml:space="preserve">Переменные расходы</t>
        </is>
      </c>
      <c r="E378" t="inlineStr">
        <is>
          <t xml:space="preserve">calc</t>
        </is>
      </c>
      <c r="F378" t="inlineStr">
        <is>
          <t xml:space="preserve">ед.: ₽/год · зависит от: Form010</t>
        </is>
      </c>
      <c r="G378" t="inlineStr">
        <is>
          <t xml:space="preserve">SUMIF(cat_form,"Form010",cat_year)</t>
        </is>
      </c>
    </row>
    <row r="379">
      <c r="A379" t="inlineStr">
        <is>
          <t xml:space="preserve">271</t>
        </is>
      </c>
      <c r="B379" t="inlineStr">
        <is>
          <t xml:space="preserve">Переменные · банк РКО и СМС</t>
        </is>
      </c>
      <c r="C379" t="inlineStr">
        <is>
          <t xml:space="preserve">var_bank</t>
        </is>
      </c>
      <c r="D379" t="inlineStr">
        <is>
          <t xml:space="preserve">Переменные расходы</t>
        </is>
      </c>
      <c r="E379" t="inlineStr">
        <is>
          <t xml:space="preserve">calc</t>
        </is>
      </c>
      <c r="F379" t="inlineStr">
        <is>
          <t xml:space="preserve">ед.: ₽/год · зависит от: Form007</t>
        </is>
      </c>
      <c r="G379" t="inlineStr">
        <is>
          <t xml:space="preserve">SUMIF(cat_form,"Form007",cat_year)</t>
        </is>
      </c>
    </row>
    <row r="380">
      <c r="A380" t="inlineStr">
        <is>
          <t xml:space="preserve">272</t>
        </is>
      </c>
      <c r="B380" t="inlineStr">
        <is>
          <t xml:space="preserve">Специалист по учёту · стоимость в месяц</t>
        </is>
      </c>
      <c r="C380" t="inlineStr">
        <is>
          <t xml:space="preserve">acc_cost_month</t>
        </is>
      </c>
      <c r="D380" t="inlineStr">
        <is>
          <t xml:space="preserve">Переменные расходы</t>
        </is>
      </c>
      <c r="E380" t="inlineStr">
        <is>
          <t xml:space="preserve">default</t>
        </is>
      </c>
      <c r="F380" t="inlineStr">
        <is>
          <t xml:space="preserve">ед.: ₽/мес</t>
        </is>
      </c>
      <c r="G380" t="inlineStr">
        <is>
          <t xml:space="preserve">10000</t>
        </is>
      </c>
    </row>
    <row r="381">
      <c r="A381" t="inlineStr">
        <is>
          <t xml:space="preserve">273</t>
        </is>
      </c>
      <c r="B381" t="inlineStr">
        <is>
          <t xml:space="preserve">Переменные · специалист по учёту</t>
        </is>
      </c>
      <c r="C381" t="inlineStr">
        <is>
          <t xml:space="preserve">var_accounting</t>
        </is>
      </c>
      <c r="D381" t="inlineStr">
        <is>
          <t xml:space="preserve">Переменные расходы</t>
        </is>
      </c>
      <c r="E381" t="inlineStr">
        <is>
          <t xml:space="preserve">calc</t>
        </is>
      </c>
      <c r="F381" t="inlineStr">
        <is>
          <t xml:space="preserve">ед.: ₽/год · зависит от: acc_mode, acc_cost_month, months</t>
        </is>
      </c>
      <c r="G381" t="inlineStr">
        <is>
          <t xml:space="preserve">IF(acc_mode="Нанимаю специалиста",acc_cost_month*months,0)</t>
        </is>
      </c>
    </row>
    <row r="382">
      <c r="A382" t="inlineStr">
        <is>
          <t xml:space="preserve">274</t>
        </is>
      </c>
      <c r="B382" t="inlineStr">
        <is>
          <t xml:space="preserve">ИТОГО переменные</t>
        </is>
      </c>
      <c r="C382" t="inlineStr">
        <is>
          <t xml:space="preserve">variable_costs</t>
        </is>
      </c>
      <c r="D382" t="inlineStr">
        <is>
          <t xml:space="preserve">Переменные расходы</t>
        </is>
      </c>
      <c r="E382" t="inlineStr">
        <is>
          <t xml:space="preserve">calc</t>
        </is>
      </c>
      <c r="F382" t="inlineStr">
        <is>
          <t xml:space="preserve">ед.: ₽/год · зависит от: var_*</t>
        </is>
      </c>
      <c r="G382" t="inlineStr">
        <is>
          <t xml:space="preserve">var_software+var_ads+var_bank+var_accounting+var_workspace</t>
        </is>
      </c>
    </row>
    <row r="383">
      <c r="A383" t="inlineStr">
        <is>
          <t xml:space="preserve">275</t>
        </is>
      </c>
      <c r="B383" t="inlineStr">
        <is>
          <t xml:space="preserve">ВСЕГО РАСХОДОВ (C)</t>
        </is>
      </c>
      <c r="C383" t="inlineStr">
        <is>
          <t xml:space="preserve">total_costs</t>
        </is>
      </c>
      <c r="D383" t="inlineStr">
        <is>
          <t xml:space="preserve">Переменные расходы</t>
        </is>
      </c>
      <c r="E383" t="inlineStr">
        <is>
          <t xml:space="preserve">calc</t>
        </is>
      </c>
      <c r="F383" t="inlineStr">
        <is>
          <t xml:space="preserve">ед.: ₽/год · зависит от: investment, variable_costs</t>
        </is>
      </c>
      <c r="G383" t="inlineStr">
        <is>
          <t xml:space="preserve">investment+variable_costs</t>
        </is>
      </c>
    </row>
    <row r="384">
      <c r="A384" t="inlineStr">
        <is>
          <t xml:space="preserve">276</t>
        </is>
      </c>
      <c r="B384" t="inlineStr">
        <is>
          <t xml:space="preserve">База для выручки</t>
        </is>
      </c>
      <c r="C384" t="inlineStr">
        <is>
          <t xml:space="preserve">revenue_base</t>
        </is>
      </c>
      <c r="D384" t="inlineStr">
        <is>
          <t xml:space="preserve">Переменные расходы</t>
        </is>
      </c>
      <c r="E384" t="inlineStr">
        <is>
          <t xml:space="preserve">calc</t>
        </is>
      </c>
      <c r="F384" t="inlineStr">
        <is>
          <t xml:space="preserve">ед.: ₽/год · зависит от: target_income, total_costs</t>
        </is>
      </c>
      <c r="G384" t="inlineStr">
        <is>
          <t xml:space="preserve">target_income+total_costs</t>
        </is>
      </c>
    </row>
    <row r="385"/>
    <row r="386">
      <c r="A386" t="inlineStr">
        <is>
          <t xml:space="preserve">РАЗДЕЛ · Налоги и взносы</t>
        </is>
      </c>
    </row>
    <row r="387">
      <c r="A387" t="inlineStr">
        <is>
          <t xml:space="preserve">ПОДРАЗДЕЛ · Налоги</t>
        </is>
      </c>
    </row>
    <row r="388">
      <c r="A388" t="inlineStr">
        <is>
          <t xml:space="preserve">№</t>
        </is>
      </c>
      <c r="B388" t="inlineStr">
        <is>
          <t xml:space="preserve">Наименование</t>
        </is>
      </c>
      <c r="C388" t="inlineStr">
        <is>
          <t xml:space="preserve">ID</t>
        </is>
      </c>
      <c r="D388" t="inlineStr">
        <is>
          <t xml:space="preserve">Назначение</t>
        </is>
      </c>
      <c r="E388" t="inlineStr">
        <is>
          <t xml:space="preserve">Тип</t>
        </is>
      </c>
      <c r="F388" t="inlineStr">
        <is>
          <t xml:space="preserve">Понятие</t>
        </is>
      </c>
      <c r="G388" t="inlineStr">
        <is>
          <t xml:space="preserve">Значение/формула</t>
        </is>
      </c>
      <c r="H388" t="inlineStr">
        <is>
          <t xml:space="preserve">Описание алгоритма</t>
        </is>
      </c>
    </row>
    <row r="389">
      <c r="A389" t="inlineStr">
        <is>
          <t xml:space="preserve">277</t>
        </is>
      </c>
      <c r="B389" t="inlineStr">
        <is>
          <t xml:space="preserve">Налоги</t>
        </is>
      </c>
      <c r="D389" t="inlineStr">
        <is>
          <t xml:space="preserve">Налоги и взносы</t>
        </is>
      </c>
      <c r="E389" t="inlineStr">
        <is>
          <t xml:space="preserve">понятие</t>
        </is>
      </c>
      <c r="F389" t="inlineStr">
        <is>
          <t xml:space="preserve">Обязательные платежи в бюджет, начисляемые и уплачиваемые специалистом в соответствии с применяемым налоговым режимом и законодательством Российской Федерации.</t>
        </is>
      </c>
    </row>
    <row r="390">
      <c r="A390" t="inlineStr">
        <is>
          <t xml:space="preserve">278</t>
        </is>
      </c>
      <c r="B390" t="inlineStr">
        <is>
          <t xml:space="preserve">Налоговый режим</t>
        </is>
      </c>
      <c r="D390" t="inlineStr">
        <is>
          <t xml:space="preserve">Налоги и взносы</t>
        </is>
      </c>
      <c r="E390" t="inlineStr">
        <is>
          <t xml:space="preserve">понятие</t>
        </is>
      </c>
      <c r="F390" t="inlineStr">
        <is>
          <t xml:space="preserve">Установленный законодательством порядок исчисления и уплаты налогов и обязательных платежей, применяемый специалистом в зависимости от выбранной системы налогообложения.</t>
        </is>
      </c>
    </row>
    <row r="391">
      <c r="A391" t="inlineStr">
        <is>
          <t xml:space="preserve">ПОДРАЗДЕЛ · Страховые взносы</t>
        </is>
      </c>
    </row>
    <row r="392">
      <c r="A392" t="inlineStr">
        <is>
          <t xml:space="preserve">№</t>
        </is>
      </c>
      <c r="B392" t="inlineStr">
        <is>
          <t xml:space="preserve">Наименование</t>
        </is>
      </c>
      <c r="C392" t="inlineStr">
        <is>
          <t xml:space="preserve">ID</t>
        </is>
      </c>
      <c r="D392" t="inlineStr">
        <is>
          <t xml:space="preserve">Назначение</t>
        </is>
      </c>
      <c r="E392" t="inlineStr">
        <is>
          <t xml:space="preserve">Тип</t>
        </is>
      </c>
      <c r="F392" t="inlineStr">
        <is>
          <t xml:space="preserve">Понятие</t>
        </is>
      </c>
      <c r="G392" t="inlineStr">
        <is>
          <t xml:space="preserve">Значение/формула</t>
        </is>
      </c>
      <c r="H392" t="inlineStr">
        <is>
          <t xml:space="preserve">Описание алгоритма</t>
        </is>
      </c>
    </row>
    <row r="393">
      <c r="A393" t="inlineStr">
        <is>
          <t xml:space="preserve">279</t>
        </is>
      </c>
      <c r="B393" t="inlineStr">
        <is>
          <t xml:space="preserve">Страховые взносы</t>
        </is>
      </c>
      <c r="D393" t="inlineStr">
        <is>
          <t xml:space="preserve">Налоги и взносы</t>
        </is>
      </c>
      <c r="E393" t="inlineStr">
        <is>
          <t xml:space="preserve">понятие</t>
        </is>
      </c>
      <c r="F393" t="inlineStr">
        <is>
          <t xml:space="preserve">Обязательные платежи в государственные внебюджетные фонды и государственные системы страхования, связанные с осуществлением профессиональной деятельности и обеспечением социальных гарантий.</t>
        </is>
      </c>
    </row>
    <row r="394">
      <c r="A394" t="inlineStr">
        <is>
          <t xml:space="preserve">ПОДРАЗДЕЛ · F · НАЛОГИ 2026</t>
        </is>
      </c>
    </row>
    <row r="395">
      <c r="A395" t="inlineStr">
        <is>
          <t xml:space="preserve">№</t>
        </is>
      </c>
      <c r="B395" t="inlineStr">
        <is>
          <t xml:space="preserve">Наименование</t>
        </is>
      </c>
      <c r="C395" t="inlineStr">
        <is>
          <t xml:space="preserve">ID</t>
        </is>
      </c>
      <c r="D395" t="inlineStr">
        <is>
          <t xml:space="preserve">Назначение</t>
        </is>
      </c>
      <c r="E395" t="inlineStr">
        <is>
          <t xml:space="preserve">Тип</t>
        </is>
      </c>
      <c r="F395" t="inlineStr">
        <is>
          <t xml:space="preserve">Понятие</t>
        </is>
      </c>
      <c r="G395" t="inlineStr">
        <is>
          <t xml:space="preserve">Значение/формула</t>
        </is>
      </c>
      <c r="H395" t="inlineStr">
        <is>
          <t xml:space="preserve">Описание алгоритма</t>
        </is>
      </c>
    </row>
    <row r="396">
      <c r="A396" t="inlineStr">
        <is>
          <t xml:space="preserve">280</t>
        </is>
      </c>
      <c r="B396" t="inlineStr">
        <is>
          <t xml:space="preserve">НПД</t>
        </is>
      </c>
      <c r="C396" t="inlineStr">
        <is>
          <t xml:space="preserve">rate_npd_avg</t>
        </is>
      </c>
      <c r="D396" t="inlineStr">
        <is>
          <t xml:space="preserve">Налоги и взносы</t>
        </is>
      </c>
      <c r="E396" t="inlineStr">
        <is>
          <t xml:space="preserve">default</t>
        </is>
      </c>
      <c r="F396" t="inlineStr">
        <is>
          <t xml:space="preserve">Средняя ставка 5% — базовый вариант, работа и с физлицами, и с юрлицами. Взносов нет, лимит 2,4 млн</t>
        </is>
      </c>
      <c r="G396" t="inlineStr">
        <is>
          <t xml:space="preserve">4% физлица · 6% юрлица</t>
        </is>
      </c>
    </row>
    <row r="397">
      <c r="A397" t="inlineStr">
        <is>
          <t xml:space="preserve">281</t>
        </is>
      </c>
      <c r="B397" t="inlineStr">
        <is>
          <t xml:space="preserve">УСН «Доходы»</t>
        </is>
      </c>
      <c r="C397" t="inlineStr">
        <is>
          <t xml:space="preserve">rate_usn_inc</t>
        </is>
      </c>
      <c r="D397" t="inlineStr">
        <is>
          <t xml:space="preserve">Налоги и взносы</t>
        </is>
      </c>
      <c r="E397" t="inlineStr">
        <is>
          <t xml:space="preserve">default</t>
        </is>
      </c>
      <c r="F397" t="inlineStr">
        <is>
          <t xml:space="preserve">Налог с выручки. Взносы ВЫЧИТАЮТСЯ из налога до нуля</t>
        </is>
      </c>
      <c r="G397" t="inlineStr">
        <is>
          <t xml:space="preserve">6%</t>
        </is>
      </c>
    </row>
    <row r="398">
      <c r="A398" t="inlineStr">
        <is>
          <t xml:space="preserve">282</t>
        </is>
      </c>
      <c r="B398" t="inlineStr">
        <is>
          <t xml:space="preserve">УСН «Д−Р»</t>
        </is>
      </c>
      <c r="C398" t="inlineStr">
        <is>
          <t xml:space="preserve">rate_usn_prof</t>
        </is>
      </c>
      <c r="D398" t="inlineStr">
        <is>
          <t xml:space="preserve">Налоги и взносы</t>
        </is>
      </c>
      <c r="E398" t="inlineStr">
        <is>
          <t xml:space="preserve">default</t>
        </is>
      </c>
      <c r="F398" t="inlineStr">
        <is>
          <t xml:space="preserve">Налог с прибыли. Взносы уменьшают базу. Минимальный налог 1%</t>
        </is>
      </c>
      <c r="G398" t="inlineStr">
        <is>
          <t xml:space="preserve">15%</t>
        </is>
      </c>
    </row>
    <row r="399">
      <c r="A399" t="inlineStr">
        <is>
          <t xml:space="preserve">283</t>
        </is>
      </c>
      <c r="B399" t="inlineStr">
        <is>
          <t xml:space="preserve">АУСН</t>
        </is>
      </c>
      <c r="C399" t="inlineStr">
        <is>
          <t xml:space="preserve">rate_ausn_inc</t>
        </is>
      </c>
      <c r="D399" t="inlineStr">
        <is>
          <t xml:space="preserve">Налоги и взносы</t>
        </is>
      </c>
      <c r="E399" t="inlineStr">
        <is>
          <t xml:space="preserve">const</t>
        </is>
      </c>
      <c r="F399" t="inlineStr">
        <is>
          <t xml:space="preserve">Взносы ИП за себя НЕ платятся. Лимит 60 млн</t>
        </is>
      </c>
      <c r="G399" t="inlineStr">
        <is>
          <t xml:space="preserve">8% · 20%, мин. налог 3%</t>
        </is>
      </c>
    </row>
    <row r="400">
      <c r="A400" t="inlineStr">
        <is>
          <t xml:space="preserve">284</t>
        </is>
      </c>
      <c r="B400" t="inlineStr">
        <is>
          <t xml:space="preserve">Фиксированные взносы</t>
        </is>
      </c>
      <c r="C400" t="inlineStr">
        <is>
          <t xml:space="preserve">fixed_contrib</t>
        </is>
      </c>
      <c r="D400" t="inlineStr">
        <is>
          <t xml:space="preserve">Налоги и взносы</t>
        </is>
      </c>
      <c r="E400" t="inlineStr">
        <is>
          <t xml:space="preserve">const</t>
        </is>
      </c>
      <c r="F400" t="inlineStr">
        <is>
          <t xml:space="preserve">Платит каждый ИП. Срок — 28 декабря</t>
        </is>
      </c>
      <c r="G400" t="inlineStr">
        <is>
          <t xml:space="preserve">57 390 ₽/год</t>
        </is>
      </c>
    </row>
    <row r="401">
      <c r="A401" t="inlineStr">
        <is>
          <t xml:space="preserve">285</t>
        </is>
      </c>
      <c r="B401" t="inlineStr">
        <is>
          <t xml:space="preserve">Дополнительный взнос</t>
        </is>
      </c>
      <c r="C401" t="inlineStr">
        <is>
          <t xml:space="preserve">extra_contrib</t>
        </is>
      </c>
      <c r="D401" t="inlineStr">
        <is>
          <t xml:space="preserve">Налоги и взносы</t>
        </is>
      </c>
      <c r="E401" t="inlineStr">
        <is>
          <t xml:space="preserve">const</t>
        </is>
      </c>
      <c r="F401" t="inlineStr">
        <is>
          <t xml:space="preserve">1% с дохода свыше порога. Срок — 1 июля следующего года</t>
        </is>
      </c>
      <c r="G401" t="inlineStr">
        <is>
          <t xml:space="preserve">1% × (база − 300 000)</t>
        </is>
      </c>
    </row>
    <row r="402">
      <c r="A402" t="inlineStr">
        <is>
          <t xml:space="preserve">286</t>
        </is>
      </c>
      <c r="B402" t="inlineStr">
        <is>
          <t xml:space="preserve">Предельная величина</t>
        </is>
      </c>
      <c r="C402" t="inlineStr">
        <is>
          <t xml:space="preserve">contrib_threshold</t>
        </is>
      </c>
      <c r="D402" t="inlineStr">
        <is>
          <t xml:space="preserve">Налоги и взносы</t>
        </is>
      </c>
      <c r="E402" t="inlineStr">
        <is>
          <t xml:space="preserve">const</t>
        </is>
      </c>
      <c r="F402" t="inlineStr">
        <is>
          <t xml:space="preserve">Порог для допвзноса. ЗА ГОД, не за месяц</t>
        </is>
      </c>
      <c r="G402" t="inlineStr">
        <is>
          <t xml:space="preserve">300 000 ₽</t>
        </is>
      </c>
    </row>
    <row r="403">
      <c r="A403" t="inlineStr">
        <is>
          <t xml:space="preserve">ПОДРАЗДЕЛ · 8 · Налоги</t>
        </is>
      </c>
    </row>
    <row r="404">
      <c r="A404" t="inlineStr">
        <is>
          <t xml:space="preserve">№</t>
        </is>
      </c>
      <c r="B404" t="inlineStr">
        <is>
          <t xml:space="preserve">Наименование</t>
        </is>
      </c>
      <c r="C404" t="inlineStr">
        <is>
          <t xml:space="preserve">ID</t>
        </is>
      </c>
      <c r="D404" t="inlineStr">
        <is>
          <t xml:space="preserve">Назначение</t>
        </is>
      </c>
      <c r="E404" t="inlineStr">
        <is>
          <t xml:space="preserve">Тип</t>
        </is>
      </c>
      <c r="F404" t="inlineStr">
        <is>
          <t xml:space="preserve">Понятие</t>
        </is>
      </c>
      <c r="G404" t="inlineStr">
        <is>
          <t xml:space="preserve">Значение/формула</t>
        </is>
      </c>
      <c r="H404" t="inlineStr">
        <is>
          <t xml:space="preserve">Описание алгоритма</t>
        </is>
      </c>
    </row>
    <row r="405">
      <c r="A405" t="inlineStr">
        <is>
          <t xml:space="preserve">287</t>
        </is>
      </c>
      <c r="B405" t="inlineStr">
        <is>
          <t xml:space="preserve">ПЕРЕКЛЮЧАТЕЛЬ · режим налогообложения</t>
        </is>
      </c>
      <c r="C405" t="inlineStr">
        <is>
          <t xml:space="preserve">regime</t>
        </is>
      </c>
      <c r="D405" t="inlineStr">
        <is>
          <t xml:space="preserve">Налоги и взносы</t>
        </is>
      </c>
      <c r="E405" t="inlineStr">
        <is>
          <t xml:space="preserve">switch</t>
        </is>
      </c>
      <c r="G405" t="inlineStr">
        <is>
          <t xml:space="preserve">Самозанятый (НПД), средняя ставка</t>
        </is>
      </c>
    </row>
    <row r="406">
      <c r="A406" t="inlineStr">
        <is>
          <t xml:space="preserve">288</t>
        </is>
      </c>
      <c r="B406" t="inlineStr">
        <is>
          <t xml:space="preserve">НПД · средняя ставка</t>
        </is>
      </c>
      <c r="C406" t="inlineStr">
        <is>
          <t xml:space="preserve">rate_npd_avg</t>
        </is>
      </c>
      <c r="D406" t="inlineStr">
        <is>
          <t xml:space="preserve">Налоги и взносы</t>
        </is>
      </c>
      <c r="E406" t="inlineStr">
        <is>
          <t xml:space="preserve">default</t>
        </is>
      </c>
      <c r="F406" t="inlineStr">
        <is>
          <t xml:space="preserve">ед.: %</t>
        </is>
      </c>
      <c r="G406" t="inlineStr">
        <is>
          <t xml:space="preserve">0.05</t>
        </is>
      </c>
    </row>
    <row r="407">
      <c r="A407" t="inlineStr">
        <is>
          <t xml:space="preserve">289</t>
        </is>
      </c>
      <c r="B407" t="inlineStr">
        <is>
          <t xml:space="preserve">НПД · физлица</t>
        </is>
      </c>
      <c r="C407" t="inlineStr">
        <is>
          <t xml:space="preserve">rate_npd_fiz</t>
        </is>
      </c>
      <c r="D407" t="inlineStr">
        <is>
          <t xml:space="preserve">Налоги и взносы</t>
        </is>
      </c>
      <c r="E407" t="inlineStr">
        <is>
          <t xml:space="preserve">const</t>
        </is>
      </c>
      <c r="F407" t="inlineStr">
        <is>
          <t xml:space="preserve">ед.: %</t>
        </is>
      </c>
      <c r="G407" t="inlineStr">
        <is>
          <t xml:space="preserve">0.04</t>
        </is>
      </c>
    </row>
    <row r="408">
      <c r="A408" t="inlineStr">
        <is>
          <t xml:space="preserve">290</t>
        </is>
      </c>
      <c r="B408" t="inlineStr">
        <is>
          <t xml:space="preserve">НПД · юрлица</t>
        </is>
      </c>
      <c r="C408" t="inlineStr">
        <is>
          <t xml:space="preserve">rate_npd_ur</t>
        </is>
      </c>
      <c r="D408" t="inlineStr">
        <is>
          <t xml:space="preserve">Налоги и взносы</t>
        </is>
      </c>
      <c r="E408" t="inlineStr">
        <is>
          <t xml:space="preserve">const</t>
        </is>
      </c>
      <c r="F408" t="inlineStr">
        <is>
          <t xml:space="preserve">ед.: %</t>
        </is>
      </c>
      <c r="G408" t="inlineStr">
        <is>
          <t xml:space="preserve">0.06</t>
        </is>
      </c>
    </row>
    <row r="409">
      <c r="A409" t="inlineStr">
        <is>
          <t xml:space="preserve">291</t>
        </is>
      </c>
      <c r="B409" t="inlineStr">
        <is>
          <t xml:space="preserve">УСН доходы</t>
        </is>
      </c>
      <c r="C409" t="inlineStr">
        <is>
          <t xml:space="preserve">rate_usn_inc</t>
        </is>
      </c>
      <c r="D409" t="inlineStr">
        <is>
          <t xml:space="preserve">Налоги и взносы</t>
        </is>
      </c>
      <c r="E409" t="inlineStr">
        <is>
          <t xml:space="preserve">default</t>
        </is>
      </c>
      <c r="F409" t="inlineStr">
        <is>
          <t xml:space="preserve">ед.: %</t>
        </is>
      </c>
      <c r="G409" t="inlineStr">
        <is>
          <t xml:space="preserve">0.06</t>
        </is>
      </c>
    </row>
    <row r="410">
      <c r="A410" t="inlineStr">
        <is>
          <t xml:space="preserve">292</t>
        </is>
      </c>
      <c r="B410" t="inlineStr">
        <is>
          <t xml:space="preserve">УСН доходы минус расходы</t>
        </is>
      </c>
      <c r="C410" t="inlineStr">
        <is>
          <t xml:space="preserve">rate_usn_prof</t>
        </is>
      </c>
      <c r="D410" t="inlineStr">
        <is>
          <t xml:space="preserve">Налоги и взносы</t>
        </is>
      </c>
      <c r="E410" t="inlineStr">
        <is>
          <t xml:space="preserve">default</t>
        </is>
      </c>
      <c r="F410" t="inlineStr">
        <is>
          <t xml:space="preserve">ед.: %</t>
        </is>
      </c>
      <c r="G410" t="inlineStr">
        <is>
          <t xml:space="preserve">0.15</t>
        </is>
      </c>
    </row>
    <row r="411">
      <c r="A411" t="inlineStr">
        <is>
          <t xml:space="preserve">293</t>
        </is>
      </c>
      <c r="B411" t="inlineStr">
        <is>
          <t xml:space="preserve">АУСН доходы</t>
        </is>
      </c>
      <c r="C411" t="inlineStr">
        <is>
          <t xml:space="preserve">rate_ausn_inc</t>
        </is>
      </c>
      <c r="D411" t="inlineStr">
        <is>
          <t xml:space="preserve">Налоги и взносы</t>
        </is>
      </c>
      <c r="E411" t="inlineStr">
        <is>
          <t xml:space="preserve">const</t>
        </is>
      </c>
      <c r="F411" t="inlineStr">
        <is>
          <t xml:space="preserve">ед.: %</t>
        </is>
      </c>
      <c r="G411" t="inlineStr">
        <is>
          <t xml:space="preserve">0.08</t>
        </is>
      </c>
    </row>
    <row r="412">
      <c r="A412" t="inlineStr">
        <is>
          <t xml:space="preserve">294</t>
        </is>
      </c>
      <c r="B412" t="inlineStr">
        <is>
          <t xml:space="preserve">АУСН доходы минус расходы</t>
        </is>
      </c>
      <c r="C412" t="inlineStr">
        <is>
          <t xml:space="preserve">rate_ausn_prof</t>
        </is>
      </c>
      <c r="D412" t="inlineStr">
        <is>
          <t xml:space="preserve">Налоги и взносы</t>
        </is>
      </c>
      <c r="E412" t="inlineStr">
        <is>
          <t xml:space="preserve">const</t>
        </is>
      </c>
      <c r="F412" t="inlineStr">
        <is>
          <t xml:space="preserve">ед.: %</t>
        </is>
      </c>
      <c r="G412" t="inlineStr">
        <is>
          <t xml:space="preserve">0.2</t>
        </is>
      </c>
    </row>
    <row r="413">
      <c r="A413" t="inlineStr">
        <is>
          <t xml:space="preserve">295</t>
        </is>
      </c>
      <c r="B413" t="inlineStr">
        <is>
          <t xml:space="preserve">Номер режима (1–7)</t>
        </is>
      </c>
      <c r="C413" t="inlineStr">
        <is>
          <t xml:space="preserve">regime_no</t>
        </is>
      </c>
      <c r="D413" t="inlineStr">
        <is>
          <t xml:space="preserve">Налоги и взносы</t>
        </is>
      </c>
      <c r="E413" t="inlineStr">
        <is>
          <t xml:space="preserve">calc</t>
        </is>
      </c>
      <c r="F413" t="inlineStr">
        <is>
          <t xml:space="preserve">ед.: № · зависит от: regime</t>
        </is>
      </c>
      <c r="G413" t="inlineStr">
        <is>
          <t xml:space="preserve">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row>
    <row r="414">
      <c r="A414" t="inlineStr">
        <is>
          <t xml:space="preserve">296</t>
        </is>
      </c>
      <c r="B414" t="inlineStr">
        <is>
          <t xml:space="preserve">Ставка выбранного режима</t>
        </is>
      </c>
      <c r="C414" t="inlineStr">
        <is>
          <t xml:space="preserve">rate_current</t>
        </is>
      </c>
      <c r="D414" t="inlineStr">
        <is>
          <t xml:space="preserve">Налоги и взносы</t>
        </is>
      </c>
      <c r="E414" t="inlineStr">
        <is>
          <t xml:space="preserve">calc</t>
        </is>
      </c>
      <c r="F414" t="inlineStr">
        <is>
          <t xml:space="preserve">ед.: % · зависит от: regime_no</t>
        </is>
      </c>
      <c r="G414" t="inlineStr">
        <is>
          <t xml:space="preserve">CHOOSE(regime_no,rate_npd_avg,rate_npd_fiz,rate_npd_ur,rate_usn_inc,rate_usn_prof,rate_ausn_inc,rate_ausn_prof)</t>
        </is>
      </c>
    </row>
    <row r="415">
      <c r="A415" t="inlineStr">
        <is>
          <t xml:space="preserve">297</t>
        </is>
      </c>
      <c r="B415" t="inlineStr">
        <is>
          <t xml:space="preserve">Фиксированные взносы ИП</t>
        </is>
      </c>
      <c r="C415" t="inlineStr">
        <is>
          <t xml:space="preserve">fixed_contrib</t>
        </is>
      </c>
      <c r="D415" t="inlineStr">
        <is>
          <t xml:space="preserve">Налоги и взносы</t>
        </is>
      </c>
      <c r="E415" t="inlineStr">
        <is>
          <t xml:space="preserve">const</t>
        </is>
      </c>
      <c r="F415" t="inlineStr">
        <is>
          <t xml:space="preserve">ед.: ₽/год</t>
        </is>
      </c>
      <c r="G415" t="inlineStr">
        <is>
          <t xml:space="preserve">57390</t>
        </is>
      </c>
    </row>
    <row r="416">
      <c r="A416" t="inlineStr">
        <is>
          <t xml:space="preserve">298</t>
        </is>
      </c>
      <c r="B416" t="inlineStr">
        <is>
          <t xml:space="preserve">Дополнительный взнос</t>
        </is>
      </c>
      <c r="C416" t="inlineStr">
        <is>
          <t xml:space="preserve">extra_contrib</t>
        </is>
      </c>
      <c r="D416" t="inlineStr">
        <is>
          <t xml:space="preserve">Налоги и взносы</t>
        </is>
      </c>
      <c r="E416" t="inlineStr">
        <is>
          <t xml:space="preserve">const</t>
        </is>
      </c>
      <c r="F416" t="inlineStr">
        <is>
          <t xml:space="preserve">ед.: %</t>
        </is>
      </c>
      <c r="G416" t="inlineStr">
        <is>
          <t xml:space="preserve">0.01</t>
        </is>
      </c>
    </row>
    <row r="417">
      <c r="A417" t="inlineStr">
        <is>
          <t xml:space="preserve">299</t>
        </is>
      </c>
      <c r="B417" t="inlineStr">
        <is>
          <t xml:space="preserve">Предельная величина дохода</t>
        </is>
      </c>
      <c r="C417" t="inlineStr">
        <is>
          <t xml:space="preserve">contrib_threshold</t>
        </is>
      </c>
      <c r="D417" t="inlineStr">
        <is>
          <t xml:space="preserve">Налоги и взносы</t>
        </is>
      </c>
      <c r="E417" t="inlineStr">
        <is>
          <t xml:space="preserve">const</t>
        </is>
      </c>
      <c r="F417" t="inlineStr">
        <is>
          <t xml:space="preserve">ед.: ₽/год</t>
        </is>
      </c>
      <c r="G417" t="inlineStr">
        <is>
          <t xml:space="preserve">300000</t>
        </is>
      </c>
    </row>
    <row r="418">
      <c r="A418" t="inlineStr">
        <is>
          <t xml:space="preserve">300</t>
        </is>
      </c>
      <c r="B418" t="inlineStr">
        <is>
          <t xml:space="preserve">Максимум допвзноса</t>
        </is>
      </c>
      <c r="C418" t="inlineStr">
        <is>
          <t xml:space="preserve">contrib_cap</t>
        </is>
      </c>
      <c r="D418" t="inlineStr">
        <is>
          <t xml:space="preserve">Налоги и взносы</t>
        </is>
      </c>
      <c r="E418" t="inlineStr">
        <is>
          <t xml:space="preserve">const</t>
        </is>
      </c>
      <c r="F418" t="inlineStr">
        <is>
          <t xml:space="preserve">ед.: ₽/год</t>
        </is>
      </c>
      <c r="G418" t="inlineStr">
        <is>
          <t xml:space="preserve">321818</t>
        </is>
      </c>
    </row>
    <row r="419">
      <c r="A419" t="inlineStr">
        <is>
          <t xml:space="preserve">301</t>
        </is>
      </c>
      <c r="B419" t="inlineStr">
        <is>
          <t xml:space="preserve">Поправка на порог</t>
        </is>
      </c>
      <c r="C419" t="inlineStr">
        <is>
          <t xml:space="preserve">threshold_credit</t>
        </is>
      </c>
      <c r="D419" t="inlineStr">
        <is>
          <t xml:space="preserve">Налоги и взносы</t>
        </is>
      </c>
      <c r="E419" t="inlineStr">
        <is>
          <t xml:space="preserve">calc</t>
        </is>
      </c>
      <c r="F419" t="inlineStr">
        <is>
          <t xml:space="preserve">ед.: ₽ · зависит от: contrib_threshold, extra_contrib</t>
        </is>
      </c>
      <c r="G419" t="inlineStr">
        <is>
          <t xml:space="preserve">contrib_threshold*extra_contrib</t>
        </is>
      </c>
    </row>
    <row r="420">
      <c r="A420" t="inlineStr">
        <is>
          <t xml:space="preserve">302</t>
        </is>
      </c>
      <c r="B420" t="inlineStr">
        <is>
          <t xml:space="preserve">Минимальный налог УСН Д−Р</t>
        </is>
      </c>
      <c r="C420" t="inlineStr">
        <is>
          <t xml:space="preserve">min_tax_usn</t>
        </is>
      </c>
      <c r="D420" t="inlineStr">
        <is>
          <t xml:space="preserve">Налоги и взносы</t>
        </is>
      </c>
      <c r="E420" t="inlineStr">
        <is>
          <t xml:space="preserve">const</t>
        </is>
      </c>
      <c r="F420" t="inlineStr">
        <is>
          <t xml:space="preserve">ед.: %</t>
        </is>
      </c>
      <c r="G420" t="inlineStr">
        <is>
          <t xml:space="preserve">0.01</t>
        </is>
      </c>
    </row>
    <row r="421">
      <c r="A421" t="inlineStr">
        <is>
          <t xml:space="preserve">303</t>
        </is>
      </c>
      <c r="B421" t="inlineStr">
        <is>
          <t xml:space="preserve">Минимальный налог АУСН Д−Р</t>
        </is>
      </c>
      <c r="C421" t="inlineStr">
        <is>
          <t xml:space="preserve">min_tax_ausn</t>
        </is>
      </c>
      <c r="D421" t="inlineStr">
        <is>
          <t xml:space="preserve">Налоги и взносы</t>
        </is>
      </c>
      <c r="E421" t="inlineStr">
        <is>
          <t xml:space="preserve">const</t>
        </is>
      </c>
      <c r="F421" t="inlineStr">
        <is>
          <t xml:space="preserve">ед.: %</t>
        </is>
      </c>
      <c r="G421" t="inlineStr">
        <is>
          <t xml:space="preserve">0.03</t>
        </is>
      </c>
    </row>
    <row r="422">
      <c r="A422" t="inlineStr">
        <is>
          <t xml:space="preserve">304</t>
        </is>
      </c>
      <c r="B422" t="inlineStr">
        <is>
          <t xml:space="preserve">Взнос на травматизм (АУСН)</t>
        </is>
      </c>
      <c r="C422" t="inlineStr">
        <is>
          <t xml:space="preserve">injury_contrib</t>
        </is>
      </c>
      <c r="D422" t="inlineStr">
        <is>
          <t xml:space="preserve">Налоги и взносы</t>
        </is>
      </c>
      <c r="E422" t="inlineStr">
        <is>
          <t xml:space="preserve">default</t>
        </is>
      </c>
      <c r="F422" t="inlineStr">
        <is>
          <t xml:space="preserve">ед.: ₽/год</t>
        </is>
      </c>
      <c r="G422" t="inlineStr">
        <is>
          <t xml:space="preserve">0</t>
        </is>
      </c>
    </row>
    <row r="423">
      <c r="A423" t="inlineStr">
        <is>
          <t xml:space="preserve">305</t>
        </is>
      </c>
      <c r="B423" t="inlineStr">
        <is>
          <t xml:space="preserve">Порог освобождения от НДС</t>
        </is>
      </c>
      <c r="C423" t="inlineStr">
        <is>
          <t xml:space="preserve">vat_threshold</t>
        </is>
      </c>
      <c r="D423" t="inlineStr">
        <is>
          <t xml:space="preserve">Налоги и взносы</t>
        </is>
      </c>
      <c r="E423" t="inlineStr">
        <is>
          <t xml:space="preserve">const</t>
        </is>
      </c>
      <c r="F423" t="inlineStr">
        <is>
          <t xml:space="preserve">ед.: ₽/год</t>
        </is>
      </c>
      <c r="G423" t="inlineStr">
        <is>
          <t xml:space="preserve">20000000</t>
        </is>
      </c>
    </row>
    <row r="424">
      <c r="A424" t="inlineStr">
        <is>
          <t xml:space="preserve">306</t>
        </is>
      </c>
      <c r="B424" t="inlineStr">
        <is>
          <t xml:space="preserve">Лимит НПД</t>
        </is>
      </c>
      <c r="C424" t="inlineStr">
        <is>
          <t xml:space="preserve">limit_npd</t>
        </is>
      </c>
      <c r="D424" t="inlineStr">
        <is>
          <t xml:space="preserve">Налоги и взносы</t>
        </is>
      </c>
      <c r="E424" t="inlineStr">
        <is>
          <t xml:space="preserve">const</t>
        </is>
      </c>
      <c r="F424" t="inlineStr">
        <is>
          <t xml:space="preserve">ед.: ₽/год</t>
        </is>
      </c>
      <c r="G424" t="inlineStr">
        <is>
          <t xml:space="preserve">2400000</t>
        </is>
      </c>
    </row>
    <row r="425">
      <c r="A425" t="inlineStr">
        <is>
          <t xml:space="preserve">307</t>
        </is>
      </c>
      <c r="B425" t="inlineStr">
        <is>
          <t xml:space="preserve">Лимит АУСН</t>
        </is>
      </c>
      <c r="C425" t="inlineStr">
        <is>
          <t xml:space="preserve">limit_ausn</t>
        </is>
      </c>
      <c r="D425" t="inlineStr">
        <is>
          <t xml:space="preserve">Налоги и взносы</t>
        </is>
      </c>
      <c r="E425" t="inlineStr">
        <is>
          <t xml:space="preserve">const</t>
        </is>
      </c>
      <c r="F425" t="inlineStr">
        <is>
          <t xml:space="preserve">ед.: ₽/год</t>
        </is>
      </c>
      <c r="G425" t="inlineStr">
        <is>
          <t xml:space="preserve">60000000</t>
        </is>
      </c>
    </row>
    <row r="426"/>
    <row r="427">
      <c r="A427" t="inlineStr">
        <is>
          <t xml:space="preserve">РАЗДЕЛ · Банковские платежи</t>
        </is>
      </c>
    </row>
    <row r="428">
      <c r="A428" t="inlineStr">
        <is>
          <t xml:space="preserve">ПОДРАЗДЕЛ · Эквайринг</t>
        </is>
      </c>
    </row>
    <row r="429">
      <c r="A429" t="inlineStr">
        <is>
          <t xml:space="preserve">№</t>
        </is>
      </c>
      <c r="B429" t="inlineStr">
        <is>
          <t xml:space="preserve">Наименование</t>
        </is>
      </c>
      <c r="C429" t="inlineStr">
        <is>
          <t xml:space="preserve">ID</t>
        </is>
      </c>
      <c r="D429" t="inlineStr">
        <is>
          <t xml:space="preserve">Назначение</t>
        </is>
      </c>
      <c r="E429" t="inlineStr">
        <is>
          <t xml:space="preserve">Тип</t>
        </is>
      </c>
      <c r="F429" t="inlineStr">
        <is>
          <t xml:space="preserve">Понятие</t>
        </is>
      </c>
      <c r="G429" t="inlineStr">
        <is>
          <t xml:space="preserve">Значение/формула</t>
        </is>
      </c>
      <c r="H429" t="inlineStr">
        <is>
          <t xml:space="preserve">Описание алгоритма</t>
        </is>
      </c>
    </row>
    <row r="430">
      <c r="A430" t="inlineStr">
        <is>
          <t xml:space="preserve">308</t>
        </is>
      </c>
      <c r="B430" t="inlineStr">
        <is>
          <t xml:space="preserve">Эквайринг</t>
        </is>
      </c>
      <c r="C430" t="inlineStr">
        <is>
          <t xml:space="preserve">acquiring</t>
        </is>
      </c>
      <c r="D430" t="inlineStr">
        <is>
          <t xml:space="preserve">Банковские платежи</t>
        </is>
      </c>
      <c r="E430" t="inlineStr">
        <is>
          <t xml:space="preserve">calc</t>
        </is>
      </c>
      <c r="F430"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c r="G430" t="inlineStr">
        <is>
          <t xml:space="preserve">2,7%</t>
        </is>
      </c>
    </row>
    <row r="431">
      <c r="A431" t="inlineStr">
        <is>
          <t xml:space="preserve">309</t>
        </is>
      </c>
      <c r="B431" t="inlineStr">
        <is>
          <t xml:space="preserve">Доля безналичных платежей</t>
        </is>
      </c>
      <c r="D431" t="inlineStr">
        <is>
          <t xml:space="preserve">Банковские платежи</t>
        </is>
      </c>
      <c r="E431" t="inlineStr">
        <is>
          <t xml:space="preserve">понятие</t>
        </is>
      </c>
      <c r="F431" t="inlineStr">
        <is>
          <t xml:space="preserve">Процентная часть платежей, полученных специалистом за оказанные услуги в безналичной форме, от общего объёма полученных платежей за определённый период.</t>
        </is>
      </c>
    </row>
    <row r="432">
      <c r="A432" t="inlineStr">
        <is>
          <t xml:space="preserve">ПОДРАЗДЕЛ · Эквайринг и банковские платежи</t>
        </is>
      </c>
    </row>
    <row r="433">
      <c r="A433" t="inlineStr">
        <is>
          <t xml:space="preserve">№</t>
        </is>
      </c>
      <c r="B433" t="inlineStr">
        <is>
          <t xml:space="preserve">Наименование</t>
        </is>
      </c>
      <c r="C433" t="inlineStr">
        <is>
          <t xml:space="preserve">ID</t>
        </is>
      </c>
      <c r="D433" t="inlineStr">
        <is>
          <t xml:space="preserve">Назначение</t>
        </is>
      </c>
      <c r="E433" t="inlineStr">
        <is>
          <t xml:space="preserve">Тип</t>
        </is>
      </c>
      <c r="F433" t="inlineStr">
        <is>
          <t xml:space="preserve">Понятие</t>
        </is>
      </c>
      <c r="G433" t="inlineStr">
        <is>
          <t xml:space="preserve">Значение/формула</t>
        </is>
      </c>
      <c r="H433" t="inlineStr">
        <is>
          <t xml:space="preserve">Описание алгоритма</t>
        </is>
      </c>
    </row>
    <row r="434">
      <c r="A434" t="inlineStr">
        <is>
          <t xml:space="preserve">310</t>
        </is>
      </c>
      <c r="B434" t="inlineStr">
        <is>
          <t xml:space="preserve">Эквайринг · ставка</t>
        </is>
      </c>
      <c r="C434" t="inlineStr">
        <is>
          <t xml:space="preserve">acq_rate</t>
        </is>
      </c>
      <c r="D434" t="inlineStr">
        <is>
          <t xml:space="preserve">Банковские платежи</t>
        </is>
      </c>
      <c r="E434" t="inlineStr">
        <is>
          <t xml:space="preserve">default</t>
        </is>
      </c>
      <c r="F434"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c r="G434" t="inlineStr">
        <is>
          <t xml:space="preserve">0.027</t>
        </is>
      </c>
    </row>
    <row r="435">
      <c r="A435" t="inlineStr">
        <is>
          <t xml:space="preserve">311</t>
        </is>
      </c>
      <c r="B435" t="inlineStr">
        <is>
          <t xml:space="preserve">Эквайринг · доля безналичных оплат</t>
        </is>
      </c>
      <c r="C435" t="inlineStr">
        <is>
          <t xml:space="preserve">acq_share</t>
        </is>
      </c>
      <c r="D435" t="inlineStr">
        <is>
          <t xml:space="preserve">Банковские платежи</t>
        </is>
      </c>
      <c r="E435" t="inlineStr">
        <is>
          <t xml:space="preserve">default</t>
        </is>
      </c>
      <c r="F435"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c r="G435" t="inlineStr">
        <is>
          <t xml:space="preserve">1.0</t>
        </is>
      </c>
    </row>
    <row r="436">
      <c r="A436" t="inlineStr">
        <is>
          <t xml:space="preserve">312</t>
        </is>
      </c>
      <c r="B436" t="inlineStr">
        <is>
          <t xml:space="preserve">Эквайринг · эффективно</t>
        </is>
      </c>
      <c r="C436" t="inlineStr">
        <is>
          <t xml:space="preserve">acquiring</t>
        </is>
      </c>
      <c r="D436" t="inlineStr">
        <is>
          <t xml:space="preserve">Банковские платежи</t>
        </is>
      </c>
      <c r="E436" t="inlineStr">
        <is>
          <t xml:space="preserve">calc</t>
        </is>
      </c>
      <c r="F436"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c r="G436" t="inlineStr">
        <is>
          <t xml:space="preserve">acq_rate*acq_share</t>
        </is>
      </c>
    </row>
    <row r="437"/>
    <row r="438">
      <c r="A438" t="inlineStr">
        <is>
          <t xml:space="preserve">РАЗДЕЛ · Резервы</t>
        </is>
      </c>
    </row>
    <row r="439">
      <c r="A439" t="inlineStr">
        <is>
          <t xml:space="preserve">ПОДРАЗДЕЛ · Резерв времени</t>
        </is>
      </c>
    </row>
    <row r="440">
      <c r="A440" t="inlineStr">
        <is>
          <t xml:space="preserve">№</t>
        </is>
      </c>
      <c r="B440" t="inlineStr">
        <is>
          <t xml:space="preserve">Наименование</t>
        </is>
      </c>
      <c r="C440" t="inlineStr">
        <is>
          <t xml:space="preserve">ID</t>
        </is>
      </c>
      <c r="D440" t="inlineStr">
        <is>
          <t xml:space="preserve">Назначение</t>
        </is>
      </c>
      <c r="E440" t="inlineStr">
        <is>
          <t xml:space="preserve">Тип</t>
        </is>
      </c>
      <c r="F440" t="inlineStr">
        <is>
          <t xml:space="preserve">Понятие</t>
        </is>
      </c>
      <c r="G440" t="inlineStr">
        <is>
          <t xml:space="preserve">Значение/формула</t>
        </is>
      </c>
      <c r="H440" t="inlineStr">
        <is>
          <t xml:space="preserve">Описание алгоритма</t>
        </is>
      </c>
    </row>
    <row r="441">
      <c r="A441" t="inlineStr">
        <is>
          <t xml:space="preserve">313</t>
        </is>
      </c>
      <c r="B441" t="inlineStr">
        <is>
          <t xml:space="preserve">Резерв времени на форс-мажоры</t>
        </is>
      </c>
      <c r="D441" t="inlineStr">
        <is>
          <t xml:space="preserve">Резервы</t>
        </is>
      </c>
      <c r="E441" t="inlineStr">
        <is>
          <t xml:space="preserve">понятие</t>
        </is>
      </c>
      <c r="F441" t="inlineStr">
        <is>
          <t xml:space="preserve">Дополнительное время, закладываемое в рабочий график на непредвиденные обстоятельства, задержки, технические сбои и другие ситуации, которые могут увеличить продолжительность выполнения работы.</t>
        </is>
      </c>
    </row>
    <row r="442">
      <c r="A442" t="inlineStr">
        <is>
          <t xml:space="preserve">ПОДРАЗДЕЛ · Резерв развития</t>
        </is>
      </c>
    </row>
    <row r="443">
      <c r="A443" t="inlineStr">
        <is>
          <t xml:space="preserve">№</t>
        </is>
      </c>
      <c r="B443" t="inlineStr">
        <is>
          <t xml:space="preserve">Наименование</t>
        </is>
      </c>
      <c r="C443" t="inlineStr">
        <is>
          <t xml:space="preserve">ID</t>
        </is>
      </c>
      <c r="D443" t="inlineStr">
        <is>
          <t xml:space="preserve">Назначение</t>
        </is>
      </c>
      <c r="E443" t="inlineStr">
        <is>
          <t xml:space="preserve">Тип</t>
        </is>
      </c>
      <c r="F443" t="inlineStr">
        <is>
          <t xml:space="preserve">Понятие</t>
        </is>
      </c>
      <c r="G443" t="inlineStr">
        <is>
          <t xml:space="preserve">Значение/формула</t>
        </is>
      </c>
      <c r="H443" t="inlineStr">
        <is>
          <t xml:space="preserve">Описание алгоритма</t>
        </is>
      </c>
    </row>
    <row r="444">
      <c r="A444" t="inlineStr">
        <is>
          <t xml:space="preserve">314</t>
        </is>
      </c>
      <c r="B444" t="inlineStr">
        <is>
          <t xml:space="preserve">Резерв на развитие</t>
        </is>
      </c>
      <c r="D444" t="inlineStr">
        <is>
          <t xml:space="preserve">Резервы</t>
        </is>
      </c>
      <c r="E444" t="inlineStr">
        <is>
          <t xml:space="preserve">понятие</t>
        </is>
      </c>
      <c r="F444" t="inlineStr">
        <is>
          <t xml:space="preserve">Часть дохода, которую специалист или бизнес заранее откладывает для финансирования будущего развития, улучшения профессиональной деятельности и реализации новых возможностей.</t>
        </is>
      </c>
    </row>
    <row r="445">
      <c r="A445" t="inlineStr">
        <is>
          <t xml:space="preserve">315</t>
        </is>
      </c>
      <c r="B445" t="inlineStr">
        <is>
          <t xml:space="preserve">Фонд развития</t>
        </is>
      </c>
      <c r="D445" t="inlineStr">
        <is>
          <t xml:space="preserve">Резервы</t>
        </is>
      </c>
      <c r="E445" t="inlineStr">
        <is>
          <t xml:space="preserve">понятие</t>
        </is>
      </c>
      <c r="F445" t="inlineStr">
        <is>
          <t xml:space="preserve">Сформированная сумма денежных средств, предназначенная для финансирования развития специалиста или бизнеса, включая приобретение оборудования, обучение, продвижение, внедрение новых инструментов и другие инвестиции в рост.</t>
        </is>
      </c>
    </row>
    <row r="446">
      <c r="A446" t="inlineStr">
        <is>
          <t xml:space="preserve">ПОДРАЗДЕЛ · Резерв программы лояльности</t>
        </is>
      </c>
    </row>
    <row r="447">
      <c r="A447" t="inlineStr">
        <is>
          <t xml:space="preserve">№</t>
        </is>
      </c>
      <c r="B447" t="inlineStr">
        <is>
          <t xml:space="preserve">Наименование</t>
        </is>
      </c>
      <c r="C447" t="inlineStr">
        <is>
          <t xml:space="preserve">ID</t>
        </is>
      </c>
      <c r="D447" t="inlineStr">
        <is>
          <t xml:space="preserve">Назначение</t>
        </is>
      </c>
      <c r="E447" t="inlineStr">
        <is>
          <t xml:space="preserve">Тип</t>
        </is>
      </c>
      <c r="F447" t="inlineStr">
        <is>
          <t xml:space="preserve">Понятие</t>
        </is>
      </c>
      <c r="G447" t="inlineStr">
        <is>
          <t xml:space="preserve">Значение/формула</t>
        </is>
      </c>
      <c r="H447" t="inlineStr">
        <is>
          <t xml:space="preserve">Описание алгоритма</t>
        </is>
      </c>
    </row>
    <row r="448">
      <c r="A448" t="inlineStr">
        <is>
          <t xml:space="preserve">316</t>
        </is>
      </c>
      <c r="B448" t="inlineStr">
        <is>
          <t xml:space="preserve">Запас на скидку</t>
        </is>
      </c>
      <c r="D448" t="inlineStr">
        <is>
          <t xml:space="preserve">Резервы</t>
        </is>
      </c>
      <c r="E448" t="inlineStr">
        <is>
          <t xml:space="preserve">понятие</t>
        </is>
      </c>
      <c r="F448" t="inlineStr">
        <is>
          <t xml:space="preserve">Часть стоимости услуги, заранее заложенная в цену для возможности предоставить клиенту скидку без снижения планируемого дохода специалиста.</t>
        </is>
      </c>
    </row>
    <row r="449">
      <c r="A449" t="inlineStr">
        <is>
          <t xml:space="preserve">317</t>
        </is>
      </c>
      <c r="B449" t="inlineStr">
        <is>
          <t xml:space="preserve">Подарочный сертификат</t>
        </is>
      </c>
      <c r="D449" t="inlineStr">
        <is>
          <t xml:space="preserve">Резервы</t>
        </is>
      </c>
      <c r="E449" t="inlineStr">
        <is>
          <t xml:space="preserve">понятие</t>
        </is>
      </c>
      <c r="F449" t="inlineStr">
        <is>
          <t xml:space="preserve">Документ, подтверждающий право его владельца получить определённую услугу или набор услуг на указанную в сертификате сумму или в соответствии с установленными условиями.</t>
        </is>
      </c>
    </row>
    <row r="450">
      <c r="A450" t="inlineStr">
        <is>
          <t xml:space="preserve">318</t>
        </is>
      </c>
      <c r="B450" t="inlineStr">
        <is>
          <t xml:space="preserve">Программа лояльности</t>
        </is>
      </c>
      <c r="D450" t="inlineStr">
        <is>
          <t xml:space="preserve">Резервы</t>
        </is>
      </c>
      <c r="E450" t="inlineStr">
        <is>
          <t xml:space="preserve">понятие</t>
        </is>
      </c>
      <c r="F450" t="inlineStr">
        <is>
          <t xml:space="preserve">Система условий и поощрений, направленная на привлечение и удержание клиентов и стимулирование их повторных покупок или заказов.</t>
        </is>
      </c>
    </row>
    <row r="451">
      <c r="A451" t="inlineStr">
        <is>
          <t xml:space="preserve">319</t>
        </is>
      </c>
      <c r="B451" t="inlineStr">
        <is>
          <t xml:space="preserve">Резерв на программу лояльности</t>
        </is>
      </c>
      <c r="D451" t="inlineStr">
        <is>
          <t xml:space="preserve">Резервы</t>
        </is>
      </c>
      <c r="E451" t="inlineStr">
        <is>
          <t xml:space="preserve">понятие</t>
        </is>
      </c>
      <c r="F451" t="inlineStr">
        <is>
          <t xml:space="preserve">Часть дохода, которую специалист заранее закладывает на предоставление скидок, бонусов, подарков и других поощрений клиентам в рамках программы лояльности.</t>
        </is>
      </c>
    </row>
    <row r="452">
      <c r="A452" t="inlineStr">
        <is>
          <t xml:space="preserve">320</t>
        </is>
      </c>
      <c r="B452" t="inlineStr">
        <is>
          <t xml:space="preserve">Скидка за объём</t>
        </is>
      </c>
      <c r="D452" t="inlineStr">
        <is>
          <t xml:space="preserve">Резервы</t>
        </is>
      </c>
      <c r="E452" t="inlineStr">
        <is>
          <t xml:space="preserve">понятие</t>
        </is>
      </c>
      <c r="F452" t="inlineStr">
        <is>
          <t xml:space="preserve">Снижение стоимости единицы услуги при увеличении объёма заказа или количества приобретаемых услуг.</t>
        </is>
      </c>
    </row>
    <row r="453">
      <c r="A453" t="inlineStr">
        <is>
          <t xml:space="preserve">321</t>
        </is>
      </c>
      <c r="B453" t="inlineStr">
        <is>
          <t xml:space="preserve">Фонд программы лояльности</t>
        </is>
      </c>
      <c r="D453" t="inlineStr">
        <is>
          <t xml:space="preserve">Резервы</t>
        </is>
      </c>
      <c r="E453" t="inlineStr">
        <is>
          <t xml:space="preserve">понятие</t>
        </is>
      </c>
      <c r="F453" t="inlineStr">
        <is>
          <t xml:space="preserve">Сформированная сумма денежных средств, предназначенная для финансирования скидок, бонусов, подарков и других поощрений клиентов в рамках программы лояльности.</t>
        </is>
      </c>
    </row>
    <row r="454">
      <c r="A454" t="inlineStr">
        <is>
          <t xml:space="preserve">ПОДРАЗДЕЛ · Резервы модели</t>
        </is>
      </c>
    </row>
    <row r="455">
      <c r="A455" t="inlineStr">
        <is>
          <t xml:space="preserve">№</t>
        </is>
      </c>
      <c r="B455" t="inlineStr">
        <is>
          <t xml:space="preserve">Наименование</t>
        </is>
      </c>
      <c r="C455" t="inlineStr">
        <is>
          <t xml:space="preserve">ID</t>
        </is>
      </c>
      <c r="D455" t="inlineStr">
        <is>
          <t xml:space="preserve">Назначение</t>
        </is>
      </c>
      <c r="E455" t="inlineStr">
        <is>
          <t xml:space="preserve">Тип</t>
        </is>
      </c>
      <c r="F455" t="inlineStr">
        <is>
          <t xml:space="preserve">Понятие</t>
        </is>
      </c>
      <c r="G455" t="inlineStr">
        <is>
          <t xml:space="preserve">Значение/формула</t>
        </is>
      </c>
      <c r="H455" t="inlineStr">
        <is>
          <t xml:space="preserve">Описание алгоритма</t>
        </is>
      </c>
    </row>
    <row r="456">
      <c r="A456" t="inlineStr">
        <is>
          <t xml:space="preserve">322</t>
        </is>
      </c>
      <c r="B456" t="inlineStr">
        <is>
          <t xml:space="preserve">Время на заказы до резерва</t>
        </is>
      </c>
      <c r="C456" t="inlineStr">
        <is>
          <t xml:space="preserve">pool_gross</t>
        </is>
      </c>
      <c r="D456" t="inlineStr">
        <is>
          <t xml:space="preserve">Резервы</t>
        </is>
      </c>
      <c r="E456" t="inlineStr">
        <is>
          <t xml:space="preserve">calc</t>
        </is>
      </c>
      <c r="F456" t="inlineStr">
        <is>
          <t xml:space="preserve">Чистое минус операционное. Промежуточная величина перед вычетом резерва</t>
        </is>
      </c>
      <c r="G456" t="inlineStr">
        <is>
          <t xml:space="preserve">1 533 − 450 = 1 083 ч/год</t>
        </is>
      </c>
    </row>
    <row r="457">
      <c r="A457" t="inlineStr">
        <is>
          <t xml:space="preserve">323</t>
        </is>
      </c>
      <c r="B457" t="inlineStr">
        <is>
          <t xml:space="preserve">Резерв на форс-мажоры</t>
        </is>
      </c>
      <c r="C457" t="inlineStr">
        <is>
          <t xml:space="preserve">fm_time</t>
        </is>
      </c>
      <c r="D457" t="inlineStr">
        <is>
          <t xml:space="preserve">Резервы</t>
        </is>
      </c>
      <c r="E457" t="inlineStr">
        <is>
          <t xml:space="preserve">calc</t>
        </is>
      </c>
      <c r="F457" t="inlineStr">
        <is>
          <t xml:space="preserve">Перенос и отмена съёмок, срывы по вине клиента, повторные выезды. Процент от времени на заказы</t>
        </is>
      </c>
      <c r="G457" t="inlineStr">
        <is>
          <t xml:space="preserve">5% × 1 083 = 54,15 ч/год</t>
        </is>
      </c>
    </row>
    <row r="458">
      <c r="A458" t="inlineStr">
        <is>
          <t xml:space="preserve">324</t>
        </is>
      </c>
      <c r="B458" t="inlineStr">
        <is>
          <t xml:space="preserve">Резерв на форс-мажоры</t>
        </is>
      </c>
      <c r="C458" t="inlineStr">
        <is>
          <t xml:space="preserve">fm_on</t>
        </is>
      </c>
      <c r="D458" t="inlineStr">
        <is>
          <t xml:space="preserve">Резервы</t>
        </is>
      </c>
      <c r="E458" t="inlineStr">
        <is>
          <t xml:space="preserve">switch</t>
        </is>
      </c>
      <c r="F458" t="inlineStr">
        <is>
          <t xml:space="preserve">Включён по умолчанию, 5%. Поле процента редактируется пользователем</t>
        </is>
      </c>
      <c r="G458" t="inlineStr">
        <is>
          <t xml:space="preserve">Заложить / Не закладывать</t>
        </is>
      </c>
    </row>
    <row r="459">
      <c r="A459" t="inlineStr">
        <is>
          <t xml:space="preserve">325</t>
        </is>
      </c>
      <c r="B459" t="inlineStr">
        <is>
          <t xml:space="preserve">Время на заказы до резерва</t>
        </is>
      </c>
      <c r="C459" t="inlineStr">
        <is>
          <t xml:space="preserve">pool_gross</t>
        </is>
      </c>
      <c r="D459" t="inlineStr">
        <is>
          <t xml:space="preserve">Резервы</t>
        </is>
      </c>
      <c r="E459" t="inlineStr">
        <is>
          <t xml:space="preserve">calc</t>
        </is>
      </c>
      <c r="F459" t="inlineStr">
        <is>
          <t xml:space="preserve">ч/год</t>
        </is>
      </c>
      <c r="G459" t="inlineStr">
        <is>
          <t xml:space="preserve">net_time-side_time</t>
        </is>
      </c>
    </row>
    <row r="460">
      <c r="A460" t="inlineStr">
        <is>
          <t xml:space="preserve">326</t>
        </is>
      </c>
      <c r="B460" t="inlineStr">
        <is>
          <t xml:space="preserve">ПЕРЕКЛЮЧАТЕЛЬ · резерв на форс-мажоры</t>
        </is>
      </c>
      <c r="C460" t="inlineStr">
        <is>
          <t xml:space="preserve">fm_on</t>
        </is>
      </c>
      <c r="D460" t="inlineStr">
        <is>
          <t xml:space="preserve">Резервы</t>
        </is>
      </c>
      <c r="E460" t="inlineStr">
        <is>
          <t xml:space="preserve">default</t>
        </is>
      </c>
      <c r="G460" t="inlineStr">
        <is>
          <t xml:space="preserve">Заложить резерв</t>
        </is>
      </c>
    </row>
    <row r="461">
      <c r="A461" t="inlineStr">
        <is>
          <t xml:space="preserve">327</t>
        </is>
      </c>
      <c r="B461" t="inlineStr">
        <is>
          <t xml:space="preserve">Резерв на форс-мажоры, %</t>
        </is>
      </c>
      <c r="C461" t="inlineStr">
        <is>
          <t xml:space="preserve">fm_pct</t>
        </is>
      </c>
      <c r="D461" t="inlineStr">
        <is>
          <t xml:space="preserve">Резервы</t>
        </is>
      </c>
      <c r="E461" t="inlineStr">
        <is>
          <t xml:space="preserve">default</t>
        </is>
      </c>
      <c r="F461" t="inlineStr">
        <is>
          <t xml:space="preserve">%</t>
        </is>
      </c>
      <c r="G461" t="inlineStr">
        <is>
          <t xml:space="preserve">0.05</t>
        </is>
      </c>
    </row>
    <row r="462">
      <c r="A462" t="inlineStr">
        <is>
          <t xml:space="preserve">328</t>
        </is>
      </c>
      <c r="B462" t="inlineStr">
        <is>
          <t xml:space="preserve">Резерв на форс-мажоры, часов</t>
        </is>
      </c>
      <c r="C462" t="inlineStr">
        <is>
          <t xml:space="preserve">fm_time</t>
        </is>
      </c>
      <c r="D462" t="inlineStr">
        <is>
          <t xml:space="preserve">Резервы</t>
        </is>
      </c>
      <c r="E462" t="inlineStr">
        <is>
          <t xml:space="preserve">calc</t>
        </is>
      </c>
      <c r="F462" t="inlineStr">
        <is>
          <t xml:space="preserve">ч/год</t>
        </is>
      </c>
      <c r="G462" t="inlineStr">
        <is>
          <t xml:space="preserve">IF(fm_on="Заложить резерв",pool_gross*fm_pct,0)</t>
        </is>
      </c>
    </row>
    <row r="463">
      <c r="A463" t="inlineStr">
        <is>
          <t xml:space="preserve">329</t>
        </is>
      </c>
      <c r="B463" t="inlineStr">
        <is>
          <t xml:space="preserve">Резерв, часов в неделю</t>
        </is>
      </c>
      <c r="C463" t="inlineStr">
        <is>
          <t xml:space="preserve">fm_week</t>
        </is>
      </c>
      <c r="D463" t="inlineStr">
        <is>
          <t xml:space="preserve">Резервы</t>
        </is>
      </c>
      <c r="E463" t="inlineStr">
        <is>
          <t xml:space="preserve">calc</t>
        </is>
      </c>
      <c r="F463" t="inlineStr">
        <is>
          <t xml:space="preserve">ч/нед</t>
        </is>
      </c>
      <c r="G463" t="inlineStr">
        <is>
          <t xml:space="preserve">IF(net_weeks=0,0,fm_time/net_weeks)</t>
        </is>
      </c>
    </row>
  </sheetData>
</worksheet>
</file>

<file path=xl/worksheets/sheet3.xml><?xml version="1.0" encoding="utf-8"?>
<worksheet xmlns="http://schemas.openxmlformats.org/spreadsheetml/2006/main">
  <sheetPr>
    <outlinePr summaryBelow="1" summaryRight="1"/>
    <pageSetUpPr/>
  </sheetPr>
  <dimension ref="A1:I143"/>
  <sheetViews>
    <sheetView showGridLines="0" workbookViewId="0">
      <pane ySplit="5" topLeftCell="A6" activePane="bottomLeft" state="frozen"/>
      <selection pane="bottomLeft" activeCell="A1" sqref="A1"/>
    </sheetView>
  </sheetViews>
  <sheetFormatPr baseColWidth="8" defaultRowHeight="15"/>
  <cols>
    <col width="23" customWidth="1" min="1" max="1"/>
    <col width="42" customWidth="1" min="2" max="2"/>
    <col width="16" customWidth="1" min="3" max="3"/>
    <col width="9" customWidth="1" min="4" max="4"/>
    <col width="50" customWidth="1" min="5" max="5"/>
    <col width="9" customWidth="1" min="6" max="6"/>
    <col width="28" customWidth="1" min="7" max="7"/>
    <col width="24" customWidth="1" min="8" max="8"/>
  </cols>
  <sheetData>
    <row r="1">
      <c r="A1" s="1" t="inlineStr">
        <is>
          <t>02 · ПАРАМЕТРЫ — каждая величина объявлена один раз, формулы записаны через ID</t>
        </is>
      </c>
    </row>
    <row r="2">
      <c r="A2" s="25" t="inlineStr">
        <is>
          <t>Жёлтое — ввод пользователя. Оранжевое — ПЕРЕКЛЮЧАТЕЛЬ (выпадающий список). Зелёное — вычисляется. Серое — константа.</t>
        </is>
      </c>
    </row>
    <row r="3"/>
    <row r="4">
      <c r="A4" s="3" t="inlineStr">
        <is>
          <t>1 · КАЛЕНДАРЬ</t>
        </is>
      </c>
    </row>
    <row r="5" ht="26" customHeight="1">
      <c r="A5" s="26" t="inlineStr">
        <is>
          <t>ID</t>
        </is>
      </c>
      <c r="B5" s="26" t="inlineStr">
        <is>
          <t>Название</t>
        </is>
      </c>
      <c r="C5" s="26" t="inlineStr">
        <is>
          <t>Значение</t>
        </is>
      </c>
      <c r="D5" s="26" t="inlineStr">
        <is>
          <t>Ед.</t>
        </is>
      </c>
      <c r="E5" s="26" t="inlineStr">
        <is>
          <t>Формула / как получено</t>
        </is>
      </c>
      <c r="F5" s="26" t="inlineStr">
        <is>
          <t>Тип</t>
        </is>
      </c>
      <c r="G5" s="26" t="inlineStr">
        <is>
          <t>Зависит от</t>
        </is>
      </c>
      <c r="H5" s="26" t="inlineStr">
        <is>
          <t>Источник / форма</t>
        </is>
      </c>
    </row>
    <row r="6">
      <c r="A6" s="27" t="inlineStr">
        <is>
          <t>days_year</t>
        </is>
      </c>
      <c r="B6" s="28" t="inlineStr">
        <is>
          <t>Всего дней в году</t>
        </is>
      </c>
      <c r="C6" s="29" t="n">
        <v>365</v>
      </c>
      <c r="D6" s="28" t="inlineStr">
        <is>
          <t>дн</t>
        </is>
      </c>
      <c r="E6" s="30" t="inlineStr"/>
      <c r="F6" s="7" t="inlineStr">
        <is>
          <t>const</t>
        </is>
      </c>
      <c r="G6" s="6" t="inlineStr"/>
      <c r="H6" s="30" t="inlineStr"/>
    </row>
    <row r="7">
      <c r="A7" s="27" t="inlineStr">
        <is>
          <t>work_days</t>
        </is>
      </c>
      <c r="B7" s="28" t="inlineStr">
        <is>
          <t>Рабочих дней в году</t>
        </is>
      </c>
      <c r="C7" s="29" t="n">
        <v>247</v>
      </c>
      <c r="D7" s="28" t="inlineStr">
        <is>
          <t>дн</t>
        </is>
      </c>
      <c r="E7" s="30" t="inlineStr"/>
      <c r="F7" s="7" t="inlineStr">
        <is>
          <t>const</t>
        </is>
      </c>
      <c r="G7" s="6" t="inlineStr"/>
      <c r="H7" s="30" t="inlineStr">
        <is>
          <t>Произв. календарь РФ 2026</t>
        </is>
      </c>
    </row>
    <row r="8">
      <c r="A8" s="27" t="inlineStr">
        <is>
          <t>days_week</t>
        </is>
      </c>
      <c r="B8" s="28" t="inlineStr">
        <is>
          <t>Рабочих дней в неделю</t>
        </is>
      </c>
      <c r="C8" s="29" t="n">
        <v>5</v>
      </c>
      <c r="D8" s="28" t="inlineStr">
        <is>
          <t>дн</t>
        </is>
      </c>
      <c r="E8" s="30" t="inlineStr"/>
      <c r="F8" s="7" t="inlineStr">
        <is>
          <t>const</t>
        </is>
      </c>
      <c r="G8" s="6" t="inlineStr"/>
      <c r="H8" s="30" t="inlineStr"/>
    </row>
    <row r="9">
      <c r="A9" s="27" t="inlineStr">
        <is>
          <t>months</t>
        </is>
      </c>
      <c r="B9" s="28" t="inlineStr">
        <is>
          <t>Месяцев в году</t>
        </is>
      </c>
      <c r="C9" s="29" t="n">
        <v>12</v>
      </c>
      <c r="D9" s="28" t="inlineStr">
        <is>
          <t>мес</t>
        </is>
      </c>
      <c r="E9" s="30" t="inlineStr"/>
      <c r="F9" s="7" t="inlineStr">
        <is>
          <t>const</t>
        </is>
      </c>
      <c r="G9" s="6" t="inlineStr"/>
      <c r="H9" s="30" t="inlineStr"/>
    </row>
    <row r="10">
      <c r="A10" s="27" t="inlineStr">
        <is>
          <t>quarters</t>
        </is>
      </c>
      <c r="B10" s="28" t="inlineStr">
        <is>
          <t>Кварталов в году</t>
        </is>
      </c>
      <c r="C10" s="29" t="n">
        <v>4</v>
      </c>
      <c r="D10" s="28" t="inlineStr">
        <is>
          <t>кв</t>
        </is>
      </c>
      <c r="E10" s="30" t="inlineStr"/>
      <c r="F10" s="7" t="inlineStr">
        <is>
          <t>const</t>
        </is>
      </c>
      <c r="G10" s="6" t="inlineStr"/>
      <c r="H10" s="30" t="inlineStr"/>
    </row>
    <row r="11">
      <c r="A11" s="27" t="inlineStr">
        <is>
          <t>weeks_year</t>
        </is>
      </c>
      <c r="B11" s="28" t="inlineStr">
        <is>
          <t>Всего недель в году</t>
        </is>
      </c>
      <c r="C11" s="31">
        <f>days_year/7</f>
        <v>52.142857142857146</v>
      </c>
      <c r="D11" s="28" t="inlineStr">
        <is>
          <t>нед</t>
        </is>
      </c>
      <c r="E11" s="30" t="inlineStr">
        <is>
          <t>days_year/7</t>
        </is>
      </c>
      <c r="F11" s="7" t="inlineStr">
        <is>
          <t>calc</t>
        </is>
      </c>
      <c r="G11" s="6" t="inlineStr">
        <is>
          <t>days_year</t>
        </is>
      </c>
      <c r="H11" s="30" t="inlineStr"/>
    </row>
    <row r="12">
      <c r="A12" s="27" t="inlineStr">
        <is>
          <t>nominal_hours</t>
        </is>
      </c>
      <c r="B12" s="28" t="inlineStr">
        <is>
          <t>Номинальных часов в дне</t>
        </is>
      </c>
      <c r="C12" s="29" t="n">
        <v>8</v>
      </c>
      <c r="D12" s="28" t="inlineStr">
        <is>
          <t>ч</t>
        </is>
      </c>
      <c r="E12" s="30" t="inlineStr"/>
      <c r="F12" s="7" t="inlineStr">
        <is>
          <t>const</t>
        </is>
      </c>
      <c r="G12" s="6" t="inlineStr"/>
      <c r="H12" s="30" t="inlineStr">
        <is>
          <t>ст. 91 ТК РФ</t>
        </is>
      </c>
    </row>
    <row r="13">
      <c r="A13" s="27" t="inlineStr">
        <is>
          <t>work_months</t>
        </is>
      </c>
      <c r="B13" s="28" t="inlineStr">
        <is>
          <t>Рабочих месяцев в году</t>
        </is>
      </c>
      <c r="C13" s="29" t="n">
        <v>11</v>
      </c>
      <c r="D13" s="28" t="inlineStr">
        <is>
          <t>мес</t>
        </is>
      </c>
      <c r="E13" s="30" t="inlineStr"/>
      <c r="F13" s="7" t="inlineStr">
        <is>
          <t>const</t>
        </is>
      </c>
      <c r="G13" s="6" t="inlineStr"/>
      <c r="H13" s="30" t="inlineStr">
        <is>
          <t>СПРАВОЧНО, в расчёте не участвует</t>
        </is>
      </c>
    </row>
    <row r="14">
      <c r="A14" s="27" t="inlineStr">
        <is>
          <t>vacation_cal</t>
        </is>
      </c>
      <c r="B14" s="28" t="inlineStr">
        <is>
          <t>Отпуск, календарных дней</t>
        </is>
      </c>
      <c r="C14" s="29" t="n">
        <v>28</v>
      </c>
      <c r="D14" s="28" t="inlineStr">
        <is>
          <t>дн</t>
        </is>
      </c>
      <c r="E14" s="30" t="inlineStr"/>
      <c r="F14" s="7" t="inlineStr">
        <is>
          <t>const</t>
        </is>
      </c>
      <c r="G14" s="6" t="inlineStr"/>
      <c r="H14" s="30" t="inlineStr">
        <is>
          <t>ст. 115 ТК РФ</t>
        </is>
      </c>
    </row>
    <row r="15">
      <c r="A15" s="27" t="inlineStr">
        <is>
          <t>vacation_work</t>
        </is>
      </c>
      <c r="B15" s="28" t="inlineStr">
        <is>
          <t>Отпуск, рабочих дней</t>
        </is>
      </c>
      <c r="C15" s="29" t="n">
        <v>20</v>
      </c>
      <c r="D15" s="28" t="inlineStr">
        <is>
          <t>дн</t>
        </is>
      </c>
      <c r="E15" s="30" t="inlineStr"/>
      <c r="F15" s="7" t="inlineStr">
        <is>
          <t>const</t>
        </is>
      </c>
      <c r="G15" s="6" t="inlineStr"/>
      <c r="H15" s="30" t="inlineStr"/>
    </row>
    <row r="16">
      <c r="A16" s="27" t="inlineStr">
        <is>
          <t>sick_cal</t>
        </is>
      </c>
      <c r="B16" s="28" t="inlineStr">
        <is>
          <t>Больничный, календарных дней</t>
        </is>
      </c>
      <c r="C16" s="29" t="n">
        <v>10</v>
      </c>
      <c r="D16" s="28" t="inlineStr">
        <is>
          <t>дн</t>
        </is>
      </c>
      <c r="E16" s="30" t="inlineStr"/>
      <c r="F16" s="7" t="inlineStr">
        <is>
          <t>const</t>
        </is>
      </c>
      <c r="G16" s="6" t="inlineStr"/>
      <c r="H16" s="30" t="inlineStr">
        <is>
          <t>среднее за год</t>
        </is>
      </c>
    </row>
    <row r="17">
      <c r="A17" s="27" t="inlineStr">
        <is>
          <t>sick_work</t>
        </is>
      </c>
      <c r="B17" s="28" t="inlineStr">
        <is>
          <t>Больничный, рабочих дней</t>
        </is>
      </c>
      <c r="C17" s="29" t="n">
        <v>8</v>
      </c>
      <c r="D17" s="28" t="inlineStr">
        <is>
          <t>дн</t>
        </is>
      </c>
      <c r="E17" s="30" t="inlineStr"/>
      <c r="F17" s="7" t="inlineStr">
        <is>
          <t>const</t>
        </is>
      </c>
      <c r="G17" s="6" t="inlineStr"/>
      <c r="H17" s="30" t="inlineStr"/>
    </row>
    <row r="18">
      <c r="A18" s="27" t="inlineStr">
        <is>
          <t>eff_hours</t>
        </is>
      </c>
      <c r="B18" s="28" t="inlineStr">
        <is>
          <t>Чистых (эффективных) часов в дне</t>
        </is>
      </c>
      <c r="C18" s="29" t="n">
        <v>7</v>
      </c>
      <c r="D18" s="28" t="inlineStr">
        <is>
          <t>ч</t>
        </is>
      </c>
      <c r="E18" s="30" t="inlineStr"/>
      <c r="F18" s="7" t="inlineStr">
        <is>
          <t>const</t>
        </is>
      </c>
      <c r="G18" s="6" t="inlineStr"/>
      <c r="H18" s="30" t="inlineStr">
        <is>
          <t>8 минус час на перерывы</t>
        </is>
      </c>
    </row>
    <row r="19">
      <c r="A19" s="3" t="inlineStr">
        <is>
          <t>2 · ВРЕМЯ — иерархия по вашему определению</t>
        </is>
      </c>
    </row>
    <row r="20" ht="26" customHeight="1">
      <c r="A20" s="26" t="inlineStr">
        <is>
          <t>ID</t>
        </is>
      </c>
      <c r="B20" s="26" t="inlineStr">
        <is>
          <t>Название</t>
        </is>
      </c>
      <c r="C20" s="26" t="inlineStr">
        <is>
          <t>Значение</t>
        </is>
      </c>
      <c r="D20" s="26" t="inlineStr">
        <is>
          <t>Ед.</t>
        </is>
      </c>
      <c r="E20" s="26" t="inlineStr">
        <is>
          <t>Формула / как получено</t>
        </is>
      </c>
      <c r="F20" s="26" t="inlineStr">
        <is>
          <t>Тип</t>
        </is>
      </c>
      <c r="G20" s="26" t="inlineStr">
        <is>
          <t>Зависит от</t>
        </is>
      </c>
      <c r="H20" s="26" t="inlineStr">
        <is>
          <t>Источник / форма</t>
        </is>
      </c>
    </row>
    <row r="21">
      <c r="A21" s="27" t="inlineStr">
        <is>
          <t>work_time</t>
        </is>
      </c>
      <c r="B21" s="28" t="inlineStr">
        <is>
          <t>Рабочее время по календарю</t>
        </is>
      </c>
      <c r="C21" s="32">
        <f>work_days*nominal_hours</f>
        <v>1976.0</v>
      </c>
      <c r="D21" s="28" t="inlineStr">
        <is>
          <t>ч/год</t>
        </is>
      </c>
      <c r="E21" s="30" t="inlineStr">
        <is>
          <t>work_days*nominal_hours</t>
        </is>
      </c>
      <c r="F21" s="7" t="inlineStr">
        <is>
          <t>calc</t>
        </is>
      </c>
      <c r="G21" s="6" t="inlineStr">
        <is>
          <t>work_days, nominal_hours</t>
        </is>
      </c>
      <c r="H21" s="30" t="inlineStr">
        <is>
          <t>247 × 8. Справочно</t>
        </is>
      </c>
    </row>
    <row r="22">
      <c r="A22" s="27" t="inlineStr">
        <is>
          <t>net_days</t>
        </is>
      </c>
      <c r="B22" s="28" t="inlineStr">
        <is>
          <t>Чистое рабочее время, дней</t>
        </is>
      </c>
      <c r="C22" s="32">
        <f>work_days-vacation_work-sick_work</f>
        <v>219.0</v>
      </c>
      <c r="D22" s="28" t="inlineStr">
        <is>
          <t>дн/год</t>
        </is>
      </c>
      <c r="E22" s="30" t="inlineStr">
        <is>
          <t>work_days-vacation_work-sick_work</t>
        </is>
      </c>
      <c r="F22" s="7" t="inlineStr">
        <is>
          <t>calc</t>
        </is>
      </c>
      <c r="G22" s="6" t="inlineStr">
        <is>
          <t>work_days, vacation_work, sick_work</t>
        </is>
      </c>
      <c r="H22" s="30" t="inlineStr"/>
    </row>
    <row r="23">
      <c r="A23" s="27" t="inlineStr">
        <is>
          <t>net_time</t>
        </is>
      </c>
      <c r="B23" s="28" t="inlineStr">
        <is>
          <t>ЧИСТОЕ время</t>
        </is>
      </c>
      <c r="C23" s="32">
        <f>net_days*eff_hours</f>
        <v>1533.0</v>
      </c>
      <c r="D23" s="28" t="inlineStr">
        <is>
          <t>ч/год</t>
        </is>
      </c>
      <c r="E23" s="30" t="inlineStr">
        <is>
          <t>net_days*eff_hours</t>
        </is>
      </c>
      <c r="F23" s="7" t="inlineStr">
        <is>
          <t>calc</t>
        </is>
      </c>
      <c r="G23" s="6" t="inlineStr">
        <is>
          <t>net_days, eff_hours</t>
        </is>
      </c>
      <c r="H23" s="30" t="inlineStr">
        <is>
          <t>Верхний уровень: всё доступное время</t>
        </is>
      </c>
    </row>
    <row r="24">
      <c r="A24" s="27" t="inlineStr">
        <is>
          <t>net_weeks</t>
        </is>
      </c>
      <c r="B24" s="28" t="inlineStr">
        <is>
          <t>Чистое время, недель</t>
        </is>
      </c>
      <c r="C24" s="31">
        <f>net_days/days_week</f>
        <v>43.8</v>
      </c>
      <c r="D24" s="28" t="inlineStr">
        <is>
          <t>нед</t>
        </is>
      </c>
      <c r="E24" s="30" t="inlineStr">
        <is>
          <t>net_days/days_week</t>
        </is>
      </c>
      <c r="F24" s="7" t="inlineStr">
        <is>
          <t>calc</t>
        </is>
      </c>
      <c r="G24" s="6" t="inlineStr">
        <is>
          <t>net_days, days_week</t>
        </is>
      </c>
      <c r="H24" s="30" t="inlineStr"/>
    </row>
    <row r="25">
      <c r="A25" s="27" t="inlineStr">
        <is>
          <t>promo_per_day</t>
        </is>
      </c>
      <c r="B25" s="28" t="inlineStr">
        <is>
          <t>Продвижение, часов в день</t>
        </is>
      </c>
      <c r="C25" s="33" t="n">
        <v>2</v>
      </c>
      <c r="D25" s="28" t="inlineStr">
        <is>
          <t>ч/дн</t>
        </is>
      </c>
      <c r="E25" s="30" t="inlineStr"/>
      <c r="F25" s="7" t="inlineStr">
        <is>
          <t>default</t>
        </is>
      </c>
      <c r="G25" s="6" t="inlineStr"/>
      <c r="H25" s="30" t="inlineStr">
        <is>
          <t>Form009</t>
        </is>
      </c>
    </row>
    <row r="26">
      <c r="A26" s="27" t="inlineStr">
        <is>
          <t>promo_time</t>
        </is>
      </c>
      <c r="B26" s="28" t="inlineStr">
        <is>
          <t>Продвижение за год</t>
        </is>
      </c>
      <c r="C26" s="32">
        <f>promo_per_day*net_days</f>
        <v>438.0</v>
      </c>
      <c r="D26" s="28" t="inlineStr">
        <is>
          <t>ч/год</t>
        </is>
      </c>
      <c r="E26" s="30" t="inlineStr">
        <is>
          <t>promo_per_day*net_days</t>
        </is>
      </c>
      <c r="F26" s="7" t="inlineStr">
        <is>
          <t>calc</t>
        </is>
      </c>
      <c r="G26" s="6" t="inlineStr">
        <is>
          <t>promo_per_day, net_days</t>
        </is>
      </c>
      <c r="H26" s="30" t="inlineStr">
        <is>
          <t>Form009</t>
        </is>
      </c>
    </row>
    <row r="27">
      <c r="A27" s="27" t="inlineStr">
        <is>
          <t>acc_mode</t>
        </is>
      </c>
      <c r="B27" s="28" t="inlineStr">
        <is>
          <t>ПЕРЕКЛЮЧАТЕЛЬ · учёт и планирование</t>
        </is>
      </c>
      <c r="C27" s="34" t="inlineStr">
        <is>
          <t>Веду самостоятельно</t>
        </is>
      </c>
      <c r="D27" s="28" t="inlineStr"/>
      <c r="E27" s="30" t="inlineStr"/>
      <c r="F27" s="7" t="inlineStr">
        <is>
          <t>default</t>
        </is>
      </c>
      <c r="G27" s="6" t="inlineStr"/>
      <c r="H27" s="30" t="inlineStr">
        <is>
          <t>Form011 · Block14</t>
        </is>
      </c>
    </row>
    <row r="28">
      <c r="A28" s="27" t="inlineStr">
        <is>
          <t>acc_per_quarter</t>
        </is>
      </c>
      <c r="B28" s="28" t="inlineStr">
        <is>
          <t>Учёт: часов в квартал, если веду сам</t>
        </is>
      </c>
      <c r="C28" s="33" t="n">
        <v>3</v>
      </c>
      <c r="D28" s="28" t="inlineStr">
        <is>
          <t>ч/кв</t>
        </is>
      </c>
      <c r="E28" s="30" t="inlineStr"/>
      <c r="F28" s="7" t="inlineStr">
        <is>
          <t>default</t>
        </is>
      </c>
      <c r="G28" s="6" t="inlineStr"/>
      <c r="H28" s="30" t="inlineStr">
        <is>
          <t>Form011</t>
        </is>
      </c>
    </row>
    <row r="29">
      <c r="A29" s="27" t="inlineStr">
        <is>
          <t>accounting_time</t>
        </is>
      </c>
      <c r="B29" s="28" t="inlineStr">
        <is>
          <t>Учёт и планирование, время</t>
        </is>
      </c>
      <c r="C29" s="32">
        <f>IF(acc_mode="Веду самостоятельно",acc_per_quarter*quarters,0)</f>
        <v>12.0</v>
      </c>
      <c r="D29" s="28" t="inlineStr">
        <is>
          <t>ч/год</t>
        </is>
      </c>
      <c r="E29" s="30" t="inlineStr">
        <is>
          <t>IF(acc_mode="Веду самостоятельно",acc_per_quarter*quarters,0)</t>
        </is>
      </c>
      <c r="F29" s="7" t="inlineStr">
        <is>
          <t>calc</t>
        </is>
      </c>
      <c r="G29" s="6" t="inlineStr">
        <is>
          <t>acc_mode, acc_per_quarter, quarters</t>
        </is>
      </c>
      <c r="H29" s="30" t="inlineStr">
        <is>
          <t>Если наняли — время = 0</t>
        </is>
      </c>
    </row>
    <row r="30">
      <c r="A30" s="27" t="inlineStr">
        <is>
          <t>side_time</t>
        </is>
      </c>
      <c r="B30" s="28" t="inlineStr">
        <is>
          <t>ОПЕРАЦИОННОЕ время</t>
        </is>
      </c>
      <c r="C30" s="32">
        <f>promo_time+accounting_time</f>
        <v>450.0</v>
      </c>
      <c r="D30" s="28" t="inlineStr">
        <is>
          <t>ч/год</t>
        </is>
      </c>
      <c r="E30" s="30" t="inlineStr">
        <is>
          <t>promo_time+accounting_time</t>
        </is>
      </c>
      <c r="F30" s="7" t="inlineStr">
        <is>
          <t>calc</t>
        </is>
      </c>
      <c r="G30" s="6" t="inlineStr">
        <is>
          <t>promo_time, accounting_time</t>
        </is>
      </c>
      <c r="H30" s="30" t="inlineStr">
        <is>
          <t>Второстепенные операции. Клиенту не продаётся</t>
        </is>
      </c>
    </row>
    <row r="31">
      <c r="A31" s="27" t="inlineStr">
        <is>
          <t>pool_gross</t>
        </is>
      </c>
      <c r="B31" s="28" t="inlineStr">
        <is>
          <t>Время на заказы до резерва</t>
        </is>
      </c>
      <c r="C31" s="31">
        <f>net_time-side_time</f>
        <v>1083.0</v>
      </c>
      <c r="D31" s="28" t="inlineStr">
        <is>
          <t>ч/год</t>
        </is>
      </c>
      <c r="E31" s="30" t="inlineStr">
        <is>
          <t>net_time-side_time</t>
        </is>
      </c>
      <c r="F31" s="7" t="inlineStr">
        <is>
          <t>calc</t>
        </is>
      </c>
      <c r="G31" s="6" t="inlineStr">
        <is>
          <t>net_time, side_time</t>
        </is>
      </c>
      <c r="H31" s="30" t="inlineStr">
        <is>
          <t>Чистое минус операционное</t>
        </is>
      </c>
    </row>
    <row r="32">
      <c r="A32" s="27" t="inlineStr">
        <is>
          <t>fm_on</t>
        </is>
      </c>
      <c r="B32" s="28" t="inlineStr">
        <is>
          <t>ПЕРЕКЛЮЧАТЕЛЬ · резерв на форс-мажоры</t>
        </is>
      </c>
      <c r="C32" s="34" t="inlineStr">
        <is>
          <t xml:space="preserve">Не закладывать</t>
        </is>
      </c>
      <c r="D32" s="28" t="inlineStr"/>
      <c r="E32" s="30" t="inlineStr"/>
      <c r="F32" s="7" t="inlineStr">
        <is>
          <t>default</t>
        </is>
      </c>
      <c r="G32" s="6" t="inlineStr"/>
      <c r="H32" s="30" t="inlineStr">
        <is>
          <t>Block14a</t>
        </is>
      </c>
      <c r="I32" s="286" t="inlineStr">
        <is>
          <t>Галочка «Учитывать резерв на форс-мажоры» СНЯТА по умолчанию (06.08.2026). Поле % неактивно, пока не включена</t>
        </is>
      </c>
    </row>
    <row r="33">
      <c r="A33" s="27" t="inlineStr">
        <is>
          <t>fm_pct</t>
        </is>
      </c>
      <c r="B33" s="28" t="inlineStr">
        <is>
          <t>Резерв на форс-мажоры, %</t>
        </is>
      </c>
      <c r="C33" s="35" t="n">
        <v>0.05</v>
      </c>
      <c r="D33" s="28" t="inlineStr">
        <is>
          <t>%</t>
        </is>
      </c>
      <c r="E33" s="30" t="inlineStr"/>
      <c r="F33" s="7" t="inlineStr">
        <is>
          <t>default</t>
        </is>
      </c>
      <c r="G33" s="6" t="inlineStr"/>
      <c r="H33" s="30" t="inlineStr">
        <is>
          <t>Перенос и отмена съёмок, срывы по вине клиента, повторные выезды. Редактируется</t>
        </is>
      </c>
      <c r="I33" s="286" t="inlineStr">
        <is>
          <t>Галочка «Учитывать резерв на форс-мажоры» СНЯТА по умолчанию (06.08.2026). Поле % неактивно, пока не включена</t>
        </is>
      </c>
    </row>
    <row r="34">
      <c r="A34" s="27" t="inlineStr">
        <is>
          <t>fm_time</t>
        </is>
      </c>
      <c r="B34" s="28" t="inlineStr">
        <is>
          <t>Резерв на форс-мажоры, часов</t>
        </is>
      </c>
      <c r="C34" s="31">
        <f>IF(fm_on="Заложить резерв",pool_gross*fm_pct,0)</f>
        <v>0.0</v>
      </c>
      <c r="D34" s="28" t="inlineStr">
        <is>
          <t>ч/год</t>
        </is>
      </c>
      <c r="E34" s="30" t="inlineStr">
        <is>
          <t>IF(fm_on="Заложить резерв",pool_gross*fm_pct,0)</t>
        </is>
      </c>
      <c r="F34" s="7" t="inlineStr">
        <is>
          <t>calc</t>
        </is>
      </c>
      <c r="G34" s="6" t="inlineStr">
        <is>
          <t>fm_on, fm_pct, pool_gross</t>
        </is>
      </c>
      <c r="H34" s="30" t="inlineStr">
        <is>
          <t>Вычитается из времени на заказы</t>
        </is>
      </c>
    </row>
    <row r="35">
      <c r="A35" s="27" t="inlineStr">
        <is>
          <t>fm_week</t>
        </is>
      </c>
      <c r="B35" s="28" t="inlineStr">
        <is>
          <t>Резерв, часов в неделю</t>
        </is>
      </c>
      <c r="C35" s="31">
        <f>IF(net_weeks=0,0,fm_time/net_weeks)</f>
        <v>0.0</v>
      </c>
      <c r="D35" s="28" t="inlineStr">
        <is>
          <t>ч/нед</t>
        </is>
      </c>
      <c r="E35" s="30" t="inlineStr">
        <is>
          <t>IF(net_weeks=0,0,fm_time/net_weeks)</t>
        </is>
      </c>
      <c r="F35" s="7" t="inlineStr">
        <is>
          <t>calc</t>
        </is>
      </c>
      <c r="G35" s="6" t="inlineStr">
        <is>
          <t>fm_time, net_weeks</t>
        </is>
      </c>
      <c r="H35" s="30" t="inlineStr">
        <is>
          <t>Для наглядности</t>
        </is>
      </c>
    </row>
    <row r="36">
      <c r="A36" s="27" t="inlineStr">
        <is>
          <t>project_pool</t>
        </is>
      </c>
      <c r="B36" s="28" t="inlineStr">
        <is>
          <t>ПРОЕКТНОЕ время за год</t>
        </is>
      </c>
      <c r="C36" s="31">
        <f>pool_gross-fm_time</f>
        <v>1083.0</v>
      </c>
      <c r="D36" s="28" t="inlineStr">
        <is>
          <t>ч/год</t>
        </is>
      </c>
      <c r="E36" s="30" t="inlineStr">
        <is>
          <t>pool_gross-fm_time</t>
        </is>
      </c>
      <c r="F36" s="7" t="inlineStr">
        <is>
          <t>calc</t>
        </is>
      </c>
      <c r="G36" s="6" t="inlineStr">
        <is>
          <t>pool_gross, fm_time</t>
        </is>
      </c>
      <c r="H36" s="30" t="inlineStr">
        <is>
          <t>Всё, что остаётся на выполнение проектов</t>
        </is>
      </c>
    </row>
    <row r="37">
      <c r="A37" s="3" t="inlineStr">
        <is>
          <t>3 · ПРОЕКТ — S × (1+K) + 1. Длительность съёмки задаёт пользователь</t>
        </is>
      </c>
    </row>
    <row r="38" ht="26" customHeight="1">
      <c r="A38" s="26" t="inlineStr">
        <is>
          <t>ID</t>
        </is>
      </c>
      <c r="B38" s="26" t="inlineStr">
        <is>
          <t>Название</t>
        </is>
      </c>
      <c r="C38" s="26" t="inlineStr">
        <is>
          <t>Значение</t>
        </is>
      </c>
      <c r="D38" s="26" t="inlineStr">
        <is>
          <t>Ед.</t>
        </is>
      </c>
      <c r="E38" s="26" t="inlineStr">
        <is>
          <t>Формула / как получено</t>
        </is>
      </c>
      <c r="F38" s="26" t="inlineStr">
        <is>
          <t>Тип</t>
        </is>
      </c>
      <c r="G38" s="26" t="inlineStr">
        <is>
          <t>Зависит от</t>
        </is>
      </c>
      <c r="H38" s="26" t="inlineStr">
        <is>
          <t>Источник / форма</t>
        </is>
      </c>
    </row>
    <row r="39">
      <c r="A39" s="27" t="inlineStr">
        <is>
          <t>post_ratio</t>
        </is>
      </c>
      <c r="B39" s="28" t="inlineStr">
        <is>
          <t>Коэффициент обработки</t>
        </is>
      </c>
      <c r="C39" s="33" t="n">
        <v>3</v>
      </c>
      <c r="D39" s="28" t="inlineStr">
        <is>
          <t>×</t>
        </is>
      </c>
      <c r="E39" s="30" t="inlineStr"/>
      <c r="F39" s="7" t="inlineStr">
        <is>
          <t>default</t>
        </is>
      </c>
      <c r="G39" s="6" t="inlineStr"/>
      <c r="H39" s="30" t="inlineStr">
        <is>
          <t>Часов обработки на 1 час съёмки. МЕНЯЕТСЯ пользователем: у свадебного ретушёра больше, у репортажника меньше</t>
        </is>
      </c>
    </row>
    <row r="40">
      <c r="A40" s="27" t="inlineStr">
        <is>
          <t>profile_multiplier</t>
        </is>
      </c>
      <c r="B40" s="28" t="inlineStr">
        <is>
          <t>Множитель профильного времени</t>
        </is>
      </c>
      <c r="C40" s="31">
        <f>1+post_ratio</f>
        <v>4.0</v>
      </c>
      <c r="D40" s="28" t="inlineStr">
        <is>
          <t>×</t>
        </is>
      </c>
      <c r="E40" s="30" t="inlineStr">
        <is>
          <t>1+post_ratio</t>
        </is>
      </c>
      <c r="F40" s="7" t="inlineStr">
        <is>
          <t>calc</t>
        </is>
      </c>
      <c r="G40" s="6" t="inlineStr">
        <is>
          <t>post_ratio</t>
        </is>
      </c>
      <c r="H40" s="30" t="inlineStr">
        <is>
          <t>ПРОФИЛЬНОЕ на проект = S × (1 + коэффициент): съёмка плюс обработка</t>
        </is>
      </c>
    </row>
    <row r="41">
      <c r="A41" s="27" t="inlineStr">
        <is>
          <t>client_time</t>
        </is>
      </c>
      <c r="B41" s="28" t="inlineStr">
        <is>
          <t>Работа с клиентом на проект</t>
        </is>
      </c>
      <c r="C41" s="33" t="n">
        <v>1</v>
      </c>
      <c r="D41" s="28" t="inlineStr">
        <is>
          <t>ч/проект</t>
        </is>
      </c>
      <c r="E41" s="30" t="inlineStr"/>
      <c r="F41" s="7" t="inlineStr">
        <is>
          <t>default</t>
        </is>
      </c>
      <c r="G41" s="6" t="inlineStr"/>
      <c r="H41" s="30" t="inlineStr">
        <is>
          <t>Form012 · Block13 · продажа, согласования, организация</t>
        </is>
      </c>
    </row>
    <row r="42">
      <c r="A42" s="27" t="inlineStr">
        <is>
          <t>shoot_duration</t>
        </is>
      </c>
      <c r="B42" s="28" t="inlineStr">
        <is>
          <t>ТИПОВАЯ продолжительность съёмки (S)</t>
        </is>
      </c>
      <c r="C42" s="33" t="n">
        <v>1</v>
      </c>
      <c r="D42" s="28" t="inlineStr">
        <is>
          <t>ч</t>
        </is>
      </c>
      <c r="E42" s="30" t="inlineStr"/>
      <c r="F42" s="7" t="inlineStr">
        <is>
          <t>default</t>
        </is>
      </c>
      <c r="G42" s="6" t="inlineStr"/>
      <c r="H42" s="30" t="inlineStr">
        <is>
          <t>Block3 · самый частый формат заказа. ЗАДАЁТ ПОЛЬЗОВАТЕЛЬ, по умолчанию 2 ч</t>
        </is>
      </c>
    </row>
    <row r="43">
      <c r="A43" s="27" t="inlineStr">
        <is>
          <t>week_target</t>
        </is>
      </c>
      <c r="B43" s="28" t="inlineStr">
        <is>
          <t>Целевых проектов в неделю</t>
        </is>
      </c>
      <c r="C43" s="33" t="n">
        <v>1</v>
      </c>
      <c r="D43" s="28" t="inlineStr">
        <is>
          <t>шт/нед</t>
        </is>
      </c>
      <c r="E43" s="30" t="inlineStr"/>
      <c r="F43" s="7" t="inlineStr">
        <is>
          <t>default</t>
        </is>
      </c>
      <c r="G43" s="6" t="inlineStr"/>
      <c r="H43" s="30" t="inlineStr">
        <is>
          <t>СПРАВОЧНАЯ. В расчёте ставки не участвует</t>
        </is>
      </c>
    </row>
    <row r="44">
      <c r="A44" s="27" t="inlineStr">
        <is>
          <t>shoot_auto</t>
        </is>
      </c>
      <c r="B44" s="28" t="inlineStr">
        <is>
          <t>Максимальная съёмка при целевом темпе</t>
        </is>
      </c>
      <c r="C44" s="31">
        <f>IF(profile_multiplier*week_target=0,0,(project_pool/net_weeks/week_target-client_time)/profile_multiplier)</f>
        <v>5.931506849315069</v>
      </c>
      <c r="D44" s="28" t="inlineStr">
        <is>
          <t>ч</t>
        </is>
      </c>
      <c r="E44" s="30" t="inlineStr">
        <is>
          <t>IF(profile_multiplier*week_target=0,0,(project_pool/net_weeks/week_target-client_time)/profile_multiplier)</t>
        </is>
      </c>
      <c r="F44" s="7" t="inlineStr">
        <is>
          <t>calc</t>
        </is>
      </c>
      <c r="G44" s="6" t="inlineStr">
        <is>
          <t>project_pool, net_weeks, week_target, client_time, profile_multiplier</t>
        </is>
      </c>
      <c r="H44" s="30" t="inlineStr">
        <is>
          <t>СПРАВОЧНАЯ: какая съёмка влезет при таком темпе. В расчёте НЕ участвует</t>
        </is>
      </c>
    </row>
    <row r="45">
      <c r="A45" s="27" t="inlineStr">
        <is>
          <t>project_time</t>
        </is>
      </c>
      <c r="B45" s="28" t="inlineStr">
        <is>
          <t>ПРОЕКТНОЕ время на 1 проект</t>
        </is>
      </c>
      <c r="C45" s="31">
        <f>shoot_duration*profile_multiplier+client_time</f>
        <v>5.0</v>
      </c>
      <c r="D45" s="28" t="inlineStr">
        <is>
          <t>ч/проект</t>
        </is>
      </c>
      <c r="E45" s="30" t="inlineStr">
        <is>
          <t>shoot_duration*profile_multiplier+client_time</t>
        </is>
      </c>
      <c r="F45" s="7" t="inlineStr">
        <is>
          <t>calc</t>
        </is>
      </c>
      <c r="G45" s="6" t="inlineStr">
        <is>
          <t>shoot_duration, profile_multiplier, client_time</t>
        </is>
      </c>
      <c r="H45" s="30" t="inlineStr">
        <is>
          <t>S × (1 + коэффициент) + час клиента — полная реализация заказа</t>
        </is>
      </c>
    </row>
    <row r="46">
      <c r="A46" s="27" t="inlineStr">
        <is>
          <t>hour_pool</t>
        </is>
      </c>
      <c r="B46" s="28" t="inlineStr">
        <is>
          <t>Стоимость часа проектного времени</t>
        </is>
      </c>
      <c r="C46" s="36">
        <f>IF(project_pool=0,0,CHOOSE(regime_no,'05_Расчёт'!B4,'05_Расчёт'!C4,'05_Расчёт'!D4,'05_Расчёт'!E4,'05_Расчёт'!F4,'05_Расчёт'!G4,'05_Расчёт'!H4)/project_pool)</f>
        <v>1885.9972058598723</v>
      </c>
      <c r="D46" s="28" t="inlineStr">
        <is>
          <t>₽/ч</t>
        </is>
      </c>
      <c r="E46" s="30" t="inlineStr">
        <is>
          <t>IF(project_pool=0,0,CHOOSE(regime_no,'05_Расчёт'!B4,'05_Расчёт'!C4,'05_Расчёт'!D4,'05_Расчёт'!E4,'05_Расчёт'!F4,'05_Расчёт'!G4,'05_Расчёт'!H4)/project_pool)</t>
        </is>
      </c>
      <c r="F46" s="7" t="inlineStr">
        <is>
          <t>calc</t>
        </is>
      </c>
      <c r="G46" s="6" t="inlineStr">
        <is>
          <t>выручка, project_pool</t>
        </is>
      </c>
      <c r="H46" s="30" t="inlineStr">
        <is>
          <t>ПОСТОЯННАЯ. База для сетки объёмных скидок</t>
        </is>
      </c>
    </row>
    <row r="47">
      <c r="A47" s="27" t="inlineStr">
        <is>
          <t>projects_year</t>
        </is>
      </c>
      <c r="B47" s="28" t="inlineStr">
        <is>
          <t>Проектов в год</t>
        </is>
      </c>
      <c r="C47" s="31">
        <f>IF(project_time=0,0,project_pool/project_time)</f>
        <v>216.6</v>
      </c>
      <c r="D47" s="28" t="inlineStr">
        <is>
          <t>шт/год</t>
        </is>
      </c>
      <c r="E47" s="30" t="inlineStr">
        <is>
          <t>IF(project_time=0,0,project_pool/project_time)</t>
        </is>
      </c>
      <c r="F47" s="7" t="inlineStr">
        <is>
          <t>calc</t>
        </is>
      </c>
      <c r="G47" s="6" t="inlineStr">
        <is>
          <t>project_pool, project_time</t>
        </is>
      </c>
      <c r="H47" s="30" t="inlineStr"/>
    </row>
    <row r="48">
      <c r="A48" s="27" t="inlineStr">
        <is>
          <t>projects_month</t>
        </is>
      </c>
      <c r="B48" s="28" t="inlineStr">
        <is>
          <t>Проектов в месяц</t>
        </is>
      </c>
      <c r="C48" s="31">
        <f>projects_year/months</f>
        <v>18.05</v>
      </c>
      <c r="D48" s="28" t="inlineStr">
        <is>
          <t>шт/мес</t>
        </is>
      </c>
      <c r="E48" s="30" t="inlineStr">
        <is>
          <t>projects_year/months</t>
        </is>
      </c>
      <c r="F48" s="7" t="inlineStr">
        <is>
          <t>calc</t>
        </is>
      </c>
      <c r="G48" s="6" t="inlineStr">
        <is>
          <t>projects_year, months</t>
        </is>
      </c>
      <c r="H48" s="30" t="inlineStr"/>
    </row>
    <row r="49">
      <c r="A49" s="27" t="inlineStr">
        <is>
          <t>projects_week</t>
        </is>
      </c>
      <c r="B49" s="28" t="inlineStr">
        <is>
          <t>Проектов в неделю</t>
        </is>
      </c>
      <c r="C49" s="31">
        <f>projects_year/net_weeks</f>
        <v>4.945205479452055</v>
      </c>
      <c r="D49" s="28" t="inlineStr">
        <is>
          <t>шт/нед</t>
        </is>
      </c>
      <c r="E49" s="30" t="inlineStr">
        <is>
          <t>projects_year/net_weeks</t>
        </is>
      </c>
      <c r="F49" s="7" t="inlineStr">
        <is>
          <t>calc</t>
        </is>
      </c>
      <c r="G49" s="6" t="inlineStr">
        <is>
          <t>projects_year, net_weeks</t>
        </is>
      </c>
      <c r="H49" s="30" t="inlineStr">
        <is>
          <t>При авторежиме равно week_target</t>
        </is>
      </c>
    </row>
    <row r="50">
      <c r="A50" s="27" t="inlineStr">
        <is>
          <t>shooting_time</t>
        </is>
      </c>
      <c r="B50" s="28" t="inlineStr">
        <is>
          <t>СЪЁМОЧНОЕ время</t>
        </is>
      </c>
      <c r="C50" s="31">
        <f>projects_year*shoot_duration</f>
        <v>216.6</v>
      </c>
      <c r="D50" s="28" t="inlineStr">
        <is>
          <t>ч/год</t>
        </is>
      </c>
      <c r="E50" s="30" t="inlineStr">
        <is>
          <t>projects_year*shoot_duration</t>
        </is>
      </c>
      <c r="F50" s="7" t="inlineStr">
        <is>
          <t>calc</t>
        </is>
      </c>
      <c r="G50" s="6" t="inlineStr">
        <is>
          <t>projects_year, shoot_duration</t>
        </is>
      </c>
      <c r="H50" s="30" t="inlineStr">
        <is>
          <t>ЦЕЛЬ РАСЧЁТА — знаменатель ставки</t>
        </is>
      </c>
    </row>
    <row r="51">
      <c r="A51" s="27" t="inlineStr">
        <is>
          <t>shooting_month</t>
        </is>
      </c>
      <c r="B51" s="28" t="inlineStr">
        <is>
          <t>Съёмочное время в месяц</t>
        </is>
      </c>
      <c r="C51" s="31">
        <f>shooting_time/months</f>
        <v>18.05</v>
      </c>
      <c r="D51" s="28" t="inlineStr">
        <is>
          <t>ч/мес</t>
        </is>
      </c>
      <c r="E51" s="30" t="inlineStr">
        <is>
          <t>shooting_time/months</t>
        </is>
      </c>
      <c r="F51" s="7" t="inlineStr">
        <is>
          <t>calc</t>
        </is>
      </c>
      <c r="G51" s="6" t="inlineStr">
        <is>
          <t>shooting_time, months</t>
        </is>
      </c>
      <c r="H51" s="30" t="inlineStr"/>
    </row>
    <row r="52">
      <c r="A52" s="27" t="inlineStr">
        <is>
          <t>shooting_week</t>
        </is>
      </c>
      <c r="B52" s="28" t="inlineStr">
        <is>
          <t>Съёмочное время в неделю</t>
        </is>
      </c>
      <c r="C52" s="31">
        <f>shooting_time/net_weeks</f>
        <v>4.945205479452055</v>
      </c>
      <c r="D52" s="28" t="inlineStr">
        <is>
          <t>ч/нед</t>
        </is>
      </c>
      <c r="E52" s="30" t="inlineStr">
        <is>
          <t>shooting_time/net_weeks</t>
        </is>
      </c>
      <c r="F52" s="7" t="inlineStr">
        <is>
          <t>calc</t>
        </is>
      </c>
      <c r="G52" s="6" t="inlineStr">
        <is>
          <t>shooting_time, net_weeks</t>
        </is>
      </c>
      <c r="H52" s="30" t="inlineStr"/>
    </row>
    <row r="53">
      <c r="A53" s="27" t="inlineStr">
        <is>
          <t>post_time</t>
        </is>
      </c>
      <c r="B53" s="28" t="inlineStr">
        <is>
          <t>Постпродакшн за год</t>
        </is>
      </c>
      <c r="C53" s="31">
        <f>shooting_time*post_ratio</f>
        <v>649.8</v>
      </c>
      <c r="D53" s="28" t="inlineStr">
        <is>
          <t>ч/год</t>
        </is>
      </c>
      <c r="E53" s="30" t="inlineStr">
        <is>
          <t>shooting_time*post_ratio</t>
        </is>
      </c>
      <c r="F53" s="7" t="inlineStr">
        <is>
          <t>calc</t>
        </is>
      </c>
      <c r="G53" s="6" t="inlineStr">
        <is>
          <t>shooting_time, post_ratio</t>
        </is>
      </c>
      <c r="H53" s="30" t="inlineStr">
        <is>
          <t>S × коэффициент на каждый проект</t>
        </is>
      </c>
    </row>
    <row r="54">
      <c r="A54" s="27" t="inlineStr">
        <is>
          <t>core_time</t>
        </is>
      </c>
      <c r="B54" s="28" t="inlineStr">
        <is>
          <t>ПРОФИЛЬНОЕ время</t>
        </is>
      </c>
      <c r="C54" s="31">
        <f>shooting_time*profile_multiplier</f>
        <v>866.4</v>
      </c>
      <c r="D54" s="28" t="inlineStr">
        <is>
          <t>ч/год</t>
        </is>
      </c>
      <c r="E54" s="30" t="inlineStr">
        <is>
          <t>shooting_time*profile_multiplier</t>
        </is>
      </c>
      <c r="F54" s="7" t="inlineStr">
        <is>
          <t>calc</t>
        </is>
      </c>
      <c r="G54" s="6" t="inlineStr">
        <is>
          <t>shooting_time, profile_multiplier</t>
        </is>
      </c>
      <c r="H54" s="30" t="inlineStr">
        <is>
          <t>Съёмка + обработка = S × (1 + коэффициент). БЕЗ работы с клиентом</t>
        </is>
      </c>
    </row>
    <row r="55">
      <c r="A55" s="27" t="inlineStr">
        <is>
          <t>client_total</t>
        </is>
      </c>
      <c r="B55" s="28" t="inlineStr">
        <is>
          <t>Работа с клиентом за год</t>
        </is>
      </c>
      <c r="C55" s="31">
        <f>projects_year*client_time</f>
        <v>216.6</v>
      </c>
      <c r="D55" s="28" t="inlineStr">
        <is>
          <t>ч/год</t>
        </is>
      </c>
      <c r="E55" s="30" t="inlineStr">
        <is>
          <t>projects_year*client_time</t>
        </is>
      </c>
      <c r="F55" s="7" t="inlineStr">
        <is>
          <t>calc</t>
        </is>
      </c>
      <c r="G55" s="6" t="inlineStr">
        <is>
          <t>projects_year, client_time</t>
        </is>
      </c>
      <c r="H55" s="30" t="inlineStr"/>
    </row>
    <row r="56">
      <c r="A56" s="27" t="inlineStr">
        <is>
          <t>ops_per_shoot</t>
        </is>
      </c>
      <c r="B56" s="28" t="inlineStr">
        <is>
          <t>Операционных часов на час съёмки</t>
        </is>
      </c>
      <c r="C56" s="31">
        <f>IF(shooting_time=0,0,side_time/shooting_time)</f>
        <v>2.0775623268698062</v>
      </c>
      <c r="D56" s="28" t="inlineStr">
        <is>
          <t>ч</t>
        </is>
      </c>
      <c r="E56" s="30" t="inlineStr">
        <is>
          <t>IF(shooting_time=0,0,side_time/shooting_time)</t>
        </is>
      </c>
      <c r="F56" s="7" t="inlineStr">
        <is>
          <t>calc</t>
        </is>
      </c>
      <c r="G56" s="6" t="inlineStr">
        <is>
          <t>side_time, shooting_time</t>
        </is>
      </c>
      <c r="H56" s="30" t="inlineStr"/>
    </row>
    <row r="57">
      <c r="A57" s="3" t="inlineStr">
        <is>
          <t>4 · ДОХОД</t>
        </is>
      </c>
    </row>
    <row r="58" ht="26" customHeight="1">
      <c r="A58" s="26" t="inlineStr">
        <is>
          <t>ID</t>
        </is>
      </c>
      <c r="B58" s="26" t="inlineStr">
        <is>
          <t>Название</t>
        </is>
      </c>
      <c r="C58" s="26" t="inlineStr">
        <is>
          <t>Значение</t>
        </is>
      </c>
      <c r="D58" s="26" t="inlineStr">
        <is>
          <t>Ед.</t>
        </is>
      </c>
      <c r="E58" s="26" t="inlineStr">
        <is>
          <t>Формула / как получено</t>
        </is>
      </c>
      <c r="F58" s="26" t="inlineStr">
        <is>
          <t>Тип</t>
        </is>
      </c>
      <c r="G58" s="26" t="inlineStr">
        <is>
          <t>Зависит от</t>
        </is>
      </c>
      <c r="H58" s="26" t="inlineStr">
        <is>
          <t>Источник / форма</t>
        </is>
      </c>
    </row>
    <row r="59">
      <c r="A59" s="27" t="inlineStr">
        <is>
          <t>income_month</t>
        </is>
      </c>
      <c r="B59" s="28" t="inlineStr">
        <is>
          <t>Желаемый доход на руки</t>
        </is>
      </c>
      <c r="C59" s="37" t="n">
        <v>110216</v>
      </c>
      <c r="D59" s="28" t="inlineStr">
        <is>
          <t>₽/мес</t>
        </is>
      </c>
      <c r="E59" s="30" t="inlineStr"/>
      <c r="F59" s="7" t="inlineStr">
        <is>
          <t>default</t>
        </is>
      </c>
      <c r="G59" s="6" t="inlineStr"/>
      <c r="H59" s="30" t="inlineStr">
        <is>
          <t>Block1 · Росстат 2026</t>
        </is>
      </c>
    </row>
    <row r="60">
      <c r="A60" s="27" t="inlineStr">
        <is>
          <t>target_income</t>
        </is>
      </c>
      <c r="B60" s="28" t="inlineStr">
        <is>
          <t>Желаемый доход за год</t>
        </is>
      </c>
      <c r="C60" s="38">
        <f>income_month*months</f>
        <v>1322592.0</v>
      </c>
      <c r="D60" s="28" t="inlineStr">
        <is>
          <t>₽/год</t>
        </is>
      </c>
      <c r="E60" s="30" t="inlineStr">
        <is>
          <t>income_month*months</t>
        </is>
      </c>
      <c r="F60" s="7" t="inlineStr">
        <is>
          <t>calc</t>
        </is>
      </c>
      <c r="G60" s="6" t="inlineStr">
        <is>
          <t>income_month, months</t>
        </is>
      </c>
      <c r="H60" s="30" t="inlineStr">
        <is>
          <t>N — на руки после всех платежей</t>
        </is>
      </c>
    </row>
    <row r="61">
      <c r="A61" s="27" t="inlineStr">
        <is>
          <t>current_rate</t>
        </is>
      </c>
      <c r="B61" s="28" t="inlineStr">
        <is>
          <t>Текущая ставка часа</t>
        </is>
      </c>
      <c r="C61" s="37" t="n">
        <v>6000</v>
      </c>
      <c r="D61" s="28" t="inlineStr">
        <is>
          <t>₽/ч</t>
        </is>
      </c>
      <c r="E61" s="30" t="inlineStr"/>
      <c r="F61" s="7" t="inlineStr">
        <is>
          <t>default</t>
        </is>
      </c>
      <c r="G61" s="6" t="inlineStr"/>
      <c r="H61" s="30" t="inlineStr">
        <is>
          <t>Block2 · для сравнения</t>
        </is>
      </c>
    </row>
    <row r="62">
      <c r="A62" s="3" t="inlineStr">
        <is>
          <t>5 · РАБОЧЕЕ МЕСТО · ПЕРЕКЛЮЧАТЕЛЬ (Form005/013 · Block9)</t>
        </is>
      </c>
    </row>
    <row r="63" ht="26" customHeight="1">
      <c r="A63" s="26" t="inlineStr">
        <is>
          <t>ID</t>
        </is>
      </c>
      <c r="B63" s="26" t="inlineStr">
        <is>
          <t>Название</t>
        </is>
      </c>
      <c r="C63" s="26" t="inlineStr">
        <is>
          <t>Значение</t>
        </is>
      </c>
      <c r="D63" s="26" t="inlineStr">
        <is>
          <t>Ед.</t>
        </is>
      </c>
      <c r="E63" s="26" t="inlineStr">
        <is>
          <t>Формула / как получено</t>
        </is>
      </c>
      <c r="F63" s="26" t="inlineStr">
        <is>
          <t>Тип</t>
        </is>
      </c>
      <c r="G63" s="26" t="inlineStr">
        <is>
          <t>Зависит от</t>
        </is>
      </c>
      <c r="H63" s="26" t="inlineStr">
        <is>
          <t>Источник / форма</t>
        </is>
      </c>
    </row>
    <row r="64">
      <c r="A64" s="27" t="inlineStr">
        <is>
          <t>ws_mode</t>
        </is>
      </c>
      <c r="B64" s="28" t="inlineStr">
        <is>
          <t>ПЕРЕКЛЮЧАТЕЛЬ · рабочее место</t>
        </is>
      </c>
      <c r="C64" s="34" t="inlineStr">
        <is>
          <t>Работаю из дома</t>
        </is>
      </c>
      <c r="D64" s="28" t="inlineStr"/>
      <c r="E64" s="30" t="inlineStr"/>
      <c r="F64" s="7" t="inlineStr">
        <is>
          <t>default</t>
        </is>
      </c>
      <c r="G64" s="6" t="inlineStr"/>
      <c r="H64" s="30" t="inlineStr">
        <is>
          <t>Form005 · A111</t>
        </is>
      </c>
    </row>
    <row r="65">
      <c r="A65" s="27" t="inlineStr">
        <is>
          <t>own_home</t>
        </is>
      </c>
      <c r="B65" s="28" t="inlineStr">
        <is>
          <t>ДОМА · живу в своём, ипотеки нет</t>
        </is>
      </c>
      <c r="C65" s="34" t="inlineStr">
        <is>
          <t>нет</t>
        </is>
      </c>
      <c r="D65" s="28" t="inlineStr"/>
      <c r="E65" s="30" t="inlineStr"/>
      <c r="F65" s="7" t="inlineStr">
        <is>
          <t>default</t>
        </is>
      </c>
      <c r="G65" s="6" t="inlineStr"/>
      <c r="H65" s="30" t="inlineStr">
        <is>
          <t>Контекстная галочка: показывает рекомендацию, но не обнуляет стоимость жилья</t>
        </is>
      </c>
    </row>
    <row r="66">
      <c r="A66" s="27" t="inlineStr">
        <is>
          <t>home_rent</t>
        </is>
      </c>
      <c r="B66" s="28" t="inlineStr">
        <is>
          <t>ДОМА · аренда или ипотека</t>
        </is>
      </c>
      <c r="C66" s="37" t="n">
        <v>40000</v>
      </c>
      <c r="D66" s="28" t="inlineStr">
        <is>
          <t>₽/мес</t>
        </is>
      </c>
      <c r="E66" s="30" t="inlineStr"/>
      <c r="F66" s="7" t="inlineStr">
        <is>
          <t>default</t>
        </is>
      </c>
      <c r="G66" s="6" t="inlineStr"/>
      <c r="H66" s="30" t="inlineStr">
        <is>
          <t>По доле метров; поле остаётся активным при own_home = да</t>
        </is>
      </c>
    </row>
    <row r="67">
      <c r="A67" s="27" t="inlineStr">
        <is>
          <t>home_util</t>
        </is>
      </c>
      <c r="B67" s="28" t="inlineStr">
        <is>
          <t>ДОМА · коммунальные и связь</t>
        </is>
      </c>
      <c r="C67" s="37" t="n">
        <v>7000</v>
      </c>
      <c r="D67" s="28" t="inlineStr">
        <is>
          <t>₽/мес</t>
        </is>
      </c>
      <c r="E67" s="30" t="inlineStr"/>
      <c r="F67" s="7" t="inlineStr">
        <is>
          <t>default</t>
        </is>
      </c>
      <c r="G67" s="6" t="inlineStr"/>
      <c r="H67" s="30" t="inlineStr">
        <is>
          <t>По доле метров рабочего места</t>
        </is>
      </c>
    </row>
    <row r="68">
      <c r="A68" s="27" t="inlineStr">
        <is>
          <t>home_area</t>
        </is>
      </c>
      <c r="B68" s="28" t="inlineStr">
        <is>
          <t>ДОМА · общая площадь жилья</t>
        </is>
      </c>
      <c r="C68" s="33" t="n">
        <v>50</v>
      </c>
      <c r="D68" s="28" t="inlineStr">
        <is>
          <t>м²</t>
        </is>
      </c>
      <c r="E68" s="30" t="inlineStr"/>
      <c r="F68" s="7" t="inlineStr">
        <is>
          <t>default</t>
        </is>
      </c>
      <c r="G68" s="6" t="inlineStr"/>
      <c r="H68" s="30" t="inlineStr"/>
    </row>
    <row r="69">
      <c r="A69" s="27" t="inlineStr">
        <is>
          <t>cab_area</t>
        </is>
      </c>
      <c r="B69" s="28" t="inlineStr">
        <is>
          <t>ДОМА · площадь под кабинет</t>
        </is>
      </c>
      <c r="C69" s="33" t="n">
        <v>6</v>
      </c>
      <c r="D69" s="28" t="inlineStr">
        <is>
          <t>м²</t>
        </is>
      </c>
      <c r="E69" s="30" t="inlineStr"/>
      <c r="F69" s="7" t="inlineStr">
        <is>
          <t>default</t>
        </is>
      </c>
      <c r="G69" s="6" t="inlineStr"/>
      <c r="H69" s="30" t="inlineStr"/>
    </row>
    <row r="70">
      <c r="A70" s="27" t="inlineStr">
        <is>
          <t>cab_share</t>
        </is>
      </c>
      <c r="B70" s="28" t="inlineStr">
        <is>
          <t>ДОМА · доля кабинета</t>
        </is>
      </c>
      <c r="C70" s="39">
        <f>IF(home_area=0,0,cab_area/home_area)</f>
        <v>0.12</v>
      </c>
      <c r="D70" s="28" t="inlineStr">
        <is>
          <t>%</t>
        </is>
      </c>
      <c r="E70" s="30" t="inlineStr">
        <is>
          <t>IF(home_area=0,0,cab_area/home_area)</t>
        </is>
      </c>
      <c r="F70" s="7" t="inlineStr">
        <is>
          <t>calc</t>
        </is>
      </c>
      <c r="G70" s="6" t="inlineStr">
        <is>
          <t>cab_area, home_area</t>
        </is>
      </c>
      <c r="H70" s="30" t="inlineStr"/>
    </row>
    <row r="71">
      <c r="A71" s="27" t="inlineStr">
        <is>
          <t>office_rent</t>
        </is>
      </c>
      <c r="B71" s="28" t="inlineStr">
        <is>
          <t>АРЕНДА · стоимость помещения</t>
        </is>
      </c>
      <c r="C71" s="37" t="n">
        <v>15000</v>
      </c>
      <c r="D71" s="28" t="inlineStr">
        <is>
          <t>₽/мес</t>
        </is>
      </c>
      <c r="E71" s="30" t="inlineStr"/>
      <c r="F71" s="7" t="inlineStr">
        <is>
          <t>default</t>
        </is>
      </c>
      <c r="G71" s="6" t="inlineStr"/>
      <c r="H71" s="30" t="inlineStr">
        <is>
          <t>ЦЕЛИКОМ</t>
        </is>
      </c>
    </row>
    <row r="72">
      <c r="A72" s="27" t="inlineStr">
        <is>
          <t>office_util</t>
        </is>
      </c>
      <c r="B72" s="28" t="inlineStr">
        <is>
          <t>АРЕНДА · коммунальные и связь</t>
        </is>
      </c>
      <c r="C72" s="37" t="n">
        <v>7000</v>
      </c>
      <c r="D72" s="28" t="inlineStr">
        <is>
          <t>₽/мес</t>
        </is>
      </c>
      <c r="E72" s="30" t="inlineStr"/>
      <c r="F72" s="7" t="inlineStr">
        <is>
          <t>default</t>
        </is>
      </c>
      <c r="G72" s="6" t="inlineStr"/>
      <c r="H72" s="30" t="inlineStr">
        <is>
          <t>ЦЕЛИКОМ</t>
        </is>
      </c>
    </row>
    <row r="73">
      <c r="A73" s="27" t="inlineStr">
        <is>
          <t>var_workspace</t>
        </is>
      </c>
      <c r="B73" s="28" t="inlineStr">
        <is>
          <t>Содержание рабочего места</t>
        </is>
      </c>
      <c r="C73" s="36">
        <f>IF(ws_mode="Работаю из дома",(home_rent+home_util)*cab_share*months,(office_rent+office_util)*months)</f>
        <v>67680.0</v>
      </c>
      <c r="D73" s="28" t="inlineStr">
        <is>
          <t>₽/год</t>
        </is>
      </c>
      <c r="E73" s="30" t="inlineStr">
        <is>
          <t>IF(ws_mode="Работаю из дома",(home_rent+home_util)*cab_share*months,(office_rent+office_util)*months)</t>
        </is>
      </c>
      <c r="F73" s="7" t="inlineStr">
        <is>
          <t>calc</t>
        </is>
      </c>
      <c r="G73" s="6" t="inlineStr">
        <is>
          <t>ws_mode, home_rent, cab_share, home_util, office_rent, office_util</t>
        </is>
      </c>
      <c r="H73" s="30" t="inlineStr"/>
    </row>
    <row r="74">
      <c r="A74" s="3" t="inlineStr">
        <is>
          <t>6 · ОБУЧЕНИЕ И САЙТ · ПЕРЕКЛЮЧАТЕЛИ</t>
        </is>
      </c>
    </row>
    <row r="75" ht="26" customHeight="1">
      <c r="A75" s="26" t="inlineStr">
        <is>
          <t>ID</t>
        </is>
      </c>
      <c r="B75" s="26" t="inlineStr">
        <is>
          <t>Название</t>
        </is>
      </c>
      <c r="C75" s="26" t="inlineStr">
        <is>
          <t>Значение</t>
        </is>
      </c>
      <c r="D75" s="26" t="inlineStr">
        <is>
          <t>Ед.</t>
        </is>
      </c>
      <c r="E75" s="26" t="inlineStr">
        <is>
          <t>Формула / как получено</t>
        </is>
      </c>
      <c r="F75" s="26" t="inlineStr">
        <is>
          <t>Тип</t>
        </is>
      </c>
      <c r="G75" s="26" t="inlineStr">
        <is>
          <t>Зависит от</t>
        </is>
      </c>
      <c r="H75" s="26" t="inlineStr">
        <is>
          <t>Источник / форма</t>
        </is>
      </c>
    </row>
    <row r="76">
      <c r="A76" s="27" t="inlineStr">
        <is>
          <t>edu_cost</t>
        </is>
      </c>
      <c r="B76" s="28" t="inlineStr">
        <is>
          <t>Обучение · стоимость курса</t>
        </is>
      </c>
      <c r="C76" s="37" t="n">
        <v>80000</v>
      </c>
      <c r="D76" s="28" t="inlineStr">
        <is>
          <t>₽</t>
        </is>
      </c>
      <c r="E76" s="30" t="inlineStr"/>
      <c r="F76" s="7" t="inlineStr">
        <is>
          <t>default</t>
        </is>
      </c>
      <c r="G76" s="6" t="inlineStr"/>
      <c r="H76" s="30" t="inlineStr">
        <is>
          <t>Form006 · Block10</t>
        </is>
      </c>
    </row>
    <row r="77">
      <c r="A77" s="27" t="inlineStr">
        <is>
          <t>edu_months</t>
        </is>
      </c>
      <c r="B77" s="28" t="inlineStr">
        <is>
          <t>Обучение · месяцев без дохода</t>
        </is>
      </c>
      <c r="C77" s="40" t="n">
        <v>4</v>
      </c>
      <c r="D77" s="28" t="inlineStr">
        <is>
          <t>мес</t>
        </is>
      </c>
      <c r="E77" s="30" t="inlineStr"/>
      <c r="F77" s="7" t="inlineStr">
        <is>
          <t>default</t>
        </is>
      </c>
      <c r="G77" s="6" t="inlineStr"/>
      <c r="H77" s="30" t="inlineStr"/>
    </row>
    <row r="78">
      <c r="A78" s="27" t="inlineStr">
        <is>
          <t>edu_life</t>
        </is>
      </c>
      <c r="B78" s="28" t="inlineStr">
        <is>
          <t>Обучение · срок амортизации</t>
        </is>
      </c>
      <c r="C78" s="40" t="n">
        <v>7</v>
      </c>
      <c r="D78" s="28" t="inlineStr">
        <is>
          <t>лет</t>
        </is>
      </c>
      <c r="E78" s="30" t="inlineStr"/>
      <c r="F78" s="7" t="inlineStr">
        <is>
          <t>default</t>
        </is>
      </c>
      <c r="G78" s="6" t="inlineStr"/>
      <c r="H78" s="30" t="inlineStr"/>
    </row>
    <row r="79">
      <c r="A79" s="27" t="n"/>
      <c r="B79" s="28" t="n"/>
      <c r="C79" s="34" t="n"/>
      <c r="D79" s="28" t="n"/>
      <c r="E79" s="30" t="n"/>
      <c r="F79" s="7" t="n"/>
      <c r="G79" s="6" t="n"/>
      <c r="H79" s="30" t="n"/>
    </row>
    <row r="80">
      <c r="A80" s="27" t="inlineStr">
        <is>
          <t>edu_opportunity</t>
        </is>
      </c>
      <c r="B80" s="28" t="inlineStr">
        <is>
          <t>Обучение · упущенная выгода</t>
        </is>
      </c>
      <c r="C80" s="38">
        <f>edu_months*income_month</f>
        <v>440864.0</v>
      </c>
      <c r="D80" s="28" t="inlineStr">
        <is>
          <t>₽</t>
        </is>
      </c>
      <c r="E80" s="30" t="inlineStr">
        <is>
          <t>edu_months*income_month</t>
        </is>
      </c>
      <c r="F80" s="7" t="inlineStr">
        <is>
          <t>calc</t>
        </is>
      </c>
      <c r="G80" s="6" t="inlineStr">
        <is>
          <t>edu_months, income_month</t>
        </is>
      </c>
      <c r="H80" s="30" t="inlineStr"/>
    </row>
    <row r="81">
      <c r="A81" s="27" t="inlineStr">
        <is>
          <t>dep_education</t>
        </is>
      </c>
      <c r="B81" s="28" t="inlineStr">
        <is>
          <t>Амортизация · обучение</t>
        </is>
      </c>
      <c r="C81" s="36">
        <f>IF(edu_life=0,0,(edu_cost+edu_opportunity)/edu_life)</f>
        <v>74409.14285714286</v>
      </c>
      <c r="D81" s="28" t="inlineStr">
        <is>
          <t>₽/год</t>
        </is>
      </c>
      <c r="E81" s="30" t="inlineStr">
        <is>
          <t>IF(edu_life=0,0,(edu_cost+edu_opportunity)/edu_life)</t>
        </is>
      </c>
      <c r="F81" s="7" t="inlineStr">
        <is>
          <t>calc</t>
        </is>
      </c>
      <c r="G81" s="6" t="inlineStr">
        <is>
          <t>edu_cost, edu_opportunity, edu_life</t>
        </is>
      </c>
      <c r="H81" s="30" t="inlineStr"/>
    </row>
    <row r="82">
      <c r="A82" s="27" t="inlineStr">
        <is>
          <t>site_mode</t>
        </is>
      </c>
      <c r="B82" s="28" t="inlineStr">
        <is>
          <t>ПЕРЕКЛЮЧАТЕЛЬ · создание сайта</t>
        </is>
      </c>
      <c r="C82" s="34" t="inlineStr">
        <is>
          <t>Нанимал (а) специалиста</t>
        </is>
      </c>
      <c r="D82" s="28" t="inlineStr"/>
      <c r="E82" s="30" t="inlineStr"/>
      <c r="F82" s="7" t="inlineStr">
        <is>
          <t>default</t>
        </is>
      </c>
      <c r="G82" s="6" t="inlineStr"/>
      <c r="H82" s="30" t="inlineStr">
        <is>
          <t>Form014 · A123 · Block12</t>
        </is>
      </c>
    </row>
    <row r="83">
      <c r="A83" s="27" t="inlineStr">
        <is>
          <t>site_cost</t>
        </is>
      </c>
      <c r="B83" s="28" t="inlineStr">
        <is>
          <t>Сайт · стоимость подрядчика</t>
        </is>
      </c>
      <c r="C83" s="37" t="n">
        <v>70000</v>
      </c>
      <c r="D83" s="28" t="inlineStr">
        <is>
          <t>₽</t>
        </is>
      </c>
      <c r="E83" s="30" t="inlineStr"/>
      <c r="F83" s="7" t="inlineStr">
        <is>
          <t>default</t>
        </is>
      </c>
      <c r="G83" s="6" t="inlineStr"/>
      <c r="H83" s="30" t="inlineStr"/>
    </row>
    <row r="84">
      <c r="A84" s="27" t="inlineStr">
        <is>
          <t>site_hours</t>
        </is>
      </c>
      <c r="B84" s="28" t="inlineStr">
        <is>
          <t>Сайт · часов своими руками</t>
        </is>
      </c>
      <c r="C84" s="33" t="n">
        <v>80</v>
      </c>
      <c r="D84" s="28" t="inlineStr">
        <is>
          <t>ч</t>
        </is>
      </c>
      <c r="E84" s="30" t="inlineStr"/>
      <c r="F84" s="7" t="inlineStr">
        <is>
          <t>default</t>
        </is>
      </c>
      <c r="G84" s="6" t="inlineStr"/>
      <c r="H84" s="30" t="inlineStr">
        <is>
          <t>при варианте «делал сам»</t>
        </is>
      </c>
    </row>
    <row r="85">
      <c r="A85" s="27" t="inlineStr">
        <is>
          <t>site_life</t>
        </is>
      </c>
      <c r="B85" s="28" t="inlineStr">
        <is>
          <t>Сайт · срок амортизации</t>
        </is>
      </c>
      <c r="C85" s="40" t="n">
        <v>7</v>
      </c>
      <c r="D85" s="28" t="inlineStr">
        <is>
          <t>лет</t>
        </is>
      </c>
      <c r="E85" s="30" t="inlineStr"/>
      <c r="F85" s="7" t="inlineStr">
        <is>
          <t>default</t>
        </is>
      </c>
      <c r="G85" s="6" t="inlineStr"/>
      <c r="H85" s="30" t="inlineStr"/>
    </row>
    <row r="86">
      <c r="A86" s="27" t="inlineStr">
        <is>
          <t>dep_website</t>
        </is>
      </c>
      <c r="B86" s="28" t="inlineStr">
        <is>
          <t>Амортизация · сайт</t>
        </is>
      </c>
      <c r="C86" s="36">
        <f>IF(site_mode="Нанимал (а) специалиста",IF(site_life=0,0,site_cost/site_life),0)</f>
        <v>10000.0</v>
      </c>
      <c r="D86" s="28" t="inlineStr">
        <is>
          <t>₽/год</t>
        </is>
      </c>
      <c r="E86" s="30" t="inlineStr">
        <is>
          <t>IF(site_mode="Нанимал (а) специалиста",IF(site_life=0,0,site_cost/site_life),0)</t>
        </is>
      </c>
      <c r="F86" s="7" t="inlineStr">
        <is>
          <t>calc</t>
        </is>
      </c>
      <c r="G86" s="6" t="inlineStr">
        <is>
          <t>site_mode, site_cost, site_life</t>
        </is>
      </c>
      <c r="H86" s="30" t="inlineStr">
        <is>
          <t>при «делал сам» уходит в site_divisor</t>
        </is>
      </c>
    </row>
    <row r="87">
      <c r="A87" s="27" t="inlineStr">
        <is>
          <t>site_divisor</t>
        </is>
      </c>
      <c r="B87" s="28" t="inlineStr">
        <is>
          <t>Сайт · поправка знаменателя</t>
        </is>
      </c>
      <c r="C87" s="41">
        <f>IF(site_mode="Нанимал (а) специалиста",0,IF(site_life*net_time=0,0,site_hours/(site_life*net_time)))</f>
        <v>0.0</v>
      </c>
      <c r="D87" s="28" t="inlineStr"/>
      <c r="E87" s="30" t="inlineStr">
        <is>
          <t>IF(site_mode="Нанимал (а) специалиста",0,IF(site_life*net_time=0,0,site_hours/(site_life*net_time)))</t>
        </is>
      </c>
      <c r="F87" s="7" t="inlineStr">
        <is>
          <t>calc</t>
        </is>
      </c>
      <c r="G87" s="6" t="inlineStr">
        <is>
          <t>site_mode, site_hours, site_life, net_time</t>
        </is>
      </c>
      <c r="H87" s="30" t="inlineStr">
        <is>
          <t>Свой труд по ПОЛНОЙ ставке рабочего часа (выручка / чистое время), а не по съёмочной</t>
        </is>
      </c>
    </row>
    <row r="88">
      <c r="A88" s="3" t="inlineStr">
        <is>
          <t>7 · РАСХОДЫ · итоги из 03_Каталоги по КОДУ ФОРМЫ</t>
        </is>
      </c>
    </row>
    <row r="89" ht="26" customHeight="1">
      <c r="A89" s="26" t="inlineStr">
        <is>
          <t>ID</t>
        </is>
      </c>
      <c r="B89" s="26" t="inlineStr">
        <is>
          <t>Название</t>
        </is>
      </c>
      <c r="C89" s="26" t="inlineStr">
        <is>
          <t>Значение</t>
        </is>
      </c>
      <c r="D89" s="26" t="inlineStr">
        <is>
          <t>Ед.</t>
        </is>
      </c>
      <c r="E89" s="26" t="inlineStr">
        <is>
          <t>Формула / как получено</t>
        </is>
      </c>
      <c r="F89" s="26" t="inlineStr">
        <is>
          <t>Тип</t>
        </is>
      </c>
      <c r="G89" s="26" t="inlineStr">
        <is>
          <t>Зависит от</t>
        </is>
      </c>
      <c r="H89" s="26" t="inlineStr">
        <is>
          <t>Источник / форма</t>
        </is>
      </c>
    </row>
    <row r="90">
      <c r="A90" s="27" t="inlineStr">
        <is>
          <t>dep_shoot</t>
        </is>
      </c>
      <c r="B90" s="28" t="inlineStr">
        <is>
          <t>Амортизация · съёмочное оборудование</t>
        </is>
      </c>
      <c r="C90" s="36">
        <f>SUMIF(cat_form,"Form001",cat_year)</f>
        <v>107759.99047619046</v>
      </c>
      <c r="D90" s="28" t="inlineStr">
        <is>
          <t>₽/год</t>
        </is>
      </c>
      <c r="E90" s="30" t="inlineStr">
        <is>
          <t>SUMIF(cat_form,"Form001",cat_year)</t>
        </is>
      </c>
      <c r="F90" s="7" t="inlineStr">
        <is>
          <t>calc</t>
        </is>
      </c>
      <c r="G90" s="6" t="inlineStr">
        <is>
          <t>Form001</t>
        </is>
      </c>
      <c r="H90" s="30" t="inlineStr">
        <is>
          <t>Block6</t>
        </is>
      </c>
    </row>
    <row r="91">
      <c r="A91" s="27" t="inlineStr">
        <is>
          <t>dep_office</t>
        </is>
      </c>
      <c r="B91" s="28" t="inlineStr">
        <is>
          <t>Амортизация · офисное оборудование</t>
        </is>
      </c>
      <c r="C91" s="36">
        <f>SUMIF(cat_form,"Form002",cat_year)</f>
        <v>65732.93333333333</v>
      </c>
      <c r="D91" s="28" t="inlineStr">
        <is>
          <t>₽/год</t>
        </is>
      </c>
      <c r="E91" s="30" t="inlineStr">
        <is>
          <t>SUMIF(cat_form,"Form002",cat_year)</t>
        </is>
      </c>
      <c r="F91" s="7" t="inlineStr">
        <is>
          <t>calc</t>
        </is>
      </c>
      <c r="G91" s="6" t="inlineStr">
        <is>
          <t>Form002</t>
        </is>
      </c>
      <c r="H91" s="30" t="inlineStr">
        <is>
          <t>Block7</t>
        </is>
      </c>
    </row>
    <row r="92">
      <c r="A92" s="27" t="inlineStr">
        <is>
          <t>dep_software</t>
        </is>
      </c>
      <c r="B92" s="28" t="inlineStr">
        <is>
          <t>Амортизация · ПО разовые покупки</t>
        </is>
      </c>
      <c r="C92" s="36">
        <f>SUMIF(cat_form,"Form004",cat_year)</f>
        <v>11500.0</v>
      </c>
      <c r="D92" s="28" t="inlineStr">
        <is>
          <t>₽/год</t>
        </is>
      </c>
      <c r="E92" s="30" t="inlineStr">
        <is>
          <t>SUMIF(cat_form,"Form004",cat_year)</t>
        </is>
      </c>
      <c r="F92" s="7" t="inlineStr">
        <is>
          <t>calc</t>
        </is>
      </c>
      <c r="G92" s="6" t="inlineStr">
        <is>
          <t>Form004</t>
        </is>
      </c>
      <c r="H92" s="30" t="inlineStr">
        <is>
          <t>Block8</t>
        </is>
      </c>
    </row>
    <row r="93">
      <c r="A93" s="27" t="inlineStr">
        <is>
          <t>dep_workspace</t>
        </is>
      </c>
      <c r="B93" s="28" t="inlineStr">
        <is>
          <t>Амортизация · обустройство места</t>
        </is>
      </c>
      <c r="C93" s="36">
        <f>SUMIF(cat_form,"Form013",cat_year)</f>
        <v>9285.714285714286</v>
      </c>
      <c r="D93" s="28" t="inlineStr">
        <is>
          <t>₽/год</t>
        </is>
      </c>
      <c r="E93" s="30" t="inlineStr">
        <is>
          <t>SUMIF(cat_form,"Form013",cat_year)</t>
        </is>
      </c>
      <c r="F93" s="7" t="inlineStr">
        <is>
          <t>calc</t>
        </is>
      </c>
      <c r="G93" s="6" t="inlineStr">
        <is>
          <t>Form013</t>
        </is>
      </c>
      <c r="H93" s="30" t="inlineStr">
        <is>
          <t>Block9</t>
        </is>
      </c>
    </row>
    <row r="94">
      <c r="A94" s="27" t="inlineStr">
        <is>
          <t>investment</t>
        </is>
      </c>
      <c r="B94" s="28" t="inlineStr">
        <is>
          <t>ИТОГО амортизация</t>
        </is>
      </c>
      <c r="C94" s="36">
        <f>dep_shoot+dep_office+dep_software+dep_workspace+dep_education+dep_website</f>
        <v>278687.78095238097</v>
      </c>
      <c r="D94" s="28" t="inlineStr">
        <is>
          <t>₽/год</t>
        </is>
      </c>
      <c r="E94" s="30" t="inlineStr">
        <is>
          <t>dep_shoot+dep_office+dep_software+dep_workspace+dep_education+dep_website</t>
        </is>
      </c>
      <c r="F94" s="7" t="inlineStr">
        <is>
          <t>calc</t>
        </is>
      </c>
      <c r="G94" s="6" t="inlineStr">
        <is>
          <t>dep_*</t>
        </is>
      </c>
      <c r="H94" s="30" t="inlineStr"/>
    </row>
    <row r="95">
      <c r="A95" s="27" t="inlineStr">
        <is>
          <t>var_software</t>
        </is>
      </c>
      <c r="B95" s="28" t="inlineStr">
        <is>
          <t>Переменные · подписки ПО</t>
        </is>
      </c>
      <c r="C95" s="36">
        <f>SUMIF(cat_form,"Form003",cat_year)</f>
        <v>27000.0</v>
      </c>
      <c r="D95" s="28" t="inlineStr">
        <is>
          <t>₽/год</t>
        </is>
      </c>
      <c r="E95" s="30" t="inlineStr">
        <is>
          <t>SUMIF(cat_form,"Form003",cat_year)</t>
        </is>
      </c>
      <c r="F95" s="7" t="inlineStr">
        <is>
          <t>calc</t>
        </is>
      </c>
      <c r="G95" s="6" t="inlineStr">
        <is>
          <t>Form003</t>
        </is>
      </c>
      <c r="H95" s="30" t="inlineStr">
        <is>
          <t>Block8</t>
        </is>
      </c>
    </row>
    <row r="96">
      <c r="A96" s="27" t="inlineStr">
        <is>
          <t>var_ads</t>
        </is>
      </c>
      <c r="B96" s="28" t="inlineStr">
        <is>
          <t>Переменные · реклама и продвижение</t>
        </is>
      </c>
      <c r="C96" s="36">
        <f>SUMIF(cat_form,"Form010",cat_year)</f>
        <v>187500.0</v>
      </c>
      <c r="D96" s="28" t="inlineStr">
        <is>
          <t>₽/год</t>
        </is>
      </c>
      <c r="E96" s="30" t="inlineStr">
        <is>
          <t>SUMIF(cat_form,"Form010",cat_year)</t>
        </is>
      </c>
      <c r="F96" s="7" t="inlineStr">
        <is>
          <t>calc</t>
        </is>
      </c>
      <c r="G96" s="6" t="inlineStr">
        <is>
          <t>Form010</t>
        </is>
      </c>
      <c r="H96" s="30" t="inlineStr">
        <is>
          <t>Block11</t>
        </is>
      </c>
    </row>
    <row r="97">
      <c r="A97" s="27" t="inlineStr">
        <is>
          <t>var_bank</t>
        </is>
      </c>
      <c r="B97" s="28" t="inlineStr">
        <is>
          <t>Переменные · банк РКО и СМС</t>
        </is>
      </c>
      <c r="C97" s="36">
        <f>SUMIF(cat_form,"Form007",cat_year)</f>
        <v>1800.0</v>
      </c>
      <c r="D97" s="28" t="inlineStr">
        <is>
          <t>₽/год</t>
        </is>
      </c>
      <c r="E97" s="30" t="inlineStr">
        <is>
          <t>SUMIF(cat_form,"Form007",cat_year)</t>
        </is>
      </c>
      <c r="F97" s="7" t="inlineStr">
        <is>
          <t>calc</t>
        </is>
      </c>
      <c r="G97" s="6" t="inlineStr">
        <is>
          <t>Form007</t>
        </is>
      </c>
      <c r="H97" s="30" t="inlineStr">
        <is>
          <t>Block15</t>
        </is>
      </c>
    </row>
    <row r="98">
      <c r="A98" s="27" t="inlineStr">
        <is>
          <t>acc_cost_month</t>
        </is>
      </c>
      <c r="B98" s="28" t="inlineStr">
        <is>
          <t>Специалист по учёту · стоимость в месяц</t>
        </is>
      </c>
      <c r="C98" s="37" t="n">
        <v>10000</v>
      </c>
      <c r="D98" s="28" t="inlineStr">
        <is>
          <t>₽/мес</t>
        </is>
      </c>
      <c r="E98" s="30" t="inlineStr"/>
      <c r="F98" s="7" t="inlineStr">
        <is>
          <t>default</t>
        </is>
      </c>
      <c r="G98" s="6" t="inlineStr"/>
      <c r="H98" s="30" t="inlineStr">
        <is>
          <t>Form011</t>
        </is>
      </c>
    </row>
    <row r="99">
      <c r="A99" s="27" t="inlineStr">
        <is>
          <t>var_accounting</t>
        </is>
      </c>
      <c r="B99" s="28" t="inlineStr">
        <is>
          <t>Переменные · специалист по учёту</t>
        </is>
      </c>
      <c r="C99" s="36">
        <f>IF(acc_mode="Нанимаю специалиста",acc_cost_month*months,0)</f>
        <v>0.0</v>
      </c>
      <c r="D99" s="28" t="inlineStr">
        <is>
          <t>₽/год</t>
        </is>
      </c>
      <c r="E99" s="30" t="inlineStr">
        <is>
          <t>IF(acc_mode="Нанимаю специалиста",acc_cost_month*months,0)</t>
        </is>
      </c>
      <c r="F99" s="7" t="inlineStr">
        <is>
          <t>calc</t>
        </is>
      </c>
      <c r="G99" s="6" t="inlineStr">
        <is>
          <t>acc_mode, acc_cost_month, months</t>
        </is>
      </c>
      <c r="H99" s="30" t="inlineStr">
        <is>
          <t>Если веду сам — 0, но растёт время</t>
        </is>
      </c>
    </row>
    <row r="100">
      <c r="A100" s="27" t="inlineStr">
        <is>
          <t>variable_costs</t>
        </is>
      </c>
      <c r="B100" s="28" t="inlineStr">
        <is>
          <t>ИТОГО переменные</t>
        </is>
      </c>
      <c r="C100" s="36">
        <f>var_software+var_ads+var_bank+var_accounting+var_workspace</f>
        <v>283980.0</v>
      </c>
      <c r="D100" s="28" t="inlineStr">
        <is>
          <t>₽/год</t>
        </is>
      </c>
      <c r="E100" s="30" t="inlineStr">
        <is>
          <t>var_software+var_ads+var_bank+var_accounting+var_workspace</t>
        </is>
      </c>
      <c r="F100" s="7" t="inlineStr">
        <is>
          <t>calc</t>
        </is>
      </c>
      <c r="G100" s="6" t="inlineStr">
        <is>
          <t>var_*</t>
        </is>
      </c>
      <c r="H100" s="30" t="inlineStr"/>
    </row>
    <row r="101">
      <c r="A101" s="27" t="inlineStr">
        <is>
          <t>total_costs</t>
        </is>
      </c>
      <c r="B101" s="28" t="inlineStr">
        <is>
          <t>ВСЕГО РАСХОДОВ (C)</t>
        </is>
      </c>
      <c r="C101" s="36">
        <f>investment+variable_costs</f>
        <v>562667.780952381</v>
      </c>
      <c r="D101" s="28" t="inlineStr">
        <is>
          <t>₽/год</t>
        </is>
      </c>
      <c r="E101" s="30" t="inlineStr">
        <is>
          <t>investment+variable_costs</t>
        </is>
      </c>
      <c r="F101" s="7" t="inlineStr">
        <is>
          <t>calc</t>
        </is>
      </c>
      <c r="G101" s="6" t="inlineStr">
        <is>
          <t>investment, variable_costs</t>
        </is>
      </c>
      <c r="H101" s="30" t="inlineStr">
        <is>
          <t>Без эквайринга</t>
        </is>
      </c>
    </row>
    <row r="102">
      <c r="A102" s="27" t="inlineStr">
        <is>
          <t>revenue_base</t>
        </is>
      </c>
      <c r="B102" s="28" t="inlineStr">
        <is>
          <t>База для выручки</t>
        </is>
      </c>
      <c r="C102" s="38">
        <f>target_income+total_costs</f>
        <v>1885259.780952381</v>
      </c>
      <c r="D102" s="28" t="inlineStr">
        <is>
          <t>₽/год</t>
        </is>
      </c>
      <c r="E102" s="30" t="inlineStr">
        <is>
          <t>target_income+total_costs</t>
        </is>
      </c>
      <c r="F102" s="7" t="inlineStr">
        <is>
          <t>calc</t>
        </is>
      </c>
      <c r="G102" s="6" t="inlineStr">
        <is>
          <t>target_income, total_costs</t>
        </is>
      </c>
      <c r="H102" s="30" t="inlineStr">
        <is>
          <t>N + C</t>
        </is>
      </c>
    </row>
    <row r="103">
      <c r="A103" s="3" t="inlineStr">
        <is>
          <t>8 · НАЛОГИ И ВЗНОСЫ 2026</t>
        </is>
      </c>
    </row>
    <row r="104" ht="26" customHeight="1">
      <c r="A104" s="26" t="inlineStr">
        <is>
          <t>ID</t>
        </is>
      </c>
      <c r="B104" s="26" t="inlineStr">
        <is>
          <t>Название</t>
        </is>
      </c>
      <c r="C104" s="26" t="inlineStr">
        <is>
          <t>Значение</t>
        </is>
      </c>
      <c r="D104" s="26" t="inlineStr">
        <is>
          <t>Ед.</t>
        </is>
      </c>
      <c r="E104" s="26" t="inlineStr">
        <is>
          <t>Формула / как получено</t>
        </is>
      </c>
      <c r="F104" s="26" t="inlineStr">
        <is>
          <t>Тип</t>
        </is>
      </c>
      <c r="G104" s="26" t="inlineStr">
        <is>
          <t>Зависит от</t>
        </is>
      </c>
      <c r="H104" s="26" t="inlineStr">
        <is>
          <t>Источник / форма</t>
        </is>
      </c>
    </row>
    <row r="105">
      <c r="A105" s="27" t="inlineStr">
        <is>
          <t>regime</t>
        </is>
      </c>
      <c r="B105" s="28" t="inlineStr">
        <is>
          <t>ПЕРЕКЛЮЧАТЕЛЬ · режим налогообложения</t>
        </is>
      </c>
      <c r="C105" s="34" t="inlineStr">
        <is>
          <t>Самозанятый (НПД), средняя ставка</t>
        </is>
      </c>
      <c r="D105" s="28" t="inlineStr"/>
      <c r="E105" s="30" t="inlineStr"/>
      <c r="F105" s="7" t="inlineStr">
        <is>
          <t>default</t>
        </is>
      </c>
      <c r="G105" s="6" t="inlineStr"/>
      <c r="H105" s="30" t="inlineStr">
        <is>
          <t>Form015 · A137 · Block4</t>
        </is>
      </c>
    </row>
    <row r="106">
      <c r="A106" s="27" t="inlineStr">
        <is>
          <t>rate_npd_avg</t>
        </is>
      </c>
      <c r="B106" s="28" t="inlineStr">
        <is>
          <t>НПД · средняя ставка</t>
        </is>
      </c>
      <c r="C106" s="35" t="n">
        <v>0.05</v>
      </c>
      <c r="D106" s="28" t="inlineStr">
        <is>
          <t>%</t>
        </is>
      </c>
      <c r="E106" s="30" t="inlineStr"/>
      <c r="F106" s="7" t="inlineStr">
        <is>
          <t>default</t>
        </is>
      </c>
      <c r="G106" s="6" t="inlineStr"/>
      <c r="H106" s="30" t="inlineStr">
        <is>
          <t>и физлица, и юрлица</t>
        </is>
      </c>
    </row>
    <row r="107">
      <c r="A107" s="27" t="inlineStr">
        <is>
          <t>rate_npd_fiz</t>
        </is>
      </c>
      <c r="B107" s="28" t="inlineStr">
        <is>
          <t>НПД · физлица</t>
        </is>
      </c>
      <c r="C107" s="42" t="n">
        <v>0.04</v>
      </c>
      <c r="D107" s="28" t="inlineStr">
        <is>
          <t>%</t>
        </is>
      </c>
      <c r="E107" s="30" t="inlineStr"/>
      <c r="F107" s="7" t="inlineStr">
        <is>
          <t>const</t>
        </is>
      </c>
      <c r="G107" s="6" t="inlineStr"/>
      <c r="H107" s="30" t="inlineStr">
        <is>
          <t>ФЗ-422</t>
        </is>
      </c>
    </row>
    <row r="108">
      <c r="A108" s="27" t="inlineStr">
        <is>
          <t>rate_npd_ur</t>
        </is>
      </c>
      <c r="B108" s="28" t="inlineStr">
        <is>
          <t>НПД · юрлица</t>
        </is>
      </c>
      <c r="C108" s="42" t="n">
        <v>0.06</v>
      </c>
      <c r="D108" s="28" t="inlineStr">
        <is>
          <t>%</t>
        </is>
      </c>
      <c r="E108" s="30" t="inlineStr"/>
      <c r="F108" s="7" t="inlineStr">
        <is>
          <t>const</t>
        </is>
      </c>
      <c r="G108" s="6" t="inlineStr"/>
      <c r="H108" s="30" t="inlineStr">
        <is>
          <t>ФЗ-422</t>
        </is>
      </c>
    </row>
    <row r="109">
      <c r="A109" s="27" t="inlineStr">
        <is>
          <t>rate_usn_inc</t>
        </is>
      </c>
      <c r="B109" s="28" t="inlineStr">
        <is>
          <t>УСН доходы</t>
        </is>
      </c>
      <c r="C109" s="35" t="n">
        <v>0.06</v>
      </c>
      <c r="D109" s="28" t="inlineStr">
        <is>
          <t>%</t>
        </is>
      </c>
      <c r="E109" s="30" t="inlineStr"/>
      <c r="F109" s="7" t="inlineStr">
        <is>
          <t>default</t>
        </is>
      </c>
      <c r="G109" s="6" t="inlineStr"/>
      <c r="H109" s="30" t="inlineStr">
        <is>
          <t>регион до 1%</t>
        </is>
      </c>
    </row>
    <row r="110">
      <c r="A110" s="27" t="inlineStr">
        <is>
          <t>rate_usn_prof</t>
        </is>
      </c>
      <c r="B110" s="28" t="inlineStr">
        <is>
          <t>УСН доходы минус расходы</t>
        </is>
      </c>
      <c r="C110" s="35" t="n">
        <v>0.15</v>
      </c>
      <c r="D110" s="28" t="inlineStr">
        <is>
          <t>%</t>
        </is>
      </c>
      <c r="E110" s="30" t="inlineStr"/>
      <c r="F110" s="7" t="inlineStr">
        <is>
          <t>default</t>
        </is>
      </c>
      <c r="G110" s="6" t="inlineStr"/>
      <c r="H110" s="30" t="inlineStr">
        <is>
          <t>регион до 5%</t>
        </is>
      </c>
    </row>
    <row r="111">
      <c r="A111" s="27" t="inlineStr">
        <is>
          <t>rate_ausn_inc</t>
        </is>
      </c>
      <c r="B111" s="28" t="inlineStr">
        <is>
          <t>АУСН доходы</t>
        </is>
      </c>
      <c r="C111" s="42" t="n">
        <v>0.08</v>
      </c>
      <c r="D111" s="28" t="inlineStr">
        <is>
          <t>%</t>
        </is>
      </c>
      <c r="E111" s="30" t="inlineStr"/>
      <c r="F111" s="7" t="inlineStr">
        <is>
          <t>const</t>
        </is>
      </c>
      <c r="G111" s="6" t="inlineStr"/>
      <c r="H111" s="30" t="inlineStr">
        <is>
          <t>ФЗ-17</t>
        </is>
      </c>
    </row>
    <row r="112">
      <c r="A112" s="27" t="inlineStr">
        <is>
          <t>rate_ausn_prof</t>
        </is>
      </c>
      <c r="B112" s="28" t="inlineStr">
        <is>
          <t>АУСН доходы минус расходы</t>
        </is>
      </c>
      <c r="C112" s="42" t="n">
        <v>0.2</v>
      </c>
      <c r="D112" s="28" t="inlineStr">
        <is>
          <t>%</t>
        </is>
      </c>
      <c r="E112" s="30" t="inlineStr"/>
      <c r="F112" s="7" t="inlineStr">
        <is>
          <t>const</t>
        </is>
      </c>
      <c r="G112" s="6" t="inlineStr"/>
      <c r="H112" s="30" t="inlineStr">
        <is>
          <t>ФЗ-17</t>
        </is>
      </c>
    </row>
    <row r="113">
      <c r="A113" s="27" t="inlineStr">
        <is>
          <t>regime_no</t>
        </is>
      </c>
      <c r="B113" s="28" t="inlineStr">
        <is>
          <t>Номер режима (1–7)</t>
        </is>
      </c>
      <c r="C113" s="32">
        <f>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f>
        <v>1.0</v>
      </c>
      <c r="D113" s="28" t="inlineStr">
        <is>
          <t>№</t>
        </is>
      </c>
      <c r="E113" s="30"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F113" s="7" t="inlineStr">
        <is>
          <t>calc</t>
        </is>
      </c>
      <c r="G113" s="6" t="inlineStr">
        <is>
          <t>regime</t>
        </is>
      </c>
      <c r="H113" s="30" t="inlineStr"/>
    </row>
    <row r="114">
      <c r="A114" s="27" t="inlineStr">
        <is>
          <t>rate_current</t>
        </is>
      </c>
      <c r="B114" s="28" t="inlineStr">
        <is>
          <t>Ставка выбранного режима</t>
        </is>
      </c>
      <c r="C114" s="39">
        <f>CHOOSE(regime_no,rate_npd_avg,rate_npd_fiz,rate_npd_ur,rate_usn_inc,rate_usn_prof,rate_ausn_inc,rate_ausn_prof)</f>
        <v>0.05</v>
      </c>
      <c r="D114" s="28" t="inlineStr">
        <is>
          <t>%</t>
        </is>
      </c>
      <c r="E114" s="30" t="inlineStr">
        <is>
          <t>CHOOSE(regime_no,rate_npd_avg,rate_npd_fiz,rate_npd_ur,rate_usn_inc,rate_usn_prof,rate_ausn_inc,rate_ausn_prof)</t>
        </is>
      </c>
      <c r="F114" s="7" t="inlineStr">
        <is>
          <t>calc</t>
        </is>
      </c>
      <c r="G114" s="6" t="inlineStr">
        <is>
          <t>regime_no</t>
        </is>
      </c>
      <c r="H114" s="30" t="inlineStr"/>
    </row>
    <row r="115">
      <c r="A115" s="27" t="inlineStr">
        <is>
          <t>fixed_contrib</t>
        </is>
      </c>
      <c r="B115" s="28" t="inlineStr">
        <is>
          <t>Фиксированные взносы ИП</t>
        </is>
      </c>
      <c r="C115" s="43" t="n">
        <v>57390</v>
      </c>
      <c r="D115" s="28" t="inlineStr">
        <is>
          <t>₽/год</t>
        </is>
      </c>
      <c r="E115" s="30" t="inlineStr"/>
      <c r="F115" s="7" t="inlineStr">
        <is>
          <t>const</t>
        </is>
      </c>
      <c r="G115" s="6" t="inlineStr"/>
      <c r="H115" s="30" t="inlineStr">
        <is>
          <t>п. 1.2 ст. 430 НК</t>
        </is>
      </c>
    </row>
    <row r="116">
      <c r="A116" s="27" t="inlineStr">
        <is>
          <t>extra_contrib</t>
        </is>
      </c>
      <c r="B116" s="28" t="inlineStr">
        <is>
          <t>Дополнительный взнос</t>
        </is>
      </c>
      <c r="C116" s="42" t="n">
        <v>0.01</v>
      </c>
      <c r="D116" s="28" t="inlineStr">
        <is>
          <t>%</t>
        </is>
      </c>
      <c r="E116" s="30" t="inlineStr"/>
      <c r="F116" s="7" t="inlineStr">
        <is>
          <t>const</t>
        </is>
      </c>
      <c r="G116" s="6" t="inlineStr"/>
      <c r="H116" s="30" t="inlineStr">
        <is>
          <t>п. 1.2 ст. 430 НК</t>
        </is>
      </c>
    </row>
    <row r="117">
      <c r="A117" s="27" t="inlineStr">
        <is>
          <t>contrib_threshold</t>
        </is>
      </c>
      <c r="B117" s="28" t="inlineStr">
        <is>
          <t>Предельная величина дохода</t>
        </is>
      </c>
      <c r="C117" s="43" t="n">
        <v>300000</v>
      </c>
      <c r="D117" s="28" t="inlineStr">
        <is>
          <t>₽/год</t>
        </is>
      </c>
      <c r="E117" s="30" t="inlineStr"/>
      <c r="F117" s="7" t="inlineStr">
        <is>
          <t>const</t>
        </is>
      </c>
      <c r="G117" s="6" t="inlineStr"/>
      <c r="H117" s="30" t="inlineStr">
        <is>
          <t>ЗА ГОД</t>
        </is>
      </c>
    </row>
    <row r="118">
      <c r="A118" s="27" t="inlineStr">
        <is>
          <t>contrib_cap</t>
        </is>
      </c>
      <c r="B118" s="28" t="inlineStr">
        <is>
          <t>Максимум допвзноса</t>
        </is>
      </c>
      <c r="C118" s="43" t="n">
        <v>321818</v>
      </c>
      <c r="D118" s="28" t="inlineStr">
        <is>
          <t>₽/год</t>
        </is>
      </c>
      <c r="E118" s="30" t="inlineStr"/>
      <c r="F118" s="7" t="inlineStr">
        <is>
          <t>const</t>
        </is>
      </c>
      <c r="G118" s="6" t="inlineStr"/>
      <c r="H118" s="30" t="inlineStr">
        <is>
          <t>п. 1.2 ст. 430 НК</t>
        </is>
      </c>
    </row>
    <row r="119">
      <c r="A119" s="27" t="inlineStr">
        <is>
          <t>threshold_credit</t>
        </is>
      </c>
      <c r="B119" s="28" t="inlineStr">
        <is>
          <t>Поправка на порог</t>
        </is>
      </c>
      <c r="C119" s="38">
        <f>contrib_threshold*extra_contrib</f>
        <v>3000.0</v>
      </c>
      <c r="D119" s="28" t="inlineStr">
        <is>
          <t>₽</t>
        </is>
      </c>
      <c r="E119" s="30" t="inlineStr">
        <is>
          <t>contrib_threshold*extra_contrib</t>
        </is>
      </c>
      <c r="F119" s="7" t="inlineStr">
        <is>
          <t>calc</t>
        </is>
      </c>
      <c r="G119" s="6" t="inlineStr">
        <is>
          <t>contrib_threshold, extra_contrib</t>
        </is>
      </c>
      <c r="H119" s="30" t="inlineStr">
        <is>
          <t>300 000 × 1% = 3 000</t>
        </is>
      </c>
    </row>
    <row r="120">
      <c r="A120" s="27" t="inlineStr">
        <is>
          <t>min_tax_usn</t>
        </is>
      </c>
      <c r="B120" s="28" t="inlineStr">
        <is>
          <t>Минимальный налог УСН Д−Р</t>
        </is>
      </c>
      <c r="C120" s="42" t="n">
        <v>0.01</v>
      </c>
      <c r="D120" s="28" t="inlineStr">
        <is>
          <t>%</t>
        </is>
      </c>
      <c r="E120" s="30" t="inlineStr"/>
      <c r="F120" s="7" t="inlineStr">
        <is>
          <t>const</t>
        </is>
      </c>
      <c r="G120" s="6" t="inlineStr"/>
      <c r="H120" s="30" t="inlineStr">
        <is>
          <t>ст. 346.18 НК</t>
        </is>
      </c>
    </row>
    <row r="121">
      <c r="A121" s="27" t="inlineStr">
        <is>
          <t>min_tax_ausn</t>
        </is>
      </c>
      <c r="B121" s="28" t="inlineStr">
        <is>
          <t>Минимальный налог АУСН Д−Р</t>
        </is>
      </c>
      <c r="C121" s="42" t="n">
        <v>0.03</v>
      </c>
      <c r="D121" s="28" t="inlineStr">
        <is>
          <t>%</t>
        </is>
      </c>
      <c r="E121" s="30" t="inlineStr"/>
      <c r="F121" s="7" t="inlineStr">
        <is>
          <t>const</t>
        </is>
      </c>
      <c r="G121" s="6" t="inlineStr"/>
      <c r="H121" s="30" t="inlineStr">
        <is>
          <t>ФЗ-17</t>
        </is>
      </c>
    </row>
    <row r="122">
      <c r="A122" s="27" t="inlineStr">
        <is>
          <t>injury_contrib</t>
        </is>
      </c>
      <c r="B122" s="28" t="inlineStr">
        <is>
          <t>Взнос на травматизм (АУСН)</t>
        </is>
      </c>
      <c r="C122" s="37" t="n">
        <v>0</v>
      </c>
      <c r="D122" s="28" t="inlineStr">
        <is>
          <t>₽/год</t>
        </is>
      </c>
      <c r="E122" s="30" t="inlineStr"/>
      <c r="F122" s="7" t="inlineStr">
        <is>
          <t>default</t>
        </is>
      </c>
      <c r="G122" s="6" t="inlineStr"/>
      <c r="H122" s="30" t="inlineStr">
        <is>
          <t>соло — 0</t>
        </is>
      </c>
    </row>
    <row r="123">
      <c r="A123" s="27" t="inlineStr">
        <is>
          <t>acq_rate</t>
        </is>
      </c>
      <c r="B123" s="28" t="inlineStr">
        <is>
          <t>Эквайринг · ставка</t>
        </is>
      </c>
      <c r="C123" s="35" t="n">
        <v>0.027</v>
      </c>
      <c r="D123" s="28" t="inlineStr">
        <is>
          <t>%</t>
        </is>
      </c>
      <c r="E123" s="30" t="inlineStr"/>
      <c r="F123" s="7" t="inlineStr">
        <is>
          <t>default</t>
        </is>
      </c>
      <c r="G123" s="6" t="inlineStr"/>
      <c r="H123" s="30" t="inlineStr">
        <is>
          <t>Базовая 2,7%; добавленные банковские проценты учитываются отдельно</t>
        </is>
      </c>
    </row>
    <row r="124">
      <c r="A124" s="27" t="inlineStr">
        <is>
          <t>acq_share</t>
        </is>
      </c>
      <c r="B124" s="28" t="inlineStr">
        <is>
          <t>Эквайринг · доля безналичных оплат</t>
        </is>
      </c>
      <c r="C124" s="35" t="n">
        <v>1</v>
      </c>
      <c r="D124" s="28" t="inlineStr">
        <is>
          <t>%</t>
        </is>
      </c>
      <c r="E124" s="30" t="inlineStr"/>
      <c r="F124" s="7" t="inlineStr">
        <is>
          <t>default</t>
        </is>
      </c>
      <c r="G124" s="6" t="inlineStr"/>
      <c r="H124" s="30" t="inlineStr"/>
    </row>
    <row r="125">
      <c r="A125" s="27" t="inlineStr">
        <is>
          <t>acquiring</t>
        </is>
      </c>
      <c r="B125" s="28" t="inlineStr">
        <is>
          <t>Эквайринг · эффективно</t>
        </is>
      </c>
      <c r="C125" s="39">
        <f>acq_rate*acq_share</f>
        <v>0.027</v>
      </c>
      <c r="D125" s="28" t="inlineStr">
        <is>
          <t>%</t>
        </is>
      </c>
      <c r="E125" s="30" t="inlineStr">
        <is>
          <t>acq_rate*acq_share</t>
        </is>
      </c>
      <c r="F125" s="7" t="inlineStr">
        <is>
          <t>calc</t>
        </is>
      </c>
      <c r="G125" s="6" t="inlineStr">
        <is>
          <t>acq_rate, acq_share</t>
        </is>
      </c>
      <c r="H125" s="30" t="inlineStr">
        <is>
          <t>В ЗНАМЕНАТЕЛЬ, не в расходы</t>
        </is>
      </c>
    </row>
    <row r="126">
      <c r="A126" s="27" t="inlineStr">
        <is>
          <t>vat_threshold</t>
        </is>
      </c>
      <c r="B126" s="28" t="inlineStr">
        <is>
          <t>Порог освобождения от НДС</t>
        </is>
      </c>
      <c r="C126" s="43" t="n">
        <v>20000000</v>
      </c>
      <c r="D126" s="28" t="inlineStr">
        <is>
          <t>₽/год</t>
        </is>
      </c>
      <c r="E126" s="30" t="inlineStr"/>
      <c r="F126" s="7" t="inlineStr">
        <is>
          <t>const</t>
        </is>
      </c>
      <c r="G126" s="6" t="inlineStr"/>
      <c r="H126" s="30" t="inlineStr">
        <is>
          <t>ФЗ-228</t>
        </is>
      </c>
    </row>
    <row r="127">
      <c r="A127" s="27" t="inlineStr">
        <is>
          <t>limit_npd</t>
        </is>
      </c>
      <c r="B127" s="28" t="inlineStr">
        <is>
          <t>Лимит НПД</t>
        </is>
      </c>
      <c r="C127" s="43" t="n">
        <v>2400000</v>
      </c>
      <c r="D127" s="28" t="inlineStr">
        <is>
          <t>₽/год</t>
        </is>
      </c>
      <c r="E127" s="30" t="inlineStr"/>
      <c r="F127" s="7" t="inlineStr">
        <is>
          <t>const</t>
        </is>
      </c>
      <c r="G127" s="6" t="inlineStr"/>
      <c r="H127" s="30" t="inlineStr">
        <is>
          <t>ФЗ-422</t>
        </is>
      </c>
    </row>
    <row r="128">
      <c r="A128" s="27" t="inlineStr">
        <is>
          <t>limit_ausn</t>
        </is>
      </c>
      <c r="B128" s="28" t="inlineStr">
        <is>
          <t>Лимит АУСН</t>
        </is>
      </c>
      <c r="C128" s="43" t="n">
        <v>60000000</v>
      </c>
      <c r="D128" s="28" t="inlineStr">
        <is>
          <t>₽/год</t>
        </is>
      </c>
      <c r="E128" s="30" t="inlineStr"/>
      <c r="F128" s="7" t="inlineStr">
        <is>
          <t>const</t>
        </is>
      </c>
      <c r="G128" s="6" t="inlineStr"/>
      <c r="H128" s="30" t="inlineStr">
        <is>
          <t>ФЗ-17</t>
        </is>
      </c>
    </row>
    <row r="129">
      <c r="A129" s="3" t="inlineStr">
        <is>
          <t>9 · СПРАВОЧНЫЕ СТАВКИ</t>
        </is>
      </c>
    </row>
    <row r="130" ht="26" customHeight="1">
      <c r="A130" s="26" t="inlineStr">
        <is>
          <t>ID</t>
        </is>
      </c>
      <c r="B130" s="26" t="inlineStr">
        <is>
          <t>Название</t>
        </is>
      </c>
      <c r="C130" s="26" t="inlineStr">
        <is>
          <t>Значение</t>
        </is>
      </c>
      <c r="D130" s="26" t="inlineStr">
        <is>
          <t>Ед.</t>
        </is>
      </c>
      <c r="E130" s="26" t="inlineStr">
        <is>
          <t>Формула / как получено</t>
        </is>
      </c>
      <c r="F130" s="26" t="inlineStr">
        <is>
          <t>Тип</t>
        </is>
      </c>
      <c r="G130" s="26" t="inlineStr">
        <is>
          <t>Зависит от</t>
        </is>
      </c>
      <c r="H130" s="26" t="inlineStr">
        <is>
          <t>Источник / форма</t>
        </is>
      </c>
    </row>
    <row r="131">
      <c r="A131" s="27" t="inlineStr">
        <is>
          <t>naive_rate</t>
        </is>
      </c>
      <c r="B131" s="28" t="inlineStr">
        <is>
          <t>Наивная ставка</t>
        </is>
      </c>
      <c r="C131" s="38">
        <f>IF(shooting_time=0,0,target_income/shooting_time)</f>
        <v>6106.149584487534</v>
      </c>
      <c r="D131" s="28" t="inlineStr">
        <is>
          <t>₽/ч</t>
        </is>
      </c>
      <c r="E131" s="30" t="inlineStr">
        <is>
          <t>IF(shooting_time=0,0,target_income/shooting_time)</t>
        </is>
      </c>
      <c r="F131" s="7" t="inlineStr">
        <is>
          <t>calc</t>
        </is>
      </c>
      <c r="G131" s="6" t="inlineStr">
        <is>
          <t>target_income, shooting_time</t>
        </is>
      </c>
      <c r="H131" s="30" t="inlineStr">
        <is>
          <t>Без расходов и налогов — типичная ошибка</t>
        </is>
      </c>
    </row>
    <row r="132">
      <c r="A132" s="27" t="inlineStr">
        <is>
          <t>base_rate</t>
        </is>
      </c>
      <c r="B132" s="28" t="inlineStr">
        <is>
          <t>Базовая ставка часа</t>
        </is>
      </c>
      <c r="C132" s="36">
        <f>target_income/net_time</f>
        <v>862.747553816047</v>
      </c>
      <c r="D132" s="28" t="inlineStr">
        <is>
          <t>₽/ч</t>
        </is>
      </c>
      <c r="E132" s="30" t="inlineStr">
        <is>
          <t>target_income/net_time</t>
        </is>
      </c>
      <c r="F132" s="7" t="inlineStr">
        <is>
          <t>calc</t>
        </is>
      </c>
      <c r="G132" s="6" t="inlineStr">
        <is>
          <t>target_income, net_time</t>
        </is>
      </c>
      <c r="H132" s="30" t="inlineStr">
        <is>
          <t>Доход / чистое время</t>
        </is>
      </c>
    </row>
    <row r="133">
      <c r="A133" s="27" t="inlineStr">
        <is>
          <t>ops_rate</t>
        </is>
      </c>
      <c r="B133" s="28" t="inlineStr">
        <is>
          <t>Операционная ставка часа</t>
        </is>
      </c>
      <c r="C133" s="38">
        <f>IF(shooting_time=0,0,revenue_base/shooting_time)</f>
        <v>8703.87710504331</v>
      </c>
      <c r="D133" s="28" t="inlineStr">
        <is>
          <t>₽/ч</t>
        </is>
      </c>
      <c r="E133" s="30" t="inlineStr">
        <is>
          <t>IF(shooting_time=0,0,revenue_base/shooting_time)</t>
        </is>
      </c>
      <c r="F133" s="7" t="inlineStr">
        <is>
          <t>calc</t>
        </is>
      </c>
      <c r="G133" s="6" t="inlineStr">
        <is>
          <t>revenue_base, shooting_time</t>
        </is>
      </c>
      <c r="H133" s="30" t="inlineStr">
        <is>
          <t>Без налога и эквайринга</t>
        </is>
      </c>
    </row>
    <row r="134">
      <c r="A134" s="27" t="inlineStr">
        <is>
          <t>full_hour_rate</t>
        </is>
      </c>
      <c r="B134" s="28" t="inlineStr">
        <is>
          <t>ПОЛНАЯ ставка рабочего часа</t>
        </is>
      </c>
      <c r="C134" s="36">
        <f>IF(net_time=0,0,CHOOSE(regime_no,'05_Расчёт'!B4,'05_Расчёт'!C4,'05_Расчёт'!D4,'05_Расчёт'!E4,'05_Расчёт'!F4,'05_Расчёт'!G4,'05_Расчёт'!H4)/net_time)</f>
        <v>1332.3776738070721</v>
      </c>
      <c r="D134" s="28" t="inlineStr">
        <is>
          <t>₽/ч</t>
        </is>
      </c>
      <c r="E134" s="30" t="inlineStr">
        <is>
          <t>IF(net_time=0,0,CHOOSE(regime_no,'05_Расчёт'!B4,'05_Расчёт'!C4,'05_Расчёт'!D4,'05_Расчёт'!E4,'05_Расчёт'!F4,'05_Расчёт'!G4,'05_Расчёт'!H4)/net_time)</t>
        </is>
      </c>
      <c r="F134" s="7" t="inlineStr">
        <is>
          <t>calc</t>
        </is>
      </c>
      <c r="G134" s="6" t="inlineStr">
        <is>
          <t>выручка, net_time</t>
        </is>
      </c>
      <c r="H134" s="30" t="inlineStr">
        <is>
          <t>Выручка / чистое время. Реальная цена ЛЮБОГО рабочего часа, с налогами и расходами</t>
        </is>
      </c>
    </row>
    <row r="135">
      <c r="A135" s="27" t="inlineStr">
        <is>
          <t>site_value</t>
        </is>
      </c>
      <c r="B135" s="28" t="inlineStr">
        <is>
          <t>Сайт · оценка своего труда</t>
        </is>
      </c>
      <c r="C135" s="38">
        <f>IF(site_mode="Нанимал (а) специалиста",site_cost,site_hours*full_hour_rate)</f>
        <v>70000.0</v>
      </c>
      <c r="D135" s="28" t="inlineStr">
        <is>
          <t>₽</t>
        </is>
      </c>
      <c r="E135" s="30" t="inlineStr">
        <is>
          <t>IF(site_mode="Нанимал (а) специалиста",site_cost,site_hours*full_hour_rate)</t>
        </is>
      </c>
      <c r="F135" s="7" t="inlineStr">
        <is>
          <t>calc</t>
        </is>
      </c>
      <c r="G135" s="6" t="inlineStr">
        <is>
          <t>site_mode, site_cost, site_hours, full_hour_rate</t>
        </is>
      </c>
      <c r="H135" s="30" t="inlineStr">
        <is>
          <t>Цена подрядчика или ваши часы по полной ставке</t>
        </is>
      </c>
    </row>
    <row r="136">
      <c r="A136" s="3" t="inlineStr">
        <is>
          <t>10 · ДОБАВЛЕНО ПОД HTML-ОТЧЁТ</t>
        </is>
      </c>
    </row>
    <row r="137">
      <c r="A137" s="26" t="inlineStr">
        <is>
          <t>ID</t>
        </is>
      </c>
      <c r="B137" s="26" t="inlineStr">
        <is>
          <t>Название</t>
        </is>
      </c>
      <c r="C137" s="26" t="inlineStr">
        <is>
          <t>Значение</t>
        </is>
      </c>
      <c r="D137" s="26" t="inlineStr">
        <is>
          <t>Ед.</t>
        </is>
      </c>
      <c r="E137" s="26" t="inlineStr">
        <is>
          <t>Формула / как получено</t>
        </is>
      </c>
      <c r="F137" s="26" t="inlineStr">
        <is>
          <t>Тип</t>
        </is>
      </c>
      <c r="G137" s="26" t="inlineStr">
        <is>
          <t>Зависит от</t>
        </is>
      </c>
    </row>
    <row r="138">
      <c r="A138" s="27" t="inlineStr">
        <is>
          <t>idle_time</t>
        </is>
      </c>
      <c r="B138" s="28" t="inlineStr">
        <is>
          <t>РАБОЧИЕ ПАУЗЫ за год</t>
        </is>
      </c>
      <c r="C138" s="36">
        <f>net_days*(nominal_hours-eff_hours)</f>
        <v>219.0</v>
      </c>
      <c r="D138" s="28" t="inlineStr">
        <is>
          <t>ч/год</t>
        </is>
      </c>
      <c r="E138" s="30" t="inlineStr">
        <is>
          <t>1 час в день: подготовка и уборка места, зарядка техники, размяться, отойти</t>
        </is>
      </c>
      <c r="F138" s="7" t="inlineStr">
        <is>
          <t>calc</t>
        </is>
      </c>
      <c r="G138" s="6" t="inlineStr">
        <is>
          <t>net_days, nominal_hours, eff_hours</t>
        </is>
      </c>
    </row>
    <row r="139">
      <c r="A139" s="27" t="inlineStr">
        <is>
          <t>idle_week</t>
        </is>
      </c>
      <c r="B139" s="28" t="inlineStr">
        <is>
          <t>Рабочие паузы в неделю</t>
        </is>
      </c>
      <c r="C139" s="36">
        <f>IF(net_weeks=0,0,idle_time/net_weeks)</f>
        <v>5.0</v>
      </c>
      <c r="D139" s="28" t="inlineStr">
        <is>
          <t>ч/нед</t>
        </is>
      </c>
      <c r="E139" s="30" t="inlineStr"/>
      <c r="F139" s="7" t="inlineStr">
        <is>
          <t>calc</t>
        </is>
      </c>
      <c r="G139" s="6" t="inlineStr">
        <is>
          <t>idle_time, net_weeks</t>
        </is>
      </c>
    </row>
    <row r="140">
      <c r="A140" s="27" t="inlineStr">
        <is>
          <t>hour_all</t>
        </is>
      </c>
      <c r="B140" s="28" t="inlineStr">
        <is>
          <t>Час вашего времени (блок 09)</t>
        </is>
      </c>
      <c r="C140" s="36">
        <f>IF(net_time+idle_time=0,0,target_income/(net_time+idle_time))</f>
        <v>754.9041095890411</v>
      </c>
      <c r="D140" s="28" t="inlineStr">
        <is>
          <t>₽/ч</t>
        </is>
      </c>
      <c r="E140" s="30" t="inlineStr">
        <is>
          <t>Доход на ВСЁ рабочее время, включая паузы</t>
        </is>
      </c>
      <c r="F140" s="7" t="inlineStr">
        <is>
          <t>calc</t>
        </is>
      </c>
      <c r="G140" s="6" t="inlineStr">
        <is>
          <t>target_income, net_time, idle_time</t>
        </is>
      </c>
    </row>
    <row r="141">
      <c r="A141" s="27" t="inlineStr">
        <is>
          <t>frames_out</t>
        </is>
      </c>
      <c r="B141" s="28" t="inlineStr">
        <is>
          <t>Обработанных кадров с часа съёмки</t>
        </is>
      </c>
      <c r="C141" s="33" t="n">
        <v>80</v>
      </c>
      <c r="D141" s="28" t="inlineStr">
        <is>
          <t>шт/ч</t>
        </is>
      </c>
      <c r="E141" s="30" t="inlineStr">
        <is>
          <t>Задаёт пользователь в форме</t>
        </is>
      </c>
      <c r="F141" s="7" t="inlineStr">
        <is>
          <t>default</t>
        </is>
      </c>
      <c r="G141" s="6" t="inlineStr"/>
    </row>
    <row r="142">
      <c r="A142" s="27" t="inlineStr">
        <is>
          <t>frames_total</t>
        </is>
      </c>
      <c r="B142" s="28" t="inlineStr">
        <is>
          <t>Кадров за одну съёмку</t>
        </is>
      </c>
      <c r="C142" s="36">
        <f>frames_out*shoot_duration</f>
        <v>80.0</v>
      </c>
      <c r="D142" s="28" t="inlineStr">
        <is>
          <t>шт</t>
        </is>
      </c>
      <c r="E142" s="30" t="inlineStr"/>
      <c r="F142" s="7" t="inlineStr">
        <is>
          <t>calc</t>
        </is>
      </c>
      <c r="G142" s="6" t="inlineStr">
        <is>
          <t>frames_out, shoot_duration</t>
        </is>
      </c>
    </row>
    <row r="143">
      <c r="A143" s="27" t="inlineStr">
        <is>
          <t>equip_only</t>
        </is>
      </c>
      <c r="B143" s="28" t="inlineStr">
        <is>
          <t>Оборудование и ПО без обучения</t>
        </is>
      </c>
      <c r="C143" s="36">
        <f>dep_shoot+dep_office+dep_software</f>
        <v>184992.9238095238</v>
      </c>
      <c r="D143" s="28" t="inlineStr">
        <is>
          <t>₽/год</t>
        </is>
      </c>
      <c r="E143" s="30" t="inlineStr">
        <is>
          <t>Только железо и ПО, для блока 09</t>
        </is>
      </c>
      <c r="F143" s="7" t="inlineStr">
        <is>
          <t>calc</t>
        </is>
      </c>
      <c r="G143" s="6" t="inlineStr">
        <is>
          <t>dep_shoot, dep_office, dep_software</t>
        </is>
      </c>
    </row>
  </sheetData>
  <mergeCells count="11">
    <mergeCell ref="A4:H4"/>
    <mergeCell ref="A62:H62"/>
    <mergeCell ref="A57:H57"/>
    <mergeCell ref="A2:H2"/>
    <mergeCell ref="A129:H129"/>
    <mergeCell ref="A103:H103"/>
    <mergeCell ref="A19:H19"/>
    <mergeCell ref="A1:H1"/>
    <mergeCell ref="A37:H37"/>
    <mergeCell ref="A74:H74"/>
    <mergeCell ref="A88:H88"/>
  </mergeCells>
  <dataValidations count="7">
    <dataValidation sqref="C27" showDropDown="0" showInputMessage="0" showErrorMessage="0" allowBlank="1" type="list">
      <formula1>"Нанимаю специалиста,Веду самостоятельно"</formula1>
    </dataValidation>
    <dataValidation sqref="C32" showDropDown="0" showInputMessage="0" showErrorMessage="0" allowBlank="1" type="list">
      <formula1>"Заложить резерв,Не закладывать"</formula1>
    </dataValidation>
    <dataValidation sqref="C64" showDropDown="0" showInputMessage="0" showErrorMessage="0" allowBlank="1" type="list">
      <formula1>"Работаю из дома,Арендую помещение"</formula1>
    </dataValidation>
    <dataValidation sqref="C65" showDropDown="0" showInputMessage="0" showErrorMessage="0" allowBlank="1" type="list">
      <formula1>"нет,да"</formula1>
    </dataValidation>
    <dataValidation sqref="C79" showDropDown="0" showInputMessage="0" showErrorMessage="0" allowBlank="1" type="list">
      <formula1>"Учитывать упущенную выгоду,Учитывать только стоимость обучения"</formula1>
    </dataValidation>
    <dataValidation sqref="C82" showDropDown="0" showInputMessage="0" showErrorMessage="0" allowBlank="1" type="list">
      <formula1>"Нанимал (а) специалиста,Делал (а) самостоятельно"</formula1>
    </dataValidation>
    <dataValidation sqref="C105" showDropDown="0" showInputMessage="0" showErrorMessage="0" allowBlank="1" type="list">
      <formula1>"Самозанятый (НПД), средняя ставка,Самозанятый (НПД), Физ. лица,Самозанятый (НПД), Юр. лица,УСН доходы,УСН доходы минус расходы,АУСН доходы,АУСН доходы минус расходы"</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14" customWidth="1" min="3" max="3"/>
    <col width="10" customWidth="1" min="4" max="4"/>
    <col width="12" customWidth="1" min="5" max="5"/>
    <col width="10" customWidth="1" min="6" max="6"/>
    <col width="16" customWidth="1" min="7" max="7"/>
    <col width="26" customWidth="1" min="8" max="8"/>
  </cols>
  <sheetData>
    <row r="1">
      <c r="A1" s="1" t="inlineStr">
        <is>
          <t>03 · КАТАЛОГИ — списки значений по умолчанию для форм калькулятора</t>
        </is>
      </c>
    </row>
    <row r="2">
      <c r="A2" s="25" t="inlineStr">
        <is>
          <t>Только данные, никаких строк «ИТОГО». Итог берётся формулой SUMIF по коду формы. Период: Год=1, Месяц=12, Квартал=4 — как в ваших выпадающих списках.</t>
        </is>
      </c>
    </row>
    <row r="4" ht="26" customHeight="1">
      <c r="A4" s="44" t="inlineStr">
        <is>
          <t>Форма</t>
        </is>
      </c>
      <c r="B4" s="44" t="inlineStr">
        <is>
          <t>Позиция</t>
        </is>
      </c>
      <c r="C4" s="44" t="inlineStr">
        <is>
          <t>Стоимость, ₽</t>
        </is>
      </c>
      <c r="D4" s="44" t="inlineStr">
        <is>
          <t>Срок, лет</t>
        </is>
      </c>
      <c r="E4" s="44" t="inlineStr">
        <is>
          <t>Период</t>
        </is>
      </c>
      <c r="F4" s="44" t="inlineStr">
        <is>
          <t>Платежей/год</t>
        </is>
      </c>
      <c r="G4" s="44" t="inlineStr">
        <is>
          <t>₽/год</t>
        </is>
      </c>
      <c r="H4" s="44" t="inlineStr">
        <is>
          <t>Тип расхода</t>
        </is>
      </c>
    </row>
    <row r="5">
      <c r="A5" s="27" t="inlineStr">
        <is>
          <t>Form001</t>
        </is>
      </c>
      <c r="B5" s="28" t="inlineStr">
        <is>
          <t>Canon EOS R6 Mark II Body</t>
        </is>
      </c>
      <c r="C5" s="45" t="n">
        <v>166999</v>
      </c>
      <c r="D5" s="46" t="n">
        <v>3</v>
      </c>
      <c r="E5" s="46" t="n"/>
      <c r="F5" s="32">
        <f>IF(E5="Год",1,IF(E5="Квартал",4,IF(E5="Месяц",12,0)))</f>
        <v>0.0</v>
      </c>
      <c r="G5" s="36">
        <f>IF(N(D5)&gt;0,C5/D5,C5*F5)</f>
        <v>55666.333333333336</v>
      </c>
      <c r="H5" s="25" t="inlineStr">
        <is>
          <t>амортизация</t>
        </is>
      </c>
    </row>
    <row r="6">
      <c r="A6" s="27" t="inlineStr">
        <is>
          <t>Form001</t>
        </is>
      </c>
      <c r="B6" s="28" t="inlineStr">
        <is>
          <t>Canon RF 24–105mm f/4.0 L IS USM</t>
        </is>
      </c>
      <c r="C6" s="45" t="n">
        <v>130999</v>
      </c>
      <c r="D6" s="46" t="n">
        <v>5</v>
      </c>
      <c r="E6" s="46" t="n"/>
      <c r="F6" s="32">
        <f>IF(E6="Год",1,IF(E6="Квартал",4,IF(E6="Месяц",12,0)))</f>
        <v>0.0</v>
      </c>
      <c r="G6" s="36">
        <f>IF(N(D6)&gt;0,C6/D6,C6*F6)</f>
        <v>26199.8</v>
      </c>
      <c r="H6" s="25" t="inlineStr">
        <is>
          <t>амортизация</t>
        </is>
      </c>
    </row>
    <row r="7">
      <c r="A7" s="27" t="inlineStr">
        <is>
          <t>Form001</t>
        </is>
      </c>
      <c r="B7" s="28" t="inlineStr">
        <is>
          <t>Godox V1Pro C</t>
        </is>
      </c>
      <c r="C7" s="45" t="n">
        <v>36990</v>
      </c>
      <c r="D7" s="46" t="n">
        <v>5</v>
      </c>
      <c r="E7" s="46" t="n"/>
      <c r="F7" s="32">
        <f>IF(E7="Год",1,IF(E7="Квартал",4,IF(E7="Месяц",12,0)))</f>
        <v>0.0</v>
      </c>
      <c r="G7" s="36">
        <f>IF(N(D7)&gt;0,C7/D7,C7*F7)</f>
        <v>7398.0</v>
      </c>
      <c r="H7" s="25" t="inlineStr">
        <is>
          <t>амортизация</t>
        </is>
      </c>
    </row>
    <row r="8">
      <c r="A8" s="27" t="inlineStr">
        <is>
          <t>Form001</t>
        </is>
      </c>
      <c r="B8" s="28" t="inlineStr">
        <is>
          <t>Godox XPro II C</t>
        </is>
      </c>
      <c r="C8" s="45" t="n">
        <v>9355</v>
      </c>
      <c r="D8" s="46" t="n">
        <v>5</v>
      </c>
      <c r="E8" s="46" t="n"/>
      <c r="F8" s="32">
        <f>IF(E8="Год",1,IF(E8="Квартал",4,IF(E8="Месяц",12,0)))</f>
        <v>0.0</v>
      </c>
      <c r="G8" s="36">
        <f>IF(N(D8)&gt;0,C8/D8,C8*F8)</f>
        <v>1871.0</v>
      </c>
      <c r="H8" s="25" t="inlineStr">
        <is>
          <t>амортизация</t>
        </is>
      </c>
    </row>
    <row r="9">
      <c r="A9" s="27" t="inlineStr">
        <is>
          <t>Form001</t>
        </is>
      </c>
      <c r="B9" s="28" t="inlineStr">
        <is>
          <t>Аккумулятор LP-E6NH</t>
        </is>
      </c>
      <c r="C9" s="45" t="n">
        <v>12978</v>
      </c>
      <c r="D9" s="46" t="n">
        <v>3</v>
      </c>
      <c r="E9" s="46" t="n"/>
      <c r="F9" s="32">
        <f>IF(E9="Год",1,IF(E9="Квартал",4,IF(E9="Месяц",12,0)))</f>
        <v>0.0</v>
      </c>
      <c r="G9" s="36">
        <f>IF(N(D9)&gt;0,C9/D9,C9*F9)</f>
        <v>4326.0</v>
      </c>
      <c r="H9" s="25" t="inlineStr">
        <is>
          <t>амортизация</t>
        </is>
      </c>
    </row>
    <row r="10">
      <c r="A10" s="27" t="inlineStr">
        <is>
          <t>Form001</t>
        </is>
      </c>
      <c r="B10" s="28" t="inlineStr">
        <is>
          <t>SanDisk Extreme PRO 256 ГБ #1</t>
        </is>
      </c>
      <c r="C10" s="45" t="n">
        <v>6990</v>
      </c>
      <c r="D10" s="46" t="n">
        <v>2</v>
      </c>
      <c r="E10" s="46" t="n"/>
      <c r="F10" s="32">
        <f>IF(E10="Год",1,IF(E10="Квартал",4,IF(E10="Месяц",12,0)))</f>
        <v>0.0</v>
      </c>
      <c r="G10" s="36">
        <f>IF(N(D10)&gt;0,C10/D10,C10*F10)</f>
        <v>3495.0</v>
      </c>
      <c r="H10" s="25" t="inlineStr">
        <is>
          <t>амортизация</t>
        </is>
      </c>
    </row>
    <row r="11">
      <c r="A11" s="27" t="inlineStr">
        <is>
          <t>Form001</t>
        </is>
      </c>
      <c r="B11" s="28" t="inlineStr">
        <is>
          <t>SanDisk Extreme PRO 256 ГБ #2</t>
        </is>
      </c>
      <c r="C11" s="45" t="n">
        <v>6990</v>
      </c>
      <c r="D11" s="46" t="n">
        <v>2</v>
      </c>
      <c r="E11" s="46" t="n"/>
      <c r="F11" s="32">
        <f>IF(E11="Год",1,IF(E11="Квартал",4,IF(E11="Месяц",12,0)))</f>
        <v>0.0</v>
      </c>
      <c r="G11" s="36">
        <f>IF(N(D11)&gt;0,C11/D11,C11*F11)</f>
        <v>3495.0</v>
      </c>
      <c r="H11" s="25" t="inlineStr">
        <is>
          <t>амортизация</t>
        </is>
      </c>
    </row>
    <row r="12">
      <c r="A12" s="27" t="inlineStr">
        <is>
          <t>Form001</t>
        </is>
      </c>
      <c r="B12" s="28" t="inlineStr">
        <is>
          <t>Рюкзак Lowepro ProTactic</t>
        </is>
      </c>
      <c r="C12" s="45" t="n">
        <v>27962</v>
      </c>
      <c r="D12" s="46" t="n">
        <v>7</v>
      </c>
      <c r="E12" s="46" t="n"/>
      <c r="F12" s="32">
        <f>IF(E12="Год",1,IF(E12="Квартал",4,IF(E12="Месяц",12,0)))</f>
        <v>0.0</v>
      </c>
      <c r="G12" s="36">
        <f>IF(N(D12)&gt;0,C12/D12,C12*F12)</f>
        <v>3994.5714285714284</v>
      </c>
      <c r="H12" s="25" t="inlineStr">
        <is>
          <t>амортизация</t>
        </is>
      </c>
    </row>
    <row r="13">
      <c r="A13" s="27" t="inlineStr">
        <is>
          <t>Form001</t>
        </is>
      </c>
      <c r="B13" s="28" t="inlineStr">
        <is>
          <t>Godox RFT-05 отражатель</t>
        </is>
      </c>
      <c r="C13" s="45" t="n">
        <v>3000</v>
      </c>
      <c r="D13" s="46" t="n">
        <v>5</v>
      </c>
      <c r="E13" s="46" t="n"/>
      <c r="F13" s="32">
        <f>IF(E13="Год",1,IF(E13="Квартал",4,IF(E13="Месяц",12,0)))</f>
        <v>0.0</v>
      </c>
      <c r="G13" s="36">
        <f>IF(N(D13)&gt;0,C13/D13,C13*F13)</f>
        <v>600.0</v>
      </c>
      <c r="H13" s="25" t="inlineStr">
        <is>
          <t>амортизация</t>
        </is>
      </c>
    </row>
    <row r="14">
      <c r="A14" s="27" t="inlineStr">
        <is>
          <t>Form001</t>
        </is>
      </c>
      <c r="B14" s="28" t="inlineStr">
        <is>
          <t>X-Rite ColorChecker</t>
        </is>
      </c>
      <c r="C14" s="45" t="n">
        <v>5000</v>
      </c>
      <c r="D14" s="46" t="n">
        <v>7</v>
      </c>
      <c r="E14" s="46" t="n"/>
      <c r="F14" s="32">
        <f>IF(E14="Год",1,IF(E14="Квартал",4,IF(E14="Месяц",12,0)))</f>
        <v>0.0</v>
      </c>
      <c r="G14" s="36">
        <f>IF(N(D14)&gt;0,C14/D14,C14*F14)</f>
        <v>714.2857142857143</v>
      </c>
      <c r="H14" s="25" t="inlineStr">
        <is>
          <t>амортизация</t>
        </is>
      </c>
    </row>
    <row r="15">
      <c r="A15" s="27" t="inlineStr">
        <is>
          <t>Form002</t>
        </is>
      </c>
      <c r="B15" s="28" t="inlineStr">
        <is>
          <t>Системный блок</t>
        </is>
      </c>
      <c r="C15" s="45" t="n">
        <v>180000</v>
      </c>
      <c r="D15" s="46" t="n">
        <v>5</v>
      </c>
      <c r="E15" s="46" t="n"/>
      <c r="F15" s="32">
        <f>IF(E15="Год",1,IF(E15="Квартал",4,IF(E15="Месяц",12,0)))</f>
        <v>0.0</v>
      </c>
      <c r="G15" s="36">
        <f>IF(N(D15)&gt;0,C15/D15,C15*F15)</f>
        <v>36000.0</v>
      </c>
      <c r="H15" s="25" t="inlineStr">
        <is>
          <t>амортизация</t>
        </is>
      </c>
    </row>
    <row r="16">
      <c r="A16" s="27" t="inlineStr">
        <is>
          <t>Form002</t>
        </is>
      </c>
      <c r="B16" s="28" t="inlineStr">
        <is>
          <t>Монитор ASUS ProArt</t>
        </is>
      </c>
      <c r="C16" s="45" t="n">
        <v>55000</v>
      </c>
      <c r="D16" s="46" t="n">
        <v>5</v>
      </c>
      <c r="E16" s="46" t="n"/>
      <c r="F16" s="32">
        <f>IF(E16="Год",1,IF(E16="Квартал",4,IF(E16="Месяц",12,0)))</f>
        <v>0.0</v>
      </c>
      <c r="G16" s="36">
        <f>IF(N(D16)&gt;0,C16/D16,C16*F16)</f>
        <v>11000.0</v>
      </c>
      <c r="H16" s="25" t="inlineStr">
        <is>
          <t>амортизация</t>
        </is>
      </c>
    </row>
    <row r="17">
      <c r="A17" s="27" t="inlineStr">
        <is>
          <t>Form002</t>
        </is>
      </c>
      <c r="B17" s="28" t="inlineStr">
        <is>
          <t>Calibrite ColorChecker</t>
        </is>
      </c>
      <c r="C17" s="45" t="n">
        <v>30000</v>
      </c>
      <c r="D17" s="46" t="n">
        <v>5</v>
      </c>
      <c r="E17" s="46" t="n"/>
      <c r="F17" s="32">
        <f>IF(E17="Год",1,IF(E17="Квартал",4,IF(E17="Месяц",12,0)))</f>
        <v>0.0</v>
      </c>
      <c r="G17" s="36">
        <f>IF(N(D17)&gt;0,C17/D17,C17*F17)</f>
        <v>6000.0</v>
      </c>
      <c r="H17" s="25" t="inlineStr">
        <is>
          <t>амортизация</t>
        </is>
      </c>
    </row>
    <row r="18">
      <c r="A18" s="27" t="inlineStr">
        <is>
          <t>Form002</t>
        </is>
      </c>
      <c r="B18" s="28" t="inlineStr">
        <is>
          <t>Колонки Logitech Z207</t>
        </is>
      </c>
      <c r="C18" s="45" t="n">
        <v>5000</v>
      </c>
      <c r="D18" s="46" t="n">
        <v>5</v>
      </c>
      <c r="E18" s="46" t="n"/>
      <c r="F18" s="32">
        <f>IF(E18="Год",1,IF(E18="Квартал",4,IF(E18="Месяц",12,0)))</f>
        <v>0.0</v>
      </c>
      <c r="G18" s="36">
        <f>IF(N(D18)&gt;0,C18/D18,C18*F18)</f>
        <v>1000.0</v>
      </c>
      <c r="H18" s="25" t="inlineStr">
        <is>
          <t>амортизация</t>
        </is>
      </c>
    </row>
    <row r="19">
      <c r="A19" s="27" t="inlineStr">
        <is>
          <t>Form002</t>
        </is>
      </c>
      <c r="B19" s="28" t="inlineStr">
        <is>
          <t>Клавиатура Logitech K380</t>
        </is>
      </c>
      <c r="C19" s="45" t="n">
        <v>3500</v>
      </c>
      <c r="D19" s="46" t="n">
        <v>7</v>
      </c>
      <c r="E19" s="46" t="n"/>
      <c r="F19" s="32">
        <f>IF(E19="Год",1,IF(E19="Квартал",4,IF(E19="Месяц",12,0)))</f>
        <v>0.0</v>
      </c>
      <c r="G19" s="36">
        <f>IF(N(D19)&gt;0,C19/D19,C19*F19)</f>
        <v>500.0</v>
      </c>
      <c r="H19" s="25" t="inlineStr">
        <is>
          <t>амортизация</t>
        </is>
      </c>
    </row>
    <row r="20">
      <c r="A20" s="27" t="inlineStr">
        <is>
          <t>Form002</t>
        </is>
      </c>
      <c r="B20" s="28" t="inlineStr">
        <is>
          <t>Мышь Logitech M650</t>
        </is>
      </c>
      <c r="C20" s="45" t="n">
        <v>4000</v>
      </c>
      <c r="D20" s="46" t="n">
        <v>3</v>
      </c>
      <c r="E20" s="46" t="n"/>
      <c r="F20" s="32">
        <f>IF(E20="Год",1,IF(E20="Квартал",4,IF(E20="Месяц",12,0)))</f>
        <v>0.0</v>
      </c>
      <c r="G20" s="36">
        <f>IF(N(D20)&gt;0,C20/D20,C20*F20)</f>
        <v>1333.3333333333333</v>
      </c>
      <c r="H20" s="25" t="inlineStr">
        <is>
          <t>амортизация</t>
        </is>
      </c>
    </row>
    <row r="21">
      <c r="A21" s="27" t="inlineStr">
        <is>
          <t>Form002</t>
        </is>
      </c>
      <c r="B21" s="28" t="inlineStr">
        <is>
          <t>Веб-камера Logitech Brio</t>
        </is>
      </c>
      <c r="C21" s="45" t="n">
        <v>15999</v>
      </c>
      <c r="D21" s="46" t="n">
        <v>5</v>
      </c>
      <c r="E21" s="46" t="n"/>
      <c r="F21" s="32">
        <f>IF(E21="Год",1,IF(E21="Квартал",4,IF(E21="Месяц",12,0)))</f>
        <v>0.0</v>
      </c>
      <c r="G21" s="36">
        <f>IF(N(D21)&gt;0,C21/D21,C21*F21)</f>
        <v>3199.8</v>
      </c>
      <c r="H21" s="25" t="inlineStr">
        <is>
          <t>амортизация</t>
        </is>
      </c>
    </row>
    <row r="22">
      <c r="A22" s="27" t="inlineStr">
        <is>
          <t>Form002</t>
        </is>
      </c>
      <c r="B22" s="28" t="inlineStr">
        <is>
          <t>Микрофон FIFINE K669B</t>
        </is>
      </c>
      <c r="C22" s="45" t="n">
        <v>3500</v>
      </c>
      <c r="D22" s="46" t="n">
        <v>5</v>
      </c>
      <c r="E22" s="46" t="n"/>
      <c r="F22" s="32">
        <f>IF(E22="Год",1,IF(E22="Квартал",4,IF(E22="Месяц",12,0)))</f>
        <v>0.0</v>
      </c>
      <c r="G22" s="36">
        <f>IF(N(D22)&gt;0,C22/D22,C22*F22)</f>
        <v>700.0</v>
      </c>
      <c r="H22" s="25" t="inlineStr">
        <is>
          <t>амортизация</t>
        </is>
      </c>
    </row>
    <row r="23">
      <c r="A23" s="27" t="inlineStr">
        <is>
          <t>Form002</t>
        </is>
      </c>
      <c r="B23" s="28" t="inlineStr">
        <is>
          <t>Принтер Canon PIXMA G640</t>
        </is>
      </c>
      <c r="C23" s="45" t="n">
        <v>29999</v>
      </c>
      <c r="D23" s="46" t="n">
        <v>5</v>
      </c>
      <c r="E23" s="46" t="n"/>
      <c r="F23" s="32">
        <f>IF(E23="Год",1,IF(E23="Квартал",4,IF(E23="Месяц",12,0)))</f>
        <v>0.0</v>
      </c>
      <c r="G23" s="36">
        <f>IF(N(D23)&gt;0,C23/D23,C23*F23)</f>
        <v>5999.8</v>
      </c>
      <c r="H23" s="25" t="inlineStr">
        <is>
          <t>амортизация</t>
        </is>
      </c>
    </row>
    <row r="24">
      <c r="A24" s="27" t="inlineStr">
        <is>
          <t>Form004</t>
        </is>
      </c>
      <c r="B24" s="28" t="inlineStr">
        <is>
          <t>Retouch4me Heal</t>
        </is>
      </c>
      <c r="C24" s="45" t="n">
        <v>6900</v>
      </c>
      <c r="D24" s="46" t="n">
        <v>3</v>
      </c>
      <c r="E24" s="46" t="n"/>
      <c r="F24" s="32">
        <f>IF(E24="Год",1,IF(E24="Квартал",4,IF(E24="Месяц",12,0)))</f>
        <v>0.0</v>
      </c>
      <c r="G24" s="36">
        <f>IF(N(D24)&gt;0,C24/D24,C24*F24)</f>
        <v>2300.0</v>
      </c>
      <c r="H24" s="25" t="inlineStr">
        <is>
          <t>амортизация</t>
        </is>
      </c>
    </row>
    <row r="25">
      <c r="A25" s="27" t="inlineStr">
        <is>
          <t>Form004</t>
        </is>
      </c>
      <c r="B25" s="28" t="inlineStr">
        <is>
          <t>Retouch4me Dodge &amp; Burn</t>
        </is>
      </c>
      <c r="C25" s="45" t="n">
        <v>6900</v>
      </c>
      <c r="D25" s="46" t="n">
        <v>3</v>
      </c>
      <c r="E25" s="46" t="n"/>
      <c r="F25" s="32">
        <f>IF(E25="Год",1,IF(E25="Квартал",4,IF(E25="Месяц",12,0)))</f>
        <v>0.0</v>
      </c>
      <c r="G25" s="36">
        <f>IF(N(D25)&gt;0,C25/D25,C25*F25)</f>
        <v>2300.0</v>
      </c>
      <c r="H25" s="25" t="inlineStr">
        <is>
          <t>амортизация</t>
        </is>
      </c>
    </row>
    <row r="26">
      <c r="A26" s="27" t="inlineStr">
        <is>
          <t>Form004</t>
        </is>
      </c>
      <c r="B26" s="28" t="inlineStr">
        <is>
          <t>Retouch4me Fabric</t>
        </is>
      </c>
      <c r="C26" s="45" t="n">
        <v>6900</v>
      </c>
      <c r="D26" s="46" t="n">
        <v>3</v>
      </c>
      <c r="E26" s="46" t="n"/>
      <c r="F26" s="32">
        <f>IF(E26="Год",1,IF(E26="Квартал",4,IF(E26="Месяц",12,0)))</f>
        <v>0.0</v>
      </c>
      <c r="G26" s="36">
        <f>IF(N(D26)&gt;0,C26/D26,C26*F26)</f>
        <v>2300.0</v>
      </c>
      <c r="H26" s="25" t="inlineStr">
        <is>
          <t>амортизация</t>
        </is>
      </c>
    </row>
    <row r="27">
      <c r="A27" s="27" t="inlineStr">
        <is>
          <t>Form004</t>
        </is>
      </c>
      <c r="B27" s="28" t="inlineStr">
        <is>
          <t>Retouch4me Clean Backdrop</t>
        </is>
      </c>
      <c r="C27" s="45" t="n">
        <v>6900</v>
      </c>
      <c r="D27" s="46" t="n">
        <v>3</v>
      </c>
      <c r="E27" s="46" t="n"/>
      <c r="F27" s="32">
        <f>IF(E27="Год",1,IF(E27="Квартал",4,IF(E27="Месяц",12,0)))</f>
        <v>0.0</v>
      </c>
      <c r="G27" s="36">
        <f>IF(N(D27)&gt;0,C27/D27,C27*F27)</f>
        <v>2300.0</v>
      </c>
      <c r="H27" s="25" t="inlineStr">
        <is>
          <t>амортизация</t>
        </is>
      </c>
    </row>
    <row r="28">
      <c r="A28" s="27" t="inlineStr">
        <is>
          <t>Form004</t>
        </is>
      </c>
      <c r="B28" s="28" t="inlineStr">
        <is>
          <t>Retouch4me Dust</t>
        </is>
      </c>
      <c r="C28" s="45" t="n">
        <v>6900</v>
      </c>
      <c r="D28" s="46" t="n">
        <v>3</v>
      </c>
      <c r="E28" s="46" t="n"/>
      <c r="F28" s="32">
        <f>IF(E28="Год",1,IF(E28="Квартал",4,IF(E28="Месяц",12,0)))</f>
        <v>0.0</v>
      </c>
      <c r="G28" s="36">
        <f>IF(N(D28)&gt;0,C28/D28,C28*F28)</f>
        <v>2300.0</v>
      </c>
      <c r="H28" s="25" t="inlineStr">
        <is>
          <t>амортизация</t>
        </is>
      </c>
    </row>
    <row r="29">
      <c r="A29" s="27" t="inlineStr">
        <is>
          <t>Form013</t>
        </is>
      </c>
      <c r="B29" s="28" t="inlineStr">
        <is>
          <t>Мебель</t>
        </is>
      </c>
      <c r="C29" s="45" t="n">
        <v>35000</v>
      </c>
      <c r="D29" s="46" t="n">
        <v>7</v>
      </c>
      <c r="E29" s="46" t="n"/>
      <c r="F29" s="32">
        <f>IF(E29="Год",1,IF(E29="Квартал",4,IF(E29="Месяц",12,0)))</f>
        <v>0.0</v>
      </c>
      <c r="G29" s="36">
        <f>IF(N(D29)&gt;0,C29/D29,C29*F29)</f>
        <v>5000.0</v>
      </c>
      <c r="H29" s="25" t="inlineStr">
        <is>
          <t>амортизация</t>
        </is>
      </c>
    </row>
    <row r="30">
      <c r="A30" s="27" t="inlineStr">
        <is>
          <t>Form013</t>
        </is>
      </c>
      <c r="B30" s="28" t="inlineStr">
        <is>
          <t>Косметический ремонт</t>
        </is>
      </c>
      <c r="C30" s="45" t="n">
        <v>30000</v>
      </c>
      <c r="D30" s="46" t="n">
        <v>7</v>
      </c>
      <c r="E30" s="46" t="n"/>
      <c r="F30" s="32">
        <f>IF(E30="Год",1,IF(E30="Квартал",4,IF(E30="Месяц",12,0)))</f>
        <v>0.0</v>
      </c>
      <c r="G30" s="36">
        <f>IF(N(D30)&gt;0,C30/D30,C30*F30)</f>
        <v>4285.714285714285</v>
      </c>
      <c r="H30" s="25" t="inlineStr">
        <is>
          <t>амортизация</t>
        </is>
      </c>
    </row>
    <row r="31">
      <c r="A31" s="27" t="inlineStr">
        <is>
          <t>Form003</t>
        </is>
      </c>
      <c r="B31" s="28" t="inlineStr">
        <is>
          <t>Adobe CC Photography</t>
        </is>
      </c>
      <c r="C31" s="45" t="n">
        <v>2000</v>
      </c>
      <c r="D31" s="46" t="n"/>
      <c r="E31" s="47" t="inlineStr">
        <is>
          <t>Месяц</t>
        </is>
      </c>
      <c r="F31" s="32">
        <f>IF(E31="Год",1,IF(E31="Квартал",4,IF(E31="Месяц",12,0)))</f>
        <v>12.0</v>
      </c>
      <c r="G31" s="36">
        <f>IF(N(D31)&gt;0,C31/D31,C31*F31)</f>
        <v>24000.0</v>
      </c>
      <c r="H31" s="25" t="inlineStr">
        <is>
          <t>регулярный платёж</t>
        </is>
      </c>
    </row>
    <row r="32">
      <c r="A32" s="27" t="inlineStr">
        <is>
          <t>Form003</t>
        </is>
      </c>
      <c r="B32" s="28" t="inlineStr">
        <is>
          <t>Яндекс Диск 1 ТБ</t>
        </is>
      </c>
      <c r="C32" s="45" t="n">
        <v>250</v>
      </c>
      <c r="D32" s="46" t="n"/>
      <c r="E32" s="47" t="inlineStr">
        <is>
          <t>Месяц</t>
        </is>
      </c>
      <c r="F32" s="32">
        <f>IF(E32="Год",1,IF(E32="Квартал",4,IF(E32="Месяц",12,0)))</f>
        <v>12.0</v>
      </c>
      <c r="G32" s="36">
        <f>IF(N(D32)&gt;0,C32/D32,C32*F32)</f>
        <v>3000.0</v>
      </c>
      <c r="H32" s="25" t="inlineStr">
        <is>
          <t>регулярный платёж</t>
        </is>
      </c>
    </row>
    <row r="33">
      <c r="A33" s="27" t="inlineStr">
        <is>
          <t>Form007</t>
        </is>
      </c>
      <c r="B33" s="28" t="inlineStr">
        <is>
          <t>Обслуживание счёта (РКО)</t>
        </is>
      </c>
      <c r="C33" s="45" t="n">
        <v>0</v>
      </c>
      <c r="D33" s="46" t="n"/>
      <c r="E33" s="47" t="inlineStr">
        <is>
          <t>Месяц</t>
        </is>
      </c>
      <c r="F33" s="32">
        <f>IF(E33="Год",1,IF(E33="Квартал",4,IF(E33="Месяц",12,0)))</f>
        <v>12.0</v>
      </c>
      <c r="G33" s="36">
        <f>IF(N(D33)&gt;0,C33/D33,C33*F33)</f>
        <v>0.0</v>
      </c>
      <c r="H33" s="25" t="inlineStr">
        <is>
          <t>регулярный платёж</t>
        </is>
      </c>
    </row>
    <row r="34">
      <c r="A34" s="27" t="inlineStr">
        <is>
          <t>Form007</t>
        </is>
      </c>
      <c r="B34" s="28" t="inlineStr">
        <is>
          <t>СМС-уведомления</t>
        </is>
      </c>
      <c r="C34" s="45" t="n">
        <v>150</v>
      </c>
      <c r="D34" s="46" t="n"/>
      <c r="E34" s="47" t="inlineStr">
        <is>
          <t>Месяц</t>
        </is>
      </c>
      <c r="F34" s="32">
        <f>IF(E34="Год",1,IF(E34="Квартал",4,IF(E34="Месяц",12,0)))</f>
        <v>12.0</v>
      </c>
      <c r="G34" s="36">
        <f>IF(N(D34)&gt;0,C34/D34,C34*F34)</f>
        <v>1800.0</v>
      </c>
      <c r="H34" s="25" t="inlineStr">
        <is>
          <t>регулярный платёж</t>
        </is>
      </c>
    </row>
    <row r="35">
      <c r="A35" s="27" t="inlineStr">
        <is>
          <t>Form010</t>
        </is>
      </c>
      <c r="B35" s="28" t="inlineStr">
        <is>
          <t>Домен сайта</t>
        </is>
      </c>
      <c r="C35" s="45" t="n">
        <v>1500</v>
      </c>
      <c r="D35" s="46" t="n"/>
      <c r="E35" s="47" t="inlineStr">
        <is>
          <t>Год</t>
        </is>
      </c>
      <c r="F35" s="32">
        <f>IF(E35="Год",1,IF(E35="Квартал",4,IF(E35="Месяц",12,0)))</f>
        <v>1.0</v>
      </c>
      <c r="G35" s="36">
        <f>IF(N(D35)&gt;0,C35/D35,C35*F35)</f>
        <v>1500.0</v>
      </c>
      <c r="H35" s="25" t="inlineStr">
        <is>
          <t>регулярный платёж</t>
        </is>
      </c>
    </row>
    <row r="36">
      <c r="A36" s="27" t="inlineStr">
        <is>
          <t>Form010</t>
        </is>
      </c>
      <c r="B36" s="28" t="inlineStr">
        <is>
          <t>Хостинг сайта</t>
        </is>
      </c>
      <c r="C36" s="45" t="n">
        <v>6000</v>
      </c>
      <c r="D36" s="46" t="n"/>
      <c r="E36" s="47" t="inlineStr">
        <is>
          <t>Год</t>
        </is>
      </c>
      <c r="F36" s="32">
        <f>IF(E36="Год",1,IF(E36="Квартал",4,IF(E36="Месяц",12,0)))</f>
        <v>1.0</v>
      </c>
      <c r="G36" s="36">
        <f>IF(N(D36)&gt;0,C36/D36,C36*F36)</f>
        <v>6000.0</v>
      </c>
      <c r="H36" s="25" t="inlineStr">
        <is>
          <t>регулярный платёж</t>
        </is>
      </c>
    </row>
    <row r="37">
      <c r="A37" s="27" t="inlineStr">
        <is>
          <t>Form010</t>
        </is>
      </c>
      <c r="B37" s="28" t="inlineStr">
        <is>
          <t>Яндекс Директ</t>
        </is>
      </c>
      <c r="C37" s="45" t="n">
        <v>15000</v>
      </c>
      <c r="D37" s="46" t="n"/>
      <c r="E37" s="47" t="inlineStr">
        <is>
          <t>Месяц</t>
        </is>
      </c>
      <c r="F37" s="32">
        <f>IF(E37="Год",1,IF(E37="Квартал",4,IF(E37="Месяц",12,0)))</f>
        <v>12.0</v>
      </c>
      <c r="G37" s="36">
        <f>IF(N(D37)&gt;0,C37/D37,C37*F37)</f>
        <v>180000.0</v>
      </c>
      <c r="H37" s="25" t="inlineStr">
        <is>
          <t>регулярный платёж</t>
        </is>
      </c>
    </row>
    <row r="38">
      <c r="A38" s="27" t="inlineStr">
        <is>
          <t>Form010</t>
        </is>
      </c>
      <c r="B38" s="28" t="inlineStr">
        <is>
          <t>Авито</t>
        </is>
      </c>
      <c r="C38" s="45" t="n">
        <v>0</v>
      </c>
      <c r="D38" s="46" t="n"/>
      <c r="E38" s="47" t="inlineStr">
        <is>
          <t>Месяц</t>
        </is>
      </c>
      <c r="F38" s="32">
        <f>IF(E38="Год",1,IF(E38="Квартал",4,IF(E38="Месяц",12,0)))</f>
        <v>12.0</v>
      </c>
      <c r="G38" s="36">
        <f>IF(N(D38)&gt;0,C38/D38,C38*F38)</f>
        <v>0.0</v>
      </c>
      <c r="H38" s="25" t="inlineStr">
        <is>
          <t>регулярный платёж</t>
        </is>
      </c>
    </row>
    <row r="39">
      <c r="A39" s="27" t="inlineStr">
        <is>
          <t>Form010</t>
        </is>
      </c>
      <c r="B39" s="28" t="inlineStr">
        <is>
          <t>Таргетированная реклама</t>
        </is>
      </c>
      <c r="C39" s="45" t="n">
        <v>0</v>
      </c>
      <c r="D39" s="46" t="n"/>
      <c r="E39" s="47" t="inlineStr">
        <is>
          <t>Месяц</t>
        </is>
      </c>
      <c r="F39" s="32">
        <f>IF(E39="Год",1,IF(E39="Квартал",4,IF(E39="Месяц",12,0)))</f>
        <v>12.0</v>
      </c>
      <c r="G39" s="36">
        <f>IF(N(D39)&gt;0,C39/D39,C39*F39)</f>
        <v>0.0</v>
      </c>
      <c r="H39" s="25" t="inlineStr">
        <is>
          <t>регулярный платёж</t>
        </is>
      </c>
    </row>
    <row r="40">
      <c r="A40" s="27" t="inlineStr">
        <is>
          <t>Form010</t>
        </is>
      </c>
      <c r="B40" s="28" t="inlineStr">
        <is>
          <t>Платные размещения у блогеров</t>
        </is>
      </c>
      <c r="C40" s="45" t="n">
        <v>0</v>
      </c>
      <c r="D40" s="46" t="n"/>
      <c r="E40" s="47" t="inlineStr">
        <is>
          <t>Месяц</t>
        </is>
      </c>
      <c r="F40" s="32">
        <f>IF(E40="Год",1,IF(E40="Квартал",4,IF(E40="Месяц",12,0)))</f>
        <v>12.0</v>
      </c>
      <c r="G40" s="36">
        <f>IF(N(D40)&gt;0,C40/D40,C40*F40)</f>
        <v>0.0</v>
      </c>
      <c r="H40" s="25" t="inlineStr">
        <is>
          <t>регулярный платёж</t>
        </is>
      </c>
    </row>
    <row r="41">
      <c r="A41" s="27" t="inlineStr">
        <is>
          <t>Form010</t>
        </is>
      </c>
      <c r="B41" s="28" t="inlineStr">
        <is>
          <t>Отклики на Profi.ru</t>
        </is>
      </c>
      <c r="C41" s="45" t="n">
        <v>0</v>
      </c>
      <c r="D41" s="46" t="n"/>
      <c r="E41" s="47" t="inlineStr">
        <is>
          <t>Месяц</t>
        </is>
      </c>
      <c r="F41" s="32">
        <f>IF(E41="Год",1,IF(E41="Квартал",4,IF(E41="Месяц",12,0)))</f>
        <v>12.0</v>
      </c>
      <c r="G41" s="36">
        <f>IF(N(D41)&gt;0,C41/D41,C41*F41)</f>
        <v>0.0</v>
      </c>
      <c r="H41" s="25" t="inlineStr">
        <is>
          <t>регулярный платёж</t>
        </is>
      </c>
    </row>
  </sheetData>
  <mergeCells count="2">
    <mergeCell ref="A2:H2"/>
    <mergeCell ref="A1:H1"/>
  </mergeCells>
  <dataValidations count="1">
    <dataValidation sqref="E31 E32 E33 E34 E35 E36 E37 E38 E39 E40 E41" showDropDown="0" showInputMessage="0" showErrorMessage="0" allowBlank="1" type="list">
      <formula1>"Год,Квартал,Месяц"</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showGridLines="0" workbookViewId="0">
      <selection activeCell="A1" sqref="A1"/>
    </sheetView>
  </sheetViews>
  <sheetFormatPr baseColWidth="8" defaultRowHeight="15"/>
  <cols>
    <col width="50" customWidth="1" min="1" max="1"/>
    <col width="20" customWidth="1" min="2" max="2"/>
    <col width="44" customWidth="1" min="3" max="3"/>
  </cols>
  <sheetData>
    <row r="1">
      <c r="A1" s="1" t="inlineStr">
        <is>
          <t>04 · ИТОГ по выбранному режиму</t>
        </is>
      </c>
    </row>
    <row r="3">
      <c r="A3" s="3" t="inlineStr">
        <is>
          <t>ГЛАВНЫЙ РЕЗУЛЬТАТ</t>
        </is>
      </c>
    </row>
    <row r="4">
      <c r="A4" s="2" t="inlineStr">
        <is>
          <t>Выбранный режим</t>
        </is>
      </c>
      <c r="B4" s="34" t="str">
        <f>regime</f>
        <v>Самозанятый (НПД), средняя ставка</v>
      </c>
      <c r="C4" s="25" t="inlineStr">
        <is>
          <t>меняется в 02_Параметры → regime</t>
        </is>
      </c>
    </row>
    <row r="5">
      <c r="A5" s="2" t="inlineStr">
        <is>
          <t>ПОЛНАЯ СТАВКА ЧАСА, ₽/час</t>
        </is>
      </c>
      <c r="B5" s="48">
        <f>CHOOSE(regime_no,'05_Расчёт'!B19,'05_Расчёт'!C19,'05_Расчёт'!D19,'05_Расчёт'!E19,'05_Расчёт'!F19,'05_Расчёт'!G19,'05_Расчёт'!H19)</f>
        <v>9429.986029299362</v>
      </c>
      <c r="C5" s="25" t="inlineStr">
        <is>
          <t>цена съёмочного часа для клиента</t>
        </is>
      </c>
    </row>
    <row r="6">
      <c r="A6" s="2" t="inlineStr">
        <is>
          <t>Стоимость проекта, ₽</t>
        </is>
      </c>
      <c r="B6" s="48">
        <f>CHOOSE(regime_no,'05_Расчёт'!B20,'05_Расчёт'!C20,'05_Расчёт'!D20,'05_Расчёт'!E20,'05_Расчёт'!F20,'05_Расчёт'!G20,'05_Расчёт'!H20)</f>
        <v>9429.986029299362</v>
      </c>
    </row>
    <row r="7">
      <c r="A7" s="2" t="inlineStr">
        <is>
          <t>Полная ставка РАБОЧЕГО часа, ₽/час</t>
        </is>
      </c>
      <c r="B7" s="49">
        <f>full_hour_rate</f>
        <v>1332.3776738070721</v>
      </c>
      <c r="C7" s="25" t="inlineStr">
        <is>
          <t>цена любого часа: съёмка, обработка, продвижение</t>
        </is>
      </c>
    </row>
    <row r="8">
      <c r="A8" s="2" t="inlineStr">
        <is>
          <t>Выручка, ₽/год</t>
        </is>
      </c>
      <c r="B8" s="48">
        <f>CHOOSE(regime_no,'05_Расчёт'!B4,'05_Расчёт'!C4,'05_Расчёт'!D4,'05_Расчёт'!E4,'05_Расчёт'!F4,'05_Расчёт'!G4,'05_Расчёт'!H4)</f>
        <v>2042534.9739462417</v>
      </c>
    </row>
    <row r="9">
      <c r="A9" s="2" t="inlineStr">
        <is>
          <t>Выручка, ₽/месяц</t>
        </is>
      </c>
      <c r="B9" s="48">
        <f>CHOOSE(regime_no,'05_Расчёт'!B5,'05_Расчёт'!C5,'05_Расчёт'!D5,'05_Расчёт'!E5,'05_Расчёт'!F5,'05_Расчёт'!G5,'05_Расчёт'!H5)</f>
        <v>170211.24782885346</v>
      </c>
    </row>
    <row r="10">
      <c r="A10" s="2" t="inlineStr">
        <is>
          <t>Всего налогов и взносов, ₽/год</t>
        </is>
      </c>
      <c r="B10" s="48">
        <f>CHOOSE(regime_no,'05_Расчёт'!B15,'05_Расчёт'!C15,'05_Расчёт'!D15,'05_Расчёт'!E15,'05_Расчёт'!F15,'05_Расчёт'!G15,'05_Расчёт'!H15)</f>
        <v>102126.74869731208</v>
      </c>
    </row>
    <row r="11">
      <c r="A11" s="2" t="inlineStr">
        <is>
          <t>Эффективная нагрузка</t>
        </is>
      </c>
      <c r="B11" s="50">
        <f>CHOOSE(regime_no,'05_Расчёт'!B17,'05_Расчёт'!C17,'05_Расчёт'!D17,'05_Расчёт'!E17,'05_Расчёт'!F17,'05_Расчёт'!G17,'05_Расчёт'!H17)</f>
        <v>0.05</v>
      </c>
    </row>
    <row r="12">
      <c r="A12" s="2" t="inlineStr">
        <is>
          <t>Точка безубыточности, ₽/год</t>
        </is>
      </c>
      <c r="B12" s="51">
        <f>CHOOSE(regime_no,'05_Расчёт'!B22,'05_Расчёт'!C22,'05_Расчёт'!D22,'05_Расчёт'!E22,'05_Расчёт'!F22,'05_Расчёт'!G22,'05_Расчёт'!H22)</f>
        <v>609607.5633286901</v>
      </c>
    </row>
    <row r="13">
      <c r="A13" s="3" t="inlineStr">
        <is>
          <t>ВРЕМЯ — иерархия</t>
        </is>
      </c>
    </row>
    <row r="14">
      <c r="A14" t="inlineStr">
        <is>
          <t>ЧИСТОЕ время (всё доступное)</t>
        </is>
      </c>
      <c r="B14" s="31">
        <f>net_time</f>
        <v>1533.0</v>
      </c>
      <c r="C14" s="25" t="inlineStr">
        <is>
          <t>производств. календарь − отпуск − больничный − час/день</t>
        </is>
      </c>
    </row>
    <row r="15">
      <c r="A15" t="inlineStr">
        <is>
          <t xml:space="preserve">  ├ ОПЕРАЦИОННОЕ (второстепенное)</t>
        </is>
      </c>
      <c r="B15" s="31">
        <f>side_time</f>
        <v>450.0</v>
      </c>
      <c r="C15" s="25" t="inlineStr">
        <is>
          <t>продвижение + учёт</t>
        </is>
      </c>
    </row>
    <row r="16">
      <c r="A16" t="inlineStr">
        <is>
          <t xml:space="preserve">  ├ РЕЗЕРВ на форс-мажоры</t>
        </is>
      </c>
      <c r="B16" s="31">
        <f>fm_time</f>
        <v>0.0</v>
      </c>
      <c r="C16" s="25" t="inlineStr">
        <is>
          <t>переносы, отмены, срывы</t>
        </is>
      </c>
    </row>
    <row r="17">
      <c r="A17" t="inlineStr">
        <is>
          <t xml:space="preserve">  └ ПРОЕКТНОЕ за год</t>
        </is>
      </c>
      <c r="B17" s="31">
        <f>project_pool</f>
        <v>1083.0</v>
      </c>
      <c r="C17" s="25" t="inlineStr">
        <is>
          <t>на выполнение всех проектов</t>
        </is>
      </c>
    </row>
    <row r="18">
      <c r="A18" t="inlineStr">
        <is>
          <t xml:space="preserve">      ├ ПРОФИЛЬНОЕ (по профилю)</t>
        </is>
      </c>
      <c r="B18" s="31">
        <f>core_time</f>
        <v>866.4</v>
      </c>
      <c r="C18" s="25" t="inlineStr">
        <is>
          <t>S × (1+коэф.): площадка + обработка</t>
        </is>
      </c>
    </row>
    <row r="19">
      <c r="A19" t="inlineStr">
        <is>
          <t xml:space="preserve">      │   ├ СЪЁМОЧНОЕ ← ЦЕЛЬ</t>
        </is>
      </c>
      <c r="B19" s="52">
        <f>shooting_time</f>
        <v>216.6</v>
      </c>
      <c r="C19" s="25" t="inlineStr">
        <is>
          <t>S — работа на площадке</t>
        </is>
      </c>
    </row>
    <row r="20">
      <c r="A20" t="inlineStr">
        <is>
          <t xml:space="preserve">      │   └ постпродакшн</t>
        </is>
      </c>
      <c r="B20" s="31">
        <f>post_time</f>
        <v>649.8</v>
      </c>
      <c r="C20" s="25" t="inlineStr">
        <is>
          <t>S × коэффициент — обработка</t>
        </is>
      </c>
    </row>
    <row r="21">
      <c r="A21" t="inlineStr">
        <is>
          <t xml:space="preserve">      └ работа с клиентом</t>
        </is>
      </c>
      <c r="B21" s="31">
        <f>client_total</f>
        <v>216.6</v>
      </c>
      <c r="C21" s="25" t="inlineStr">
        <is>
          <t>1 ч на проект: продажа, согласования</t>
        </is>
      </c>
    </row>
    <row r="22">
      <c r="A22" t="inlineStr">
        <is>
          <t>Продолжительность съёмки (S)</t>
        </is>
      </c>
      <c r="B22" s="31">
        <f>shoot_duration</f>
        <v>1.0</v>
      </c>
      <c r="C22" s="25" t="inlineStr">
        <is>
          <t>типовой заказ, задаёт пользователь</t>
        </is>
      </c>
    </row>
    <row r="23">
      <c r="A23" t="inlineStr">
        <is>
          <t>Коэффициент обработки</t>
        </is>
      </c>
      <c r="B23" s="31">
        <f>post_ratio</f>
        <v>3.0</v>
      </c>
      <c r="C23" s="25" t="inlineStr">
        <is>
          <t>часов обработки на 1 час съёмки</t>
        </is>
      </c>
    </row>
    <row r="24">
      <c r="A24" t="inlineStr">
        <is>
          <t>Проектное время на 1 проект</t>
        </is>
      </c>
      <c r="B24" s="31">
        <f>project_time</f>
        <v>5.0</v>
      </c>
      <c r="C24" s="25" t="inlineStr">
        <is>
          <t>S × (1+коэф.) + 1</t>
        </is>
      </c>
    </row>
    <row r="25">
      <c r="A25" t="inlineStr">
        <is>
          <t>Проектов в год</t>
        </is>
      </c>
      <c r="B25" s="31">
        <f>projects_year</f>
        <v>216.6</v>
      </c>
      <c r="C25" s="25" t="inlineStr"/>
    </row>
    <row r="26">
      <c r="A26" t="inlineStr">
        <is>
          <t>Проектов в неделю</t>
        </is>
      </c>
      <c r="B26" s="31">
        <f>projects_week</f>
        <v>4.945205479452055</v>
      </c>
      <c r="C26" s="25" t="inlineStr">
        <is>
          <t>при авторежиме = 1</t>
        </is>
      </c>
    </row>
    <row r="28">
      <c r="A28" s="3" t="inlineStr">
        <is>
          <t>ПРОВЕРКА ИЕРАРХИИ ВРЕМЕНИ</t>
        </is>
      </c>
    </row>
    <row r="29">
      <c r="A29" t="inlineStr">
        <is>
          <t>Операционное + резерв + проектное = чистое</t>
        </is>
      </c>
      <c r="B29" s="53" t="str">
        <f>IF(ABS(side_time+fm_time+project_pool-net_time)&lt;0.01,"OK","ОШИБКА")</f>
        <v>OK</v>
      </c>
    </row>
    <row r="30">
      <c r="A30" t="inlineStr">
        <is>
          <t>Профильное + клиентское = проектное</t>
        </is>
      </c>
      <c r="B30" s="53" t="str">
        <f>IF(ABS(core_time+client_total-project_pool)&lt;0.01,"OK","ОШИБКА")</f>
        <v>OK</v>
      </c>
    </row>
    <row r="31">
      <c r="A31" t="inlineStr">
        <is>
          <t>Съёмочное + постпродакшн = профильное</t>
        </is>
      </c>
      <c r="B31" s="53" t="str">
        <f>IF(ABS(shooting_time+post_time-core_time)&lt;0.01,"OK","ОШИБКА")</f>
        <v>OK</v>
      </c>
    </row>
    <row r="33">
      <c r="A33" s="3" t="inlineStr">
        <is>
          <t>РАСХОДЫ</t>
        </is>
      </c>
    </row>
    <row r="34">
      <c r="A34" t="inlineStr">
        <is>
          <t>Амортизация</t>
        </is>
      </c>
      <c r="B34" s="36">
        <f>investment</f>
        <v>278687.78095238097</v>
      </c>
    </row>
    <row r="35">
      <c r="A35" t="inlineStr">
        <is>
          <t>Переменные расходы</t>
        </is>
      </c>
      <c r="B35" s="36">
        <f>variable_costs</f>
        <v>283980.0</v>
      </c>
    </row>
    <row r="36">
      <c r="A36" t="inlineStr">
        <is>
          <t>ВСЕГО расходов (C)</t>
        </is>
      </c>
      <c r="B36" s="36">
        <f>total_costs</f>
        <v>562667.780952381</v>
      </c>
    </row>
    <row r="37">
      <c r="A37" t="inlineStr">
        <is>
          <t>Эквайринг (% от выручки)</t>
        </is>
      </c>
      <c r="B37" s="39">
        <f>acquiring</f>
        <v>0.027</v>
      </c>
    </row>
    <row r="39">
      <c r="A39" s="3" t="inlineStr">
        <is>
          <t>СКОЛЬКО ВЫ ТЕРЯЕТЕ</t>
        </is>
      </c>
    </row>
    <row r="41">
      <c r="B41" s="54">
        <f>B38-B37</f>
        <v>-0.027</v>
      </c>
    </row>
    <row r="42">
      <c r="B42" s="55">
        <f>B5</f>
        <v>9429.986029299362</v>
      </c>
    </row>
    <row r="43">
      <c r="A43" t="inlineStr">
        <is>
          <t>Разница с текущей, ₽/час</t>
        </is>
      </c>
    </row>
    <row r="44">
      <c r="A44" t="inlineStr">
        <is>
          <t>Недополучено за год, ₽</t>
        </is>
      </c>
      <c r="B44" s="54">
        <f>B43*shooting_time</f>
        <v>0.0</v>
      </c>
    </row>
    <row r="46">
      <c r="A46" s="3" t="inlineStr">
        <is>
          <t>САМОПРОВЕРКИ</t>
        </is>
      </c>
    </row>
    <row r="47">
      <c r="A47" t="inlineStr">
        <is>
          <t>Все режимы дают желаемый доход</t>
        </is>
      </c>
      <c r="B47" s="53" t="str">
        <f>IF(SUMPRODUCT(--(ABS('05_Расчёт'!B24:H24-target_income)&gt;1))=0,"OK","ОШИБКА")</f>
        <v>OK</v>
      </c>
    </row>
    <row r="48">
      <c r="A48" t="inlineStr">
        <is>
          <t>Точки безубыточности сходятся в ноль</t>
        </is>
      </c>
      <c r="B48" s="53" t="str">
        <f>IF(SUMPRODUCT(--(ABS('05_Расчёт'!B23:H23)&gt;1))=0,"OK","ОШИБКА")</f>
        <v>OK</v>
      </c>
    </row>
    <row r="49">
      <c r="A49" t="inlineStr">
        <is>
          <t>Амортизация + переменные = всего расходов</t>
        </is>
      </c>
      <c r="B49" s="53" t="str">
        <f>IF(ABS(investment+variable_costs-total_costs)&lt;0.01,"OK","ОШИБКА")</f>
        <v>OK</v>
      </c>
    </row>
    <row r="50">
      <c r="A50" t="inlineStr">
        <is>
          <t>Проектное время положительно</t>
        </is>
      </c>
      <c r="B50" s="53" t="str">
        <f>IF(project_pool&gt;0,"OK","ОШИБКА: операционное больше чистого")</f>
        <v>OK</v>
      </c>
    </row>
    <row r="51">
      <c r="A51" t="inlineStr">
        <is>
          <t>Съёмочных часов больше нуля</t>
        </is>
      </c>
      <c r="B51" s="53" t="str">
        <f>IF(shooting_time&gt;0,"OK","ЗАПОЛНИТЕ продолжительность съёмки")</f>
        <v>OK</v>
      </c>
    </row>
    <row r="52">
      <c r="A52" t="inlineStr">
        <is>
          <t>Лимиты режимов не превышены</t>
        </is>
      </c>
      <c r="B52" s="53" t="str">
        <f>IF(COUNTIF('05_Расчёт'!B25:H25,"ок")=7,"OK","ПРОВЕРЬТЕ")</f>
        <v>OK</v>
      </c>
    </row>
    <row r="53">
      <c r="A53" t="inlineStr">
        <is>
          <t>Бухгалтер: либо деньги, либо время</t>
        </is>
      </c>
      <c r="B53" s="53" t="str">
        <f>IF(OR(AND(var_accounting&gt;0,accounting_time=0),AND(var_accounting=0,accounting_time&gt;0)),"OK","ПРОВЕРЬТЕ")</f>
        <v>OK</v>
      </c>
    </row>
    <row r="54">
      <c r="A54" t="inlineStr">
        <is>
          <t>Длительность съёмки задана</t>
        </is>
      </c>
      <c r="B54" s="53" t="str">
        <f>IF(shoot_duration&gt;0,"OK","ЗАПОЛНИТЕ")</f>
        <v>OK</v>
      </c>
    </row>
    <row r="55">
      <c r="A55" t="inlineStr">
        <is>
          <t>Час проектного времени положителен</t>
        </is>
      </c>
      <c r="B55" s="53" t="str">
        <f>IF(hour_pool&gt;0,"OK","ПРОВЕРЬТЕ")</f>
        <v>OK</v>
      </c>
    </row>
    <row r="56">
      <c r="A56" t="inlineStr">
        <is>
          <t>Резерв на форс-мажоры не больше 30%</t>
        </is>
      </c>
      <c r="B56" s="53" t="str">
        <f>IF(fm_pct&lt;=0.3,"OK","СЛИШКОМ БОЛЬШОЙ")</f>
        <v>OK</v>
      </c>
    </row>
    <row r="57">
      <c r="A57" t="inlineStr">
        <is>
          <t>Сайт: либо сумма, либо часы</t>
        </is>
      </c>
      <c r="B57" s="53" t="str">
        <f>IF(OR(AND(dep_website&gt;0,site_divisor=0),AND(dep_website=0,site_divisor&gt;=0)),"OK","ПРОВЕРЬТЕ")</f>
        <v>OK</v>
      </c>
    </row>
  </sheetData>
  <mergeCells count="7">
    <mergeCell ref="A28:C28"/>
    <mergeCell ref="A33:C33"/>
    <mergeCell ref="A13:C13"/>
    <mergeCell ref="A1:C1"/>
    <mergeCell ref="A46:C46"/>
    <mergeCell ref="A3:C3"/>
    <mergeCell ref="A39:C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05 · РАСЧЁТ — семь режимов, как в вашем выпадающем списке</t>
        </is>
      </c>
    </row>
    <row r="3" ht="34" customHeight="1">
      <c r="A3" s="3" t="inlineStr">
        <is>
          <t>Показатель</t>
        </is>
      </c>
      <c r="B3" s="56" t="inlineStr">
        <is>
          <t>НПД
средняя 5%</t>
        </is>
      </c>
      <c r="C3" s="56" t="inlineStr">
        <is>
          <t>НПД
физлица 4%</t>
        </is>
      </c>
      <c r="D3" s="56" t="inlineStr">
        <is>
          <t>НПД
юрлица 6%</t>
        </is>
      </c>
      <c r="E3" s="56" t="inlineStr">
        <is>
          <t>УСН
Доходы 6%</t>
        </is>
      </c>
      <c r="F3" s="56" t="inlineStr">
        <is>
          <t>УСН
Д−Р 15%</t>
        </is>
      </c>
      <c r="G3" s="56" t="inlineStr">
        <is>
          <t>АУСН
Доходы 8%</t>
        </is>
      </c>
      <c r="H3" s="56" t="inlineStr">
        <is>
          <t>АУСН
Д−Р 20%</t>
        </is>
      </c>
    </row>
    <row r="4">
      <c r="A4" s="2" t="inlineStr">
        <is>
          <t>ВЫРУЧКА, ₽/год</t>
        </is>
      </c>
      <c r="B4" s="48">
        <f>(target_income+total_costs)/((1-acquiring-site_divisor)-rate_npd_avg)</f>
        <v>2042534.9739462417</v>
      </c>
      <c r="C4" s="48">
        <f>(target_income+total_costs)/((1-acquiring-site_divisor)-rate_npd_fiz)</f>
        <v>2020642.8520389937</v>
      </c>
      <c r="D4" s="48">
        <f>(target_income+total_costs)/((1-acquiring-site_divisor)-rate_npd_ur)</f>
        <v>2064906.6604078652</v>
      </c>
      <c r="E4" s="48">
        <f>MAX(((target_income+total_costs)+fixed_contrib-threshold_credit)/((1-acquiring-site_divisor)-extra_contrib),(target_income+total_costs)/((1-acquiring-site_divisor)-rate_usn_inc))</f>
        <v>2064906.6604078652</v>
      </c>
      <c r="F4" s="48">
        <f>((target_income/(1-rate_usn_prof))+(fixed_contrib-threshold_credit+extra_contrib*(target_income/(1-rate_usn_prof)))+total_costs)/(1-acquiring-site_divisor)</f>
        <v>2249340.467697871</v>
      </c>
      <c r="G4" s="48">
        <f>((target_income+total_costs)+injury_contrib)/((1-acquiring-site_divisor)-rate_ausn_inc)</f>
        <v>2111153.170159441</v>
      </c>
      <c r="H4" s="48">
        <f>((target_income/(1-rate_ausn_prof))+total_costs+injury_contrib)/(1-acquiring-site_divisor)</f>
        <v>2277397.513825674</v>
      </c>
    </row>
    <row r="5">
      <c r="A5" t="inlineStr">
        <is>
          <t>Выручка, ₽/месяц</t>
        </is>
      </c>
      <c r="B5" s="57">
        <f>B4/months</f>
        <v>170211.24782885346</v>
      </c>
      <c r="C5" s="57">
        <f>C4/months</f>
        <v>168386.9043365828</v>
      </c>
      <c r="D5" s="57">
        <f>D4/months</f>
        <v>172075.55503398876</v>
      </c>
      <c r="E5" s="57">
        <f>E4/months</f>
        <v>172075.55503398876</v>
      </c>
      <c r="F5" s="57">
        <f>F4/months</f>
        <v>187445.0389748226</v>
      </c>
      <c r="G5" s="57">
        <f>G4/months</f>
        <v>175929.4308466201</v>
      </c>
      <c r="H5" s="57">
        <f>H4/months</f>
        <v>189783.1261521395</v>
      </c>
    </row>
    <row r="7">
      <c r="A7" t="inlineStr">
        <is>
          <t>Эквайринг, ₽/год</t>
        </is>
      </c>
      <c r="B7" s="57">
        <f>B4*acquiring</f>
        <v>55148.44429654852</v>
      </c>
      <c r="C7" s="57">
        <f>C4*acquiring</f>
        <v>54557.35700505283</v>
      </c>
      <c r="D7" s="57">
        <f>D4*acquiring</f>
        <v>55752.47983101236</v>
      </c>
      <c r="E7" s="57">
        <f>E4*acquiring</f>
        <v>55752.47983101236</v>
      </c>
      <c r="F7" s="57">
        <f>F4*acquiring</f>
        <v>60732.192627842516</v>
      </c>
      <c r="G7" s="57">
        <f>G4*acquiring</f>
        <v>57001.135594304906</v>
      </c>
      <c r="H7" s="57">
        <f>H4*acquiring</f>
        <v>61489.7328732932</v>
      </c>
    </row>
    <row r="8">
      <c r="A8" t="inlineStr">
        <is>
          <t>Страховые взносы (фикс.)</t>
        </is>
      </c>
      <c r="B8" s="57">
        <f>0</f>
        <v>0.0</v>
      </c>
      <c r="C8" s="57">
        <f>0</f>
        <v>0.0</v>
      </c>
      <c r="D8" s="57">
        <f>0</f>
        <v>0.0</v>
      </c>
      <c r="E8" s="57">
        <f>fixed_contrib</f>
        <v>57390.0</v>
      </c>
      <c r="F8" s="57">
        <f>fixed_contrib</f>
        <v>57390.0</v>
      </c>
      <c r="G8" s="57">
        <f>0</f>
        <v>0.0</v>
      </c>
      <c r="H8" s="57">
        <f>0</f>
        <v>0.0</v>
      </c>
    </row>
    <row r="9">
      <c r="A9" t="inlineStr">
        <is>
          <t>База для доначисления 1%</t>
        </is>
      </c>
      <c r="B9" s="57">
        <f>0</f>
        <v>0.0</v>
      </c>
      <c r="C9" s="57">
        <f>0</f>
        <v>0.0</v>
      </c>
      <c r="D9" s="57">
        <f>0</f>
        <v>0.0</v>
      </c>
      <c r="E9" s="57">
        <f>MAX(0,E4-contrib_threshold)</f>
        <v>1764906.6604078652</v>
      </c>
      <c r="F9" s="57">
        <f>MAX(0,(target_income/(1-rate_usn_prof))-contrib_threshold)</f>
        <v>1255990.5882352942</v>
      </c>
      <c r="G9" s="57">
        <f>0</f>
        <v>0.0</v>
      </c>
      <c r="H9" s="57">
        <f>0</f>
        <v>0.0</v>
      </c>
    </row>
    <row r="10">
      <c r="A10" t="inlineStr">
        <is>
          <t>Доначисление 1%</t>
        </is>
      </c>
      <c r="B10" s="57">
        <f>0</f>
        <v>0.0</v>
      </c>
      <c r="C10" s="57">
        <f>0</f>
        <v>0.0</v>
      </c>
      <c r="D10" s="57">
        <f>0</f>
        <v>0.0</v>
      </c>
      <c r="E10" s="57">
        <f>MIN(E9*extra_contrib,contrib_cap)</f>
        <v>17649.066604078653</v>
      </c>
      <c r="F10" s="57">
        <f>MIN(F9*extra_contrib,contrib_cap)</f>
        <v>12559.905882352943</v>
      </c>
      <c r="G10" s="57">
        <f>0</f>
        <v>0.0</v>
      </c>
      <c r="H10" s="57">
        <f>0</f>
        <v>0.0</v>
      </c>
    </row>
    <row r="11">
      <c r="A11" t="inlineStr">
        <is>
          <t>Налог</t>
        </is>
      </c>
      <c r="B11" s="57">
        <f>B4*rate_npd_avg</f>
        <v>102126.74869731208</v>
      </c>
      <c r="C11" s="57">
        <f>C4*rate_npd_fiz</f>
        <v>80825.71408155975</v>
      </c>
      <c r="D11" s="57">
        <f>D4*rate_npd_ur</f>
        <v>123894.3996244719</v>
      </c>
      <c r="E11" s="57">
        <f>MAX(0,E4*rate_usn_inc-(E8+E10))</f>
        <v>48855.33302039324</v>
      </c>
      <c r="F11" s="57">
        <f>MAX((target_income/(1-rate_usn_prof))*rate_usn_prof,F4*min_tax_usn)</f>
        <v>233398.58823529413</v>
      </c>
      <c r="G11" s="57">
        <f>G4*rate_ausn_inc</f>
        <v>168892.25361275527</v>
      </c>
      <c r="H11" s="57">
        <f>MAX((target_income/(1-rate_ausn_prof))*rate_ausn_prof,H4*min_tax_ausn)</f>
        <v>330648.0</v>
      </c>
    </row>
    <row r="12">
      <c r="A12" t="inlineStr">
        <is>
          <t>Взнос на травматизм</t>
        </is>
      </c>
      <c r="B12" s="57">
        <f>0</f>
        <v>0.0</v>
      </c>
      <c r="C12" s="57">
        <f>0</f>
        <v>0.0</v>
      </c>
      <c r="D12" s="57">
        <f>0</f>
        <v>0.0</v>
      </c>
      <c r="E12" s="57">
        <f>0</f>
        <v>0.0</v>
      </c>
      <c r="F12" s="57">
        <f>0</f>
        <v>0.0</v>
      </c>
      <c r="G12" s="57">
        <f>injury_contrib</f>
        <v>0.0</v>
      </c>
      <c r="H12" s="57">
        <f>injury_contrib</f>
        <v>0.0</v>
      </c>
    </row>
    <row r="13">
      <c r="A13" t="inlineStr">
        <is>
          <t>Применён минимальный налог?</t>
        </is>
      </c>
      <c r="B13" s="28" t="str">
        <f>"—"</f>
        <v>—</v>
      </c>
      <c r="C13" s="28" t="str">
        <f>"—"</f>
        <v>—</v>
      </c>
      <c r="D13" s="28" t="str">
        <f>"—"</f>
        <v>—</v>
      </c>
      <c r="E13" s="28" t="str">
        <f>"—"</f>
        <v>—</v>
      </c>
      <c r="F13" s="28" t="str">
        <f>IF((target_income/(1-rate_usn_prof))*rate_usn_prof&lt;F4*min_tax_usn,"ДА","нет")</f>
        <v>нет</v>
      </c>
      <c r="G13" s="28" t="str">
        <f>"—"</f>
        <v>—</v>
      </c>
      <c r="H13" s="28" t="str">
        <f>IF((target_income/(1-rate_ausn_prof))*rate_ausn_prof&lt;H4*min_tax_ausn,"ДА","нет")</f>
        <v>нет</v>
      </c>
    </row>
    <row r="15">
      <c r="A15" s="2" t="inlineStr">
        <is>
          <t>ВСЕГО налогов и взносов</t>
        </is>
      </c>
      <c r="B15" s="58">
        <f>B8+B10+B11+B12</f>
        <v>102126.74869731208</v>
      </c>
      <c r="C15" s="58">
        <f>C8+C10+C11+C12</f>
        <v>80825.71408155975</v>
      </c>
      <c r="D15" s="58">
        <f>D8+D10+D11+D12</f>
        <v>123894.3996244719</v>
      </c>
      <c r="E15" s="58">
        <f>E8+E10+E11+E12</f>
        <v>123894.3996244719</v>
      </c>
      <c r="F15" s="58">
        <f>F8+F10+F11+F12</f>
        <v>303348.49411764706</v>
      </c>
      <c r="G15" s="58">
        <f>G8+G10+G11+G12</f>
        <v>168892.25361275527</v>
      </c>
      <c r="H15" s="58">
        <f>H8+H10+H11+H12</f>
        <v>330648.0</v>
      </c>
    </row>
    <row r="16">
      <c r="A16" t="inlineStr">
        <is>
          <t>Всего налогов и взносов, ₽/мес</t>
        </is>
      </c>
      <c r="B16" s="57">
        <f>B15/months</f>
        <v>8510.562391442674</v>
      </c>
      <c r="C16" s="57">
        <f>C15/months</f>
        <v>6735.476173463313</v>
      </c>
      <c r="D16" s="57">
        <f>D15/months</f>
        <v>10324.533302039325</v>
      </c>
      <c r="E16" s="57">
        <f>E15/months</f>
        <v>10324.533302039325</v>
      </c>
      <c r="F16" s="57">
        <f>F15/months</f>
        <v>25279.04117647059</v>
      </c>
      <c r="G16" s="57">
        <f>G15/months</f>
        <v>14074.354467729607</v>
      </c>
      <c r="H16" s="57">
        <f>H15/months</f>
        <v>27554.0</v>
      </c>
    </row>
    <row r="17">
      <c r="A17" s="2" t="inlineStr">
        <is>
          <t>Эффективная нагрузка</t>
        </is>
      </c>
      <c r="B17" s="59">
        <f>IF(B4=0,0,B15/B4)</f>
        <v>0.05</v>
      </c>
      <c r="C17" s="59">
        <f>IF(C4=0,0,C15/C4)</f>
        <v>0.04</v>
      </c>
      <c r="D17" s="59">
        <f>IF(D4=0,0,D15/D4)</f>
        <v>0.06</v>
      </c>
      <c r="E17" s="59">
        <f>IF(E4=0,0,E15/E4)</f>
        <v>0.06</v>
      </c>
      <c r="F17" s="59">
        <f>IF(F4=0,0,F15/F4)</f>
        <v>0.13486108415953352</v>
      </c>
      <c r="G17" s="59">
        <f>IF(G4=0,0,G15/G4)</f>
        <v>0.08</v>
      </c>
      <c r="H17" s="59">
        <f>IF(H4=0,0,H15/H4)</f>
        <v>0.1451867748132221</v>
      </c>
    </row>
    <row r="19">
      <c r="A19" s="2" t="inlineStr">
        <is>
          <t>ПОЛНАЯ СТАВКА ЧАСА, ₽/час</t>
        </is>
      </c>
      <c r="B19" s="48">
        <f>IF(shooting_time=0,0,B4/shooting_time)</f>
        <v>9429.986029299362</v>
      </c>
      <c r="C19" s="48">
        <f>IF(shooting_time=0,0,C4/shooting_time)</f>
        <v>9328.914367677718</v>
      </c>
      <c r="D19" s="48">
        <f>IF(shooting_time=0,0,D4/shooting_time)</f>
        <v>9533.27174703539</v>
      </c>
      <c r="E19" s="48">
        <f>IF(shooting_time=0,0,E4/shooting_time)</f>
        <v>9533.27174703539</v>
      </c>
      <c r="F19" s="48">
        <f>IF(shooting_time=0,0,F4/shooting_time)</f>
        <v>10384.766702206238</v>
      </c>
      <c r="G19" s="48">
        <f>IF(shooting_time=0,0,G4/shooting_time)</f>
        <v>9746.782872388925</v>
      </c>
      <c r="H19" s="48">
        <f>IF(shooting_time=0,0,H4/shooting_time)</f>
        <v>10514.300617847064</v>
      </c>
    </row>
    <row r="20">
      <c r="A20" s="2" t="inlineStr">
        <is>
          <t>Стоимость проекта, ₽</t>
        </is>
      </c>
      <c r="B20" s="48">
        <f>IF(projects_year=0,0,B4/projects_year)</f>
        <v>9429.986029299362</v>
      </c>
      <c r="C20" s="48">
        <f>IF(projects_year=0,0,C4/projects_year)</f>
        <v>9328.914367677718</v>
      </c>
      <c r="D20" s="48">
        <f>IF(projects_year=0,0,D4/projects_year)</f>
        <v>9533.27174703539</v>
      </c>
      <c r="E20" s="48">
        <f>IF(projects_year=0,0,E4/projects_year)</f>
        <v>9533.27174703539</v>
      </c>
      <c r="F20" s="48">
        <f>IF(projects_year=0,0,F4/projects_year)</f>
        <v>10384.766702206238</v>
      </c>
      <c r="G20" s="48">
        <f>IF(projects_year=0,0,G4/projects_year)</f>
        <v>9746.782872388925</v>
      </c>
      <c r="H20" s="48">
        <f>IF(projects_year=0,0,H4/projects_year)</f>
        <v>10514.300617847064</v>
      </c>
    </row>
    <row r="22">
      <c r="A22" t="inlineStr">
        <is>
          <t>Точка безубыточности, ₽/год</t>
        </is>
      </c>
      <c r="B22" s="60">
        <f>total_costs/((1-acquiring-site_divisor)-rate_npd_avg)</f>
        <v>609607.5633286901</v>
      </c>
      <c r="C22" s="60">
        <f>total_costs/((1-acquiring-site_divisor)-rate_npd_fiz)</f>
        <v>603073.7202061962</v>
      </c>
      <c r="D22" s="60">
        <f>total_costs/((1-acquiring-site_divisor)-rate_npd_ur)</f>
        <v>616284.5355447765</v>
      </c>
      <c r="E22" s="60">
        <f>MAX((total_costs+fixed_contrib-threshold_credit)/((1-acquiring-site_divisor)-extra_contrib),total_costs/((1-acquiring-site_divisor)-rate_usn_inc))</f>
        <v>640766.127676408</v>
      </c>
      <c r="F22" s="60">
        <f>(total_costs+fixed_contrib)/((1-acquiring-site_divisor)-min_tax_usn)</f>
        <v>643881.3924739158</v>
      </c>
      <c r="G22" s="60">
        <f>(total_costs+injury_contrib)/((1-acquiring-site_divisor)-rate_ausn_inc)</f>
        <v>630087.1007305498</v>
      </c>
      <c r="H22" s="60">
        <f>(total_costs+injury_contrib)/((1-acquiring-site_divisor)-min_tax_ausn)</f>
        <v>596678.4527596829</v>
      </c>
    </row>
    <row r="23">
      <c r="A23" t="inlineStr">
        <is>
          <t>ПРОВЕРКА безубыточности (=0)</t>
        </is>
      </c>
      <c r="B23" s="38">
        <f>B22-total_costs-B22*acquiring-B22*rate_npd_avg</f>
        <v>1.8189894035458565e-11</v>
      </c>
      <c r="C23" s="38">
        <f>C22-total_costs-C22*acquiring-C22*rate_npd_fiz</f>
        <v>7.275957614183426e-11</v>
      </c>
      <c r="D23" s="38">
        <f>D22-total_costs-D22*acquiring-D22*rate_npd_ur</f>
        <v>-5.093170329928398e-11</v>
      </c>
      <c r="E23" s="38">
        <f>E22-total_costs-E22*acquiring-MAX(fixed_contrib+MIN(MAX(0,E22-contrib_threshold)*extra_contrib,contrib_cap),E22*rate_usn_inc)</f>
        <v>-3.637978807091713e-11</v>
      </c>
      <c r="F23" s="38">
        <f>F22-total_costs-F22*acquiring-fixed_contrib-F22*min_tax_usn</f>
        <v>-3.54702933691442e-11</v>
      </c>
      <c r="G23" s="38">
        <f>G22-total_costs-G22*acquiring-G22*rate_ausn_inc</f>
        <v>-2.1827872842550278e-11</v>
      </c>
      <c r="H23" s="38">
        <f>H22-total_costs-H22*acquiring-H22*min_tax_ausn</f>
        <v>7.275957614183426e-12</v>
      </c>
    </row>
    <row r="24">
      <c r="A24" s="2" t="inlineStr">
        <is>
          <t>ПРОВЕРКА: остаётся на руки</t>
        </is>
      </c>
      <c r="B24" s="58">
        <f>B4-total_costs-B7-B15</f>
        <v>1322592.0</v>
      </c>
      <c r="C24" s="58">
        <f>C4-total_costs-C7-C15</f>
        <v>1322592.0000000002</v>
      </c>
      <c r="D24" s="58">
        <f>D4-total_costs-D7-D15</f>
        <v>1322592.0</v>
      </c>
      <c r="E24" s="58">
        <f>E4-total_costs-E7-E15</f>
        <v>1322592.0</v>
      </c>
      <c r="F24" s="58">
        <f>F4-total_costs-F7-F15</f>
        <v>1322592.0000000005</v>
      </c>
      <c r="G24" s="58">
        <f>G4-total_costs-G7-G15</f>
        <v>1322591.9999999998</v>
      </c>
      <c r="H24" s="58">
        <f>H4-total_costs-H7-H15</f>
        <v>1322592.0</v>
      </c>
    </row>
    <row r="25">
      <c r="A25" t="inlineStr">
        <is>
          <t>Контроль лимитов</t>
        </is>
      </c>
      <c r="B25" s="61" t="str">
        <f>IF(B4&gt;limit_npd,"! лимит НПД","ок")</f>
        <v>ок</v>
      </c>
      <c r="C25" s="61" t="str">
        <f>IF(C4&gt;limit_npd,"! лимит НПД","ок")</f>
        <v>ок</v>
      </c>
      <c r="D25" s="61" t="str">
        <f>IF(D4&gt;limit_npd,"! лимит НПД","ок")</f>
        <v>ок</v>
      </c>
      <c r="E25" s="61" t="str">
        <f>IF(E4&gt;vat_threshold,"! НДС","ок")</f>
        <v>ок</v>
      </c>
      <c r="F25" s="61" t="str">
        <f>IF(F4&gt;vat_threshold,"! НДС","ок")</f>
        <v>ок</v>
      </c>
      <c r="G25" s="61" t="str">
        <f>IF(G4&gt;limit_ausn,"! лимит АУСН","ок")</f>
        <v>ок</v>
      </c>
      <c r="H25" s="61" t="str">
        <f>IF(H4&gt;limit_ausn,"! лимит АУСН","ок")</f>
        <v>ок</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1"/>
  <sheetViews>
    <sheetView showGridLines="0"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13" customWidth="1" min="9" max="9"/>
    <col width="34" customWidth="1" min="11" max="11"/>
    <col width="13" customWidth="1" min="12" max="12"/>
    <col width="13" customWidth="1" min="13" max="13"/>
    <col width="13" customWidth="1" min="14" max="14"/>
  </cols>
  <sheetData>
    <row r="1">
      <c r="A1" s="1" t="inlineStr">
        <is>
          <t>06 · ОТЧЁТ — куда уходит каждый рубль с часа съёмки</t>
        </is>
      </c>
    </row>
    <row r="2">
      <c r="A2" s="25" t="inlineStr">
        <is>
          <t>Личный доход разложен по ролям: фотограф, ретушёр, менеджер, маркетолог, бухгалтер. Расходы — по назначению.</t>
        </is>
      </c>
    </row>
    <row r="4">
      <c r="A4" s="3" t="inlineStr">
        <is>
          <t>1 · ВАШ ЛИЧНЫЙ ДОХОД ПО РОЛЯМ  (ставка любого рабочего часа = доход / чистое время)</t>
        </is>
      </c>
    </row>
    <row r="5" ht="26" customHeight="1">
      <c r="A5" s="44" t="inlineStr">
        <is>
          <t>Статья</t>
        </is>
      </c>
      <c r="B5" s="44" t="inlineStr">
        <is>
          <t>₽/год</t>
        </is>
      </c>
      <c r="C5" s="44" t="inlineStr">
        <is>
          <t>₽/месяц</t>
        </is>
      </c>
      <c r="D5" s="44" t="inlineStr">
        <is>
          <t>₽/съём. час</t>
        </is>
      </c>
      <c r="E5" s="44" t="inlineStr">
        <is>
          <t>₽/проект</t>
        </is>
      </c>
      <c r="F5" s="44" t="inlineStr">
        <is>
          <t>доля</t>
        </is>
      </c>
      <c r="G5" s="44" t="inlineStr">
        <is>
          <t>часов/год</t>
        </is>
      </c>
    </row>
    <row r="6">
      <c r="A6" t="inlineStr">
        <is>
          <t>Как ФОТОГРАФ — работа на площадке</t>
        </is>
      </c>
      <c r="B6" s="57">
        <f>(target_income/net_time)*shooting_time</f>
        <v>186871.1201565558</v>
      </c>
      <c r="C6" s="57">
        <f>IF(months=0,0,B6/months)</f>
        <v>15572.593346379648</v>
      </c>
      <c r="D6" s="57">
        <f>IF(shooting_time=0,0,B6/shooting_time)</f>
        <v>862.747553816047</v>
      </c>
      <c r="E6" s="57">
        <f>IF(projects_year=0,0,B6/projects_year)</f>
        <v>862.747553816047</v>
      </c>
      <c r="F6" s="62">
        <f>IF((CHOOSE(regime_no,'05_Расчёт'!B4,'05_Расчёт'!C4,'05_Расчёт'!D4,'05_Расчёт'!E4,'05_Расчёт'!F4,'05_Расчёт'!G4,'05_Расчёт'!H4))=0,0,B6/(CHOOSE(regime_no,'05_Расчёт'!B4,'05_Расчёт'!C4,'05_Расчёт'!D4,'05_Расчёт'!E4,'05_Расчёт'!F4,'05_Расчёт'!G4,'05_Расчёт'!H4)))</f>
        <v>0.09148980190802555</v>
      </c>
      <c r="G6" s="63">
        <f>shooting_time</f>
        <v>216.6</v>
      </c>
    </row>
    <row r="7">
      <c r="A7" t="inlineStr">
        <is>
          <t>Как РЕТУШЁР — обработка материала</t>
        </is>
      </c>
      <c r="B7" s="57">
        <f>(target_income/net_time)*post_time</f>
        <v>560613.3604696674</v>
      </c>
      <c r="C7" s="57">
        <f>IF(months=0,0,B7/months)</f>
        <v>46717.78003913895</v>
      </c>
      <c r="D7" s="57">
        <f>IF(shooting_time=0,0,B7/shooting_time)</f>
        <v>2588.242661448141</v>
      </c>
      <c r="E7" s="57">
        <f>IF(projects_year=0,0,B7/projects_year)</f>
        <v>2588.242661448141</v>
      </c>
      <c r="F7" s="62">
        <f>IF((CHOOSE(regime_no,'05_Расчёт'!B4,'05_Расчёт'!C4,'05_Расчёт'!D4,'05_Расчёт'!E4,'05_Расчёт'!F4,'05_Расчёт'!G4,'05_Расчёт'!H4))=0,0,B7/(CHOOSE(regime_no,'05_Расчёт'!B4,'05_Расчёт'!C4,'05_Расчёт'!D4,'05_Расчёт'!E4,'05_Расчёт'!F4,'05_Расчёт'!G4,'05_Расчёт'!H4)))</f>
        <v>0.2744694057240767</v>
      </c>
      <c r="G7" s="63">
        <f>post_time</f>
        <v>649.8</v>
      </c>
    </row>
    <row r="8">
      <c r="A8" t="inlineStr">
        <is>
          <t>Как МЕНЕДЖЕР — работа с клиентом</t>
        </is>
      </c>
      <c r="B8" s="57">
        <f>(target_income/net_time)*client_total</f>
        <v>186871.1201565558</v>
      </c>
      <c r="C8" s="57">
        <f>IF(months=0,0,B8/months)</f>
        <v>15572.593346379648</v>
      </c>
      <c r="D8" s="57">
        <f>IF(shooting_time=0,0,B8/shooting_time)</f>
        <v>862.747553816047</v>
      </c>
      <c r="E8" s="57">
        <f>IF(projects_year=0,0,B8/projects_year)</f>
        <v>862.747553816047</v>
      </c>
      <c r="F8" s="62">
        <f>IF((CHOOSE(regime_no,'05_Расчёт'!B4,'05_Расчёт'!C4,'05_Расчёт'!D4,'05_Расчёт'!E4,'05_Расчёт'!F4,'05_Расчёт'!G4,'05_Расчёт'!H4))=0,0,B8/(CHOOSE(regime_no,'05_Расчёт'!B4,'05_Расчёт'!C4,'05_Расчёт'!D4,'05_Расчёт'!E4,'05_Расчёт'!F4,'05_Расчёт'!G4,'05_Расчёт'!H4)))</f>
        <v>0.09148980190802555</v>
      </c>
      <c r="G8" s="63">
        <f>client_total</f>
        <v>216.6</v>
      </c>
    </row>
    <row r="9">
      <c r="A9" t="inlineStr">
        <is>
          <t>Как МАРКЕТОЛОГ — продвижение</t>
        </is>
      </c>
      <c r="B9" s="57">
        <f>(target_income/net_time)*promo_time</f>
        <v>377883.4285714286</v>
      </c>
      <c r="C9" s="57">
        <f>IF(months=0,0,B9/months)</f>
        <v>31490.285714285714</v>
      </c>
      <c r="D9" s="57">
        <f>IF(shooting_time=0,0,B9/shooting_time)</f>
        <v>1744.6141669964386</v>
      </c>
      <c r="E9" s="57">
        <f>IF(projects_year=0,0,B9/projects_year)</f>
        <v>1744.6141669964386</v>
      </c>
      <c r="F9" s="62">
        <f>IF((CHOOSE(regime_no,'05_Расчёт'!B4,'05_Расчёт'!C4,'05_Расчёт'!D4,'05_Расчёт'!E4,'05_Расчёт'!F4,'05_Расчёт'!G4,'05_Расчёт'!H4))=0,0,B9/(CHOOSE(regime_no,'05_Расчёт'!B4,'05_Расчёт'!C4,'05_Расчёт'!D4,'05_Расчёт'!E4,'05_Расчёт'!F4,'05_Расчёт'!G4,'05_Расчёт'!H4)))</f>
        <v>0.18500707865057797</v>
      </c>
      <c r="G9" s="63">
        <f>promo_time</f>
        <v>438.0</v>
      </c>
    </row>
    <row r="10">
      <c r="A10" t="inlineStr">
        <is>
          <t>Как БУХГАЛТЕР — учёт и отчётность</t>
        </is>
      </c>
      <c r="B10" s="57">
        <f>(target_income/net_time)*accounting_time</f>
        <v>10352.970645792564</v>
      </c>
      <c r="C10" s="57">
        <f>IF(months=0,0,B10/months)</f>
        <v>862.747553816047</v>
      </c>
      <c r="D10" s="57">
        <f>IF(shooting_time=0,0,B10/shooting_time)</f>
        <v>47.79764841086133</v>
      </c>
      <c r="E10" s="57">
        <f>IF(projects_year=0,0,B10/projects_year)</f>
        <v>47.79764841086133</v>
      </c>
      <c r="F10" s="62">
        <f>IF((CHOOSE(regime_no,'05_Расчёт'!B4,'05_Расчёт'!C4,'05_Расчёт'!D4,'05_Расчёт'!E4,'05_Расчёт'!F4,'05_Расчёт'!G4,'05_Расчёт'!H4))=0,0,B10/(CHOOSE(regime_no,'05_Расчёт'!B4,'05_Расчёт'!C4,'05_Расчёт'!D4,'05_Расчёт'!E4,'05_Расчёт'!F4,'05_Расчёт'!G4,'05_Расчёт'!H4)))</f>
        <v>0.005068687086317205</v>
      </c>
      <c r="G10" s="63">
        <f>accounting_time</f>
        <v>12.0</v>
      </c>
    </row>
    <row r="11">
      <c r="A11" t="inlineStr">
        <is>
          <t>Компенсация форс-мажоров</t>
        </is>
      </c>
      <c r="B11" s="57">
        <f>(target_income/net_time)*fm_time</f>
        <v>0.0</v>
      </c>
      <c r="C11" s="57">
        <f>IF(months=0,0,B11/months)</f>
        <v>0.0</v>
      </c>
      <c r="D11" s="57">
        <f>IF(shooting_time=0,0,B11/shooting_time)</f>
        <v>0.0</v>
      </c>
      <c r="E11" s="57">
        <f>IF(projects_year=0,0,B11/projects_year)</f>
        <v>0.0</v>
      </c>
      <c r="F11" s="62">
        <f>IF((CHOOSE(regime_no,'05_Расчёт'!B4,'05_Расчёт'!C4,'05_Расчёт'!D4,'05_Расчёт'!E4,'05_Расчёт'!F4,'05_Расчёт'!G4,'05_Расчёт'!H4))=0,0,B11/(CHOOSE(regime_no,'05_Расчёт'!B4,'05_Расчёт'!C4,'05_Расчёт'!D4,'05_Расчёт'!E4,'05_Расчёт'!F4,'05_Расчёт'!G4,'05_Расчёт'!H4)))</f>
        <v>0.0</v>
      </c>
      <c r="G11" s="63">
        <f>fm_time</f>
        <v>0.0</v>
      </c>
    </row>
    <row r="12">
      <c r="A12" s="2" t="inlineStr">
        <is>
          <t>ИТОГО НА РУКИ</t>
        </is>
      </c>
      <c r="B12" s="48">
        <f>target_income</f>
        <v>1322592.0</v>
      </c>
      <c r="C12" s="55">
        <f>IF(months=0,0,B12/months)</f>
        <v>110216.0</v>
      </c>
      <c r="D12" s="55">
        <f>IF(shooting_time=0,0,B12/shooting_time)</f>
        <v>6106.149584487534</v>
      </c>
      <c r="E12" s="55">
        <f>IF(projects_year=0,0,B12/projects_year)</f>
        <v>6106.149584487534</v>
      </c>
      <c r="F12" s="62">
        <f>IF((CHOOSE(regime_no,'05_Расчёт'!B4,'05_Расчёт'!C4,'05_Расчёт'!D4,'05_Расчёт'!E4,'05_Расчёт'!F4,'05_Расчёт'!G4,'05_Расчёт'!H4))=0,0,B12/(CHOOSE(regime_no,'05_Расчёт'!B4,'05_Расчёт'!C4,'05_Расчёт'!D4,'05_Расчёт'!E4,'05_Расчёт'!F4,'05_Расчёт'!G4,'05_Расчёт'!H4)))</f>
        <v>0.6475247752770229</v>
      </c>
      <c r="G12" s="63">
        <f>net_time</f>
        <v>1533.0</v>
      </c>
    </row>
    <row r="14">
      <c r="A14" s="3" t="inlineStr">
        <is>
          <t>2 · ОТЛОЖИТЬ НА ВОССТАНОВЛЕНИЕ ВЛОЖЕНИЙ  (амортизация)</t>
        </is>
      </c>
    </row>
    <row r="15" ht="26" customHeight="1">
      <c r="A15" s="44" t="inlineStr">
        <is>
          <t>Статья</t>
        </is>
      </c>
      <c r="B15" s="44" t="inlineStr">
        <is>
          <t>₽/год</t>
        </is>
      </c>
      <c r="C15" s="44" t="inlineStr">
        <is>
          <t>₽/месяц</t>
        </is>
      </c>
      <c r="D15" s="44" t="inlineStr">
        <is>
          <t>₽/съём. час</t>
        </is>
      </c>
      <c r="E15" s="44" t="inlineStr">
        <is>
          <t>₽/проект</t>
        </is>
      </c>
      <c r="F15" s="44" t="inlineStr">
        <is>
          <t>доля</t>
        </is>
      </c>
      <c r="G15" s="44" t="inlineStr">
        <is>
          <t>часов/год</t>
        </is>
      </c>
    </row>
    <row r="16">
      <c r="A16" t="inlineStr">
        <is>
          <t>На съёмочное оборудование</t>
        </is>
      </c>
      <c r="B16" s="57">
        <f>dep_shoot</f>
        <v>107759.99047619046</v>
      </c>
      <c r="C16" s="57">
        <f>IF(months=0,0,B16/months)</f>
        <v>8979.999206349205</v>
      </c>
      <c r="D16" s="57">
        <f>IF(shooting_time=0,0,B16/shooting_time)</f>
        <v>497.5068812381831</v>
      </c>
      <c r="E16" s="57">
        <f>IF(projects_year=0,0,B16/projects_year)</f>
        <v>497.5068812381831</v>
      </c>
      <c r="F16" s="62">
        <f>IF((CHOOSE(regime_no,'05_Расчёт'!B4,'05_Расчёт'!C4,'05_Расчёт'!D4,'05_Расчёт'!E4,'05_Расчёт'!F4,'05_Расчёт'!G4,'05_Расчёт'!H4))=0,0,B16/(CHOOSE(regime_no,'05_Расчёт'!B4,'05_Расчёт'!C4,'05_Расчёт'!D4,'05_Расчёт'!E4,'05_Расчёт'!F4,'05_Расчёт'!G4,'05_Расчёт'!H4)))</f>
        <v>0.05275796588588874</v>
      </c>
    </row>
    <row r="17">
      <c r="A17" t="inlineStr">
        <is>
          <t>На офисное оборудование</t>
        </is>
      </c>
      <c r="B17" s="57">
        <f>dep_office</f>
        <v>65732.93333333333</v>
      </c>
      <c r="C17" s="57">
        <f>IF(months=0,0,B17/months)</f>
        <v>5477.7444444444445</v>
      </c>
      <c r="D17" s="57">
        <f>IF(shooting_time=0,0,B17/shooting_time)</f>
        <v>303.47614650661745</v>
      </c>
      <c r="E17" s="57">
        <f>IF(projects_year=0,0,B17/projects_year)</f>
        <v>303.47614650661745</v>
      </c>
      <c r="F17" s="62">
        <f>IF((CHOOSE(regime_no,'05_Расчёт'!B4,'05_Расчёт'!C4,'05_Расчёт'!D4,'05_Расчёт'!E4,'05_Расчёт'!F4,'05_Расчёт'!G4,'05_Расчёт'!H4))=0,0,B17/(CHOOSE(regime_no,'05_Расчёт'!B4,'05_Расчёт'!C4,'05_Расчёт'!D4,'05_Расчёт'!E4,'05_Расчёт'!F4,'05_Расчёт'!G4,'05_Расчёт'!H4)))</f>
        <v>0.03218203564286356</v>
      </c>
    </row>
    <row r="18">
      <c r="A18" t="inlineStr">
        <is>
          <t>На ПО (разовые покупки)</t>
        </is>
      </c>
      <c r="B18" s="57">
        <f>dep_software</f>
        <v>11500.0</v>
      </c>
      <c r="C18" s="57">
        <f>IF(months=0,0,B18/months)</f>
        <v>958.3333333333334</v>
      </c>
      <c r="D18" s="57">
        <f>IF(shooting_time=0,0,B18/shooting_time)</f>
        <v>53.093259464450604</v>
      </c>
      <c r="E18" s="57">
        <f>IF(projects_year=0,0,B18/projects_year)</f>
        <v>53.093259464450604</v>
      </c>
      <c r="F18" s="62">
        <f>IF((CHOOSE(regime_no,'05_Расчёт'!B4,'05_Расчёт'!C4,'05_Расчёт'!D4,'05_Расчёт'!E4,'05_Расчёт'!F4,'05_Расчёт'!G4,'05_Расчёт'!H4))=0,0,B18/(CHOOSE(regime_no,'05_Расчёт'!B4,'05_Расчёт'!C4,'05_Расчёт'!D4,'05_Расчёт'!E4,'05_Расчёт'!F4,'05_Расчёт'!G4,'05_Расчёт'!H4)))</f>
        <v>0.005630258549640224</v>
      </c>
    </row>
    <row r="19">
      <c r="A19" t="inlineStr">
        <is>
          <t>На обустройство рабочего места</t>
        </is>
      </c>
      <c r="B19" s="57">
        <f>dep_workspace</f>
        <v>9285.714285714286</v>
      </c>
      <c r="C19" s="57">
        <f>IF(months=0,0,B19/months)</f>
        <v>773.8095238095239</v>
      </c>
      <c r="D19" s="57">
        <f>IF(shooting_time=0,0,B19/shooting_time)</f>
        <v>42.870333729059496</v>
      </c>
      <c r="E19" s="57">
        <f>IF(projects_year=0,0,B19/projects_year)</f>
        <v>42.870333729059496</v>
      </c>
      <c r="F19" s="62">
        <f>IF((CHOOSE(regime_no,'05_Расчёт'!B4,'05_Расчёт'!C4,'05_Расчёт'!D4,'05_Расчёт'!E4,'05_Расчёт'!F4,'05_Расчёт'!G4,'05_Расчёт'!H4))=0,0,B19/(CHOOSE(regime_no,'05_Расчёт'!B4,'05_Расчёт'!C4,'05_Расчёт'!D4,'05_Расчёт'!E4,'05_Расчёт'!F4,'05_Расчёт'!G4,'05_Расчёт'!H4)))</f>
        <v>0.0045461714997094985</v>
      </c>
    </row>
    <row r="20">
      <c r="A20" t="inlineStr">
        <is>
          <t>На обучение</t>
        </is>
      </c>
      <c r="B20" s="57">
        <f>dep_education</f>
        <v>74409.14285714286</v>
      </c>
      <c r="C20" s="57">
        <f>IF(months=0,0,B20/months)</f>
        <v>6200.761904761905</v>
      </c>
      <c r="D20" s="57">
        <f>IF(shooting_time=0,0,B20/shooting_time)</f>
        <v>343.5325154992745</v>
      </c>
      <c r="E20" s="57">
        <f>IF(projects_year=0,0,B20/projects_year)</f>
        <v>343.5325154992745</v>
      </c>
      <c r="F20" s="62">
        <f>IF((CHOOSE(regime_no,'05_Расчёт'!B4,'05_Расчёт'!C4,'05_Расчёт'!D4,'05_Расчёт'!E4,'05_Расчёт'!F4,'05_Расчёт'!G4,'05_Расчёт'!H4))=0,0,B20/(CHOOSE(regime_no,'05_Расчёт'!B4,'05_Расчёт'!C4,'05_Расчёт'!D4,'05_Расчёт'!E4,'05_Расчёт'!F4,'05_Расчёт'!G4,'05_Расчёт'!H4)))</f>
        <v>0.03642980110807212</v>
      </c>
    </row>
    <row r="21">
      <c r="A21" t="inlineStr">
        <is>
          <t>На сайт</t>
        </is>
      </c>
      <c r="B21" s="57">
        <f>dep_website</f>
        <v>10000.0</v>
      </c>
      <c r="C21" s="57">
        <f>IF(months=0,0,B21/months)</f>
        <v>833.3333333333334</v>
      </c>
      <c r="D21" s="57">
        <f>IF(shooting_time=0,0,B21/shooting_time)</f>
        <v>46.16805170821792</v>
      </c>
      <c r="E21" s="57">
        <f>IF(projects_year=0,0,B21/projects_year)</f>
        <v>46.16805170821792</v>
      </c>
      <c r="F21" s="62">
        <f>IF((CHOOSE(regime_no,'05_Расчёт'!B4,'05_Расчёт'!C4,'05_Расчёт'!D4,'05_Расчёт'!E4,'05_Расчёт'!F4,'05_Расчёт'!G4,'05_Расчёт'!H4))=0,0,B21/(CHOOSE(regime_no,'05_Расчёт'!B4,'05_Расчёт'!C4,'05_Расчёт'!D4,'05_Расчёт'!E4,'05_Расчёт'!F4,'05_Расчёт'!G4,'05_Расчёт'!H4)))</f>
        <v>0.004895876999687152</v>
      </c>
    </row>
    <row r="22">
      <c r="A22" s="2" t="inlineStr">
        <is>
          <t>ИТОГО амортизация</t>
        </is>
      </c>
      <c r="B22" s="58">
        <f>investment</f>
        <v>278687.78095238097</v>
      </c>
      <c r="C22" s="38">
        <f>IF(months=0,0,B22/months)</f>
        <v>23223.981746031746</v>
      </c>
      <c r="D22" s="38">
        <f>IF(shooting_time=0,0,B22/shooting_time)</f>
        <v>1286.6471881458033</v>
      </c>
      <c r="E22" s="38">
        <f>IF(projects_year=0,0,B22/projects_year)</f>
        <v>1286.6471881458033</v>
      </c>
      <c r="F22" s="62">
        <f>IF((CHOOSE(regime_no,'05_Расчёт'!B4,'05_Расчёт'!C4,'05_Расчёт'!D4,'05_Расчёт'!E4,'05_Расчёт'!F4,'05_Расчёт'!G4,'05_Расчёт'!H4))=0,0,B22/(CHOOSE(regime_no,'05_Расчёт'!B4,'05_Расчёт'!C4,'05_Расчёт'!D4,'05_Расчёт'!E4,'05_Расчёт'!F4,'05_Расчёт'!G4,'05_Расчёт'!H4)))</f>
        <v>0.13644210968586132</v>
      </c>
    </row>
    <row r="24">
      <c r="A24" s="3" t="inlineStr">
        <is>
          <t>3 · РЕГУЛЯРНЫЕ РАСХОДЫ</t>
        </is>
      </c>
    </row>
    <row r="25" ht="26" customHeight="1">
      <c r="A25" s="44" t="inlineStr">
        <is>
          <t>Статья</t>
        </is>
      </c>
      <c r="B25" s="44" t="inlineStr">
        <is>
          <t>₽/год</t>
        </is>
      </c>
      <c r="C25" s="44" t="inlineStr">
        <is>
          <t>₽/месяц</t>
        </is>
      </c>
      <c r="D25" s="44" t="inlineStr">
        <is>
          <t>₽/съём. час</t>
        </is>
      </c>
      <c r="E25" s="44" t="inlineStr">
        <is>
          <t>₽/проект</t>
        </is>
      </c>
      <c r="F25" s="44" t="inlineStr">
        <is>
          <t>доля</t>
        </is>
      </c>
      <c r="G25" s="44" t="inlineStr">
        <is>
          <t>часов/год</t>
        </is>
      </c>
    </row>
    <row r="26">
      <c r="A26" t="inlineStr">
        <is>
          <t>Подписки на ПО</t>
        </is>
      </c>
      <c r="B26" s="57">
        <f>var_software</f>
        <v>27000.0</v>
      </c>
      <c r="C26" s="57">
        <f>IF(months=0,0,B26/months)</f>
        <v>2250.0</v>
      </c>
      <c r="D26" s="57">
        <f>IF(shooting_time=0,0,B26/shooting_time)</f>
        <v>124.65373961218837</v>
      </c>
      <c r="E26" s="57">
        <f>IF(projects_year=0,0,B26/projects_year)</f>
        <v>124.65373961218837</v>
      </c>
      <c r="F26" s="62">
        <f>IF((CHOOSE(regime_no,'05_Расчёт'!B4,'05_Расчёт'!C4,'05_Расчёт'!D4,'05_Расчёт'!E4,'05_Расчёт'!F4,'05_Расчёт'!G4,'05_Расчёт'!H4))=0,0,B26/(CHOOSE(regime_no,'05_Расчёт'!B4,'05_Расчёт'!C4,'05_Расчёт'!D4,'05_Расчёт'!E4,'05_Расчёт'!F4,'05_Расчёт'!G4,'05_Расчёт'!H4)))</f>
        <v>0.01321886789915531</v>
      </c>
    </row>
    <row r="27">
      <c r="A27" t="inlineStr">
        <is>
          <t>Реклама и продвижение</t>
        </is>
      </c>
      <c r="B27" s="57">
        <f>var_ads</f>
        <v>187500.0</v>
      </c>
      <c r="C27" s="57">
        <f>IF(months=0,0,B27/months)</f>
        <v>15625.0</v>
      </c>
      <c r="D27" s="57">
        <f>IF(shooting_time=0,0,B27/shooting_time)</f>
        <v>865.6509695290858</v>
      </c>
      <c r="E27" s="57">
        <f>IF(projects_year=0,0,B27/projects_year)</f>
        <v>865.6509695290858</v>
      </c>
      <c r="F27" s="62">
        <f>IF((CHOOSE(regime_no,'05_Расчёт'!B4,'05_Расчёт'!C4,'05_Расчёт'!D4,'05_Расчёт'!E4,'05_Расчёт'!F4,'05_Расчёт'!G4,'05_Расчёт'!H4))=0,0,B27/(CHOOSE(regime_no,'05_Расчёт'!B4,'05_Расчёт'!C4,'05_Расчёт'!D4,'05_Расчёт'!E4,'05_Расчёт'!F4,'05_Расчёт'!G4,'05_Расчёт'!H4)))</f>
        <v>0.09179769374413409</v>
      </c>
    </row>
    <row r="28">
      <c r="A28" t="inlineStr">
        <is>
          <t>Банк: РКО и СМС</t>
        </is>
      </c>
      <c r="B28" s="57">
        <f>var_bank</f>
        <v>1800.0</v>
      </c>
      <c r="C28" s="57">
        <f>IF(months=0,0,B28/months)</f>
        <v>150.0</v>
      </c>
      <c r="D28" s="57">
        <f>IF(shooting_time=0,0,B28/shooting_time)</f>
        <v>8.310249307479225</v>
      </c>
      <c r="E28" s="57">
        <f>IF(projects_year=0,0,B28/projects_year)</f>
        <v>8.310249307479225</v>
      </c>
      <c r="F28" s="62">
        <f>IF((CHOOSE(regime_no,'05_Расчёт'!B4,'05_Расчёт'!C4,'05_Расчёт'!D4,'05_Расчёт'!E4,'05_Расчёт'!F4,'05_Расчёт'!G4,'05_Расчёт'!H4))=0,0,B28/(CHOOSE(regime_no,'05_Расчёт'!B4,'05_Расчёт'!C4,'05_Расчёт'!D4,'05_Расчёт'!E4,'05_Расчёт'!F4,'05_Расчёт'!G4,'05_Расчёт'!H4)))</f>
        <v>0.0008812578599436873</v>
      </c>
    </row>
    <row r="29">
      <c r="A29" t="inlineStr">
        <is>
          <t>Бухгалтер (0 = веду самостоятельно)</t>
        </is>
      </c>
      <c r="B29" s="57">
        <f>var_accounting</f>
        <v>0.0</v>
      </c>
      <c r="C29" s="57">
        <f>IF(months=0,0,B29/months)</f>
        <v>0.0</v>
      </c>
      <c r="D29" s="57">
        <f>IF(shooting_time=0,0,B29/shooting_time)</f>
        <v>0.0</v>
      </c>
      <c r="E29" s="57">
        <f>IF(projects_year=0,0,B29/projects_year)</f>
        <v>0.0</v>
      </c>
      <c r="F29" s="62">
        <f>IF((CHOOSE(regime_no,'05_Расчёт'!B4,'05_Расчёт'!C4,'05_Расчёт'!D4,'05_Расчёт'!E4,'05_Расчёт'!F4,'05_Расчёт'!G4,'05_Расчёт'!H4))=0,0,B29/(CHOOSE(regime_no,'05_Расчёт'!B4,'05_Расчёт'!C4,'05_Расчёт'!D4,'05_Расчёт'!E4,'05_Расчёт'!F4,'05_Расчёт'!G4,'05_Расчёт'!H4)))</f>
        <v>0.0</v>
      </c>
    </row>
    <row r="30">
      <c r="A30" t="inlineStr">
        <is>
          <t>Аренда и коммунальные</t>
        </is>
      </c>
      <c r="B30" s="57">
        <f>var_workspace</f>
        <v>67680.0</v>
      </c>
      <c r="C30" s="57">
        <f>IF(months=0,0,B30/months)</f>
        <v>5640.0</v>
      </c>
      <c r="D30" s="57">
        <f>IF(shooting_time=0,0,B30/shooting_time)</f>
        <v>312.46537396121886</v>
      </c>
      <c r="E30" s="57">
        <f>IF(projects_year=0,0,B30/projects_year)</f>
        <v>312.46537396121886</v>
      </c>
      <c r="F30" s="62">
        <f>IF((CHOOSE(regime_no,'05_Расчёт'!B4,'05_Расчёт'!C4,'05_Расчёт'!D4,'05_Расчёт'!E4,'05_Расчёт'!F4,'05_Расчёт'!G4,'05_Расчёт'!H4))=0,0,B30/(CHOOSE(regime_no,'05_Расчёт'!B4,'05_Расчёт'!C4,'05_Расчёт'!D4,'05_Расчёт'!E4,'05_Расчёт'!F4,'05_Расчёт'!G4,'05_Расчёт'!H4)))</f>
        <v>0.03313529553388264</v>
      </c>
    </row>
    <row r="31">
      <c r="A31" s="2" t="inlineStr">
        <is>
          <t>ИТОГО переменные</t>
        </is>
      </c>
      <c r="B31" s="58">
        <f>variable_costs</f>
        <v>283980.0</v>
      </c>
      <c r="C31" s="38">
        <f>IF(months=0,0,B31/months)</f>
        <v>23665.0</v>
      </c>
      <c r="D31" s="38">
        <f>IF(shooting_time=0,0,B31/shooting_time)</f>
        <v>1311.0803324099722</v>
      </c>
      <c r="E31" s="38">
        <f>IF(projects_year=0,0,B31/projects_year)</f>
        <v>1311.0803324099722</v>
      </c>
      <c r="F31" s="62">
        <f>IF((CHOOSE(regime_no,'05_Расчёт'!B4,'05_Расчёт'!C4,'05_Расчёт'!D4,'05_Расчёт'!E4,'05_Расчёт'!F4,'05_Расчёт'!G4,'05_Расчёт'!H4))=0,0,B31/(CHOOSE(regime_no,'05_Расчёт'!B4,'05_Расчёт'!C4,'05_Расчёт'!D4,'05_Расчёт'!E4,'05_Расчёт'!F4,'05_Расчёт'!G4,'05_Расчёт'!H4)))</f>
        <v>0.13903311503711574</v>
      </c>
    </row>
    <row r="33">
      <c r="A33" s="3" t="inlineStr">
        <is>
          <t>4 · ГОСУДАРСТВУ И БАНКУ</t>
        </is>
      </c>
    </row>
    <row r="34" ht="26" customHeight="1">
      <c r="A34" s="44" t="inlineStr">
        <is>
          <t>Статья</t>
        </is>
      </c>
      <c r="B34" s="44" t="inlineStr">
        <is>
          <t>₽/год</t>
        </is>
      </c>
      <c r="C34" s="44" t="inlineStr">
        <is>
          <t>₽/месяц</t>
        </is>
      </c>
      <c r="D34" s="44" t="inlineStr">
        <is>
          <t>₽/съём. час</t>
        </is>
      </c>
      <c r="E34" s="44" t="inlineStr">
        <is>
          <t>₽/проект</t>
        </is>
      </c>
      <c r="F34" s="44" t="inlineStr">
        <is>
          <t>доля</t>
        </is>
      </c>
      <c r="G34" s="44" t="inlineStr">
        <is>
          <t>часов/год</t>
        </is>
      </c>
    </row>
    <row r="35">
      <c r="A35" t="inlineStr">
        <is>
          <t>Налог и страховые взносы</t>
        </is>
      </c>
      <c r="B35" s="57">
        <f>CHOOSE(regime_no,'05_Расчёт'!B15,'05_Расчёт'!C15,'05_Расчёт'!D15,'05_Расчёт'!E15,'05_Расчёт'!F15,'05_Расчёт'!G15,'05_Расчёт'!H15)</f>
        <v>102126.74869731208</v>
      </c>
      <c r="C35" s="57">
        <f>IF(months=0,0,B35/months)</f>
        <v>8510.562391442674</v>
      </c>
      <c r="D35" s="57">
        <f>IF(shooting_time=0,0,B35/shooting_time)</f>
        <v>471.4993014649681</v>
      </c>
      <c r="E35" s="57">
        <f>IF(projects_year=0,0,B35/projects_year)</f>
        <v>471.4993014649681</v>
      </c>
      <c r="F35" s="62">
        <f>IF((CHOOSE(regime_no,'05_Расчёт'!B4,'05_Расчёт'!C4,'05_Расчёт'!D4,'05_Расчёт'!E4,'05_Расчёт'!F4,'05_Расчёт'!G4,'05_Расчёт'!H4))=0,0,B35/(CHOOSE(regime_no,'05_Расчёт'!B4,'05_Расчёт'!C4,'05_Расчёт'!D4,'05_Расчёт'!E4,'05_Расчёт'!F4,'05_Расчёт'!G4,'05_Расчёт'!H4)))</f>
        <v>0.05</v>
      </c>
    </row>
    <row r="36">
      <c r="A36" t="inlineStr">
        <is>
          <t>Эквайринг (комиссия банка)</t>
        </is>
      </c>
      <c r="B36" s="57">
        <f>(CHOOSE(regime_no,'05_Расчёт'!B4,'05_Расчёт'!C4,'05_Расчёт'!D4,'05_Расчёт'!E4,'05_Расчёт'!F4,'05_Расчёт'!G4,'05_Расчёт'!H4))*acquiring</f>
        <v>55148.44429654852</v>
      </c>
      <c r="C36" s="57">
        <f>IF(months=0,0,B36/months)</f>
        <v>4595.703691379043</v>
      </c>
      <c r="D36" s="57">
        <f>IF(shooting_time=0,0,B36/shooting_time)</f>
        <v>254.60962279108276</v>
      </c>
      <c r="E36" s="57">
        <f>IF(projects_year=0,0,B36/projects_year)</f>
        <v>254.60962279108276</v>
      </c>
      <c r="F36" s="62">
        <f>IF((CHOOSE(regime_no,'05_Расчёт'!B4,'05_Расчёт'!C4,'05_Расчёт'!D4,'05_Расчёт'!E4,'05_Расчёт'!F4,'05_Расчёт'!G4,'05_Расчёт'!H4))=0,0,B36/(CHOOSE(regime_no,'05_Расчёт'!B4,'05_Расчёт'!C4,'05_Расчёт'!D4,'05_Расчёт'!E4,'05_Расчёт'!F4,'05_Расчёт'!G4,'05_Расчёт'!H4)))</f>
        <v>0.027</v>
      </c>
    </row>
    <row r="38">
      <c r="A38" s="2" t="inlineStr">
        <is>
          <t>ВСЕГО = ВЫРУЧКА</t>
        </is>
      </c>
      <c r="B38" s="48">
        <f>CHOOSE(regime_no,'05_Расчёт'!B4,'05_Расчёт'!C4,'05_Расчёт'!D4,'05_Расчёт'!E4,'05_Расчёт'!F4,'05_Расчёт'!G4,'05_Расчёт'!H4)</f>
        <v>2042534.9739462417</v>
      </c>
      <c r="C38" s="48">
        <f>IF(months=0,0,B38/months)</f>
        <v>170211.24782885346</v>
      </c>
      <c r="D38" s="48">
        <f>IF(shooting_time=0,0,B38/shooting_time)</f>
        <v>9429.986029299362</v>
      </c>
      <c r="E38" s="48">
        <f>IF(projects_year=0,0,B38/projects_year)</f>
        <v>9429.986029299362</v>
      </c>
      <c r="F38" s="50">
        <f>1</f>
        <v>1.0</v>
      </c>
    </row>
    <row r="39">
      <c r="A39" s="2" t="inlineStr">
        <is>
          <t>Сверка: сумма всех статей</t>
        </is>
      </c>
      <c r="B39" s="64" t="str">
        <f>IF(ABS(B12+investment+variable_costs+B35+B36-B38)&lt;1,"OK — сходится до рубля","РАСХОЖДЕНИЕ")</f>
        <v>OK — сходится до рубля</v>
      </c>
    </row>
    <row r="41">
      <c r="A41" s="3" t="inlineStr">
        <is>
          <t>5 · ТРИ СЦЕНАРИЯ — сравните, где вы сейчас</t>
        </is>
      </c>
    </row>
    <row r="42">
      <c r="A42" s="44" t="inlineStr">
        <is>
          <t>Сценарий</t>
        </is>
      </c>
      <c r="B42" s="44" t="inlineStr">
        <is>
          <t>Ставка часа</t>
        </is>
      </c>
      <c r="C42" s="44" t="inlineStr">
        <is>
          <t>Цена проекта</t>
        </is>
      </c>
      <c r="D42" s="44" t="inlineStr">
        <is>
          <t>Выручка/год</t>
        </is>
      </c>
      <c r="E42" s="44" t="inlineStr">
        <is>
          <t>На руки/год</t>
        </is>
      </c>
      <c r="F42" s="44" t="inlineStr">
        <is>
          <t>На руки/мес</t>
        </is>
      </c>
      <c r="G42" s="44" t="inlineStr">
        <is>
          <t>% от цели</t>
        </is>
      </c>
    </row>
    <row r="43">
      <c r="A43" s="2" t="inlineStr">
        <is>
          <t>ВАША РАСЧЁТНАЯ — чтобы получать желаемое</t>
        </is>
      </c>
      <c r="B43" s="55">
        <f>(CHOOSE(regime_no,'05_Расчёт'!B4,'05_Расчёт'!C4,'05_Расчёт'!D4,'05_Расчёт'!E4,'05_Расчёт'!F4,'05_Расчёт'!G4,'05_Расчёт'!H4))/shooting_time</f>
        <v>9429.986029299362</v>
      </c>
      <c r="C43" s="55">
        <f>(CHOOSE(regime_no,'05_Расчёт'!B4,'05_Расчёт'!C4,'05_Расчёт'!D4,'05_Расчёт'!E4,'05_Расчёт'!F4,'05_Расчёт'!G4,'05_Расчёт'!H4))/projects_year</f>
        <v>9429.986029299362</v>
      </c>
      <c r="D43" s="55">
        <f>CHOOSE(regime_no,'05_Расчёт'!B4,'05_Расчёт'!C4,'05_Расчёт'!D4,'05_Расчёт'!E4,'05_Расчёт'!F4,'05_Расчёт'!G4,'05_Расчёт'!H4)</f>
        <v>2042534.9739462417</v>
      </c>
      <c r="E43" s="55">
        <f>target_income</f>
        <v>1322592.0</v>
      </c>
      <c r="F43" s="55">
        <f>target_income/months</f>
        <v>110216.0</v>
      </c>
      <c r="G43" s="65">
        <f>1</f>
        <v>1.0</v>
      </c>
    </row>
    <row r="44">
      <c r="A44" s="2" t="inlineStr">
        <is>
          <t>ВАША ТЕКУЩАЯ — по ней работаете сейчас</t>
        </is>
      </c>
      <c r="B44" s="66">
        <f>current_rate</f>
        <v>6000.0</v>
      </c>
      <c r="C44" s="66">
        <f>current_rate*shooting_time/projects_year</f>
        <v>6000.0</v>
      </c>
      <c r="D44" s="66">
        <f>current_rate*shooting_time</f>
        <v>1299600.0</v>
      </c>
      <c r="E44" s="66">
        <f>(current_rate*shooting_time*(1-rate_current-acquiring)-total_costs)</f>
        <v>636863.0190476188</v>
      </c>
      <c r="F44" s="66">
        <f>(current_rate*shooting_time*(1-rate_current-acquiring)-total_costs)/months</f>
        <v>53071.91825396824</v>
      </c>
      <c r="G44" s="67">
        <f>(current_rate*shooting_time*(1-rate_current-acquiring)-total_costs)/target_income</f>
        <v>0.48152644129680117</v>
      </c>
    </row>
    <row r="45">
      <c r="A45" s="2" t="inlineStr">
        <is>
          <t>БЕЗУБЫТОЧНОСТЬ — работа в ноль</t>
        </is>
      </c>
      <c r="B45" s="68">
        <f>(CHOOSE(regime_no,'05_Расчёт'!B22,'05_Расчёт'!C22,'05_Расчёт'!D22,'05_Расчёт'!E22,'05_Расчёт'!F22,'05_Расчёт'!G22,'05_Расчёт'!H22))/shooting_time</f>
        <v>2814.4393505479693</v>
      </c>
      <c r="C45" s="68">
        <f>(CHOOSE(regime_no,'05_Расчёт'!B22,'05_Расчёт'!C22,'05_Расчёт'!D22,'05_Расчёт'!E22,'05_Расчёт'!F22,'05_Расчёт'!G22,'05_Расчёт'!H22))/projects_year</f>
        <v>2814.4393505479693</v>
      </c>
      <c r="D45" s="68">
        <f>CHOOSE(regime_no,'05_Расчёт'!B22,'05_Расчёт'!C22,'05_Расчёт'!D22,'05_Расчёт'!E22,'05_Расчёт'!F22,'05_Расчёт'!G22,'05_Расчёт'!H22)</f>
        <v>609607.5633286901</v>
      </c>
      <c r="E45" s="68">
        <f>0</f>
        <v>0.0</v>
      </c>
      <c r="F45" s="68">
        <f>0</f>
        <v>0.0</v>
      </c>
      <c r="G45" s="69">
        <f>0</f>
        <v>0.0</v>
      </c>
    </row>
    <row r="47">
      <c r="A47" s="2" t="inlineStr">
        <is>
          <t>Недополучено за год при текущей ставке</t>
        </is>
      </c>
      <c r="B47" s="54">
        <f>target_income-(current_rate*shooting_time*(1-rate_current-acquiring)-total_costs)</f>
        <v>685728.9809523812</v>
      </c>
      <c r="C47" s="70" t="inlineStr">
        <is>
          <t>это ваш вклад в чужой бизнес</t>
        </is>
      </c>
    </row>
    <row r="51">
      <c r="A51" s="3" t="inlineStr">
        <is>
          <t>7 · ТРИ КАРТИНЫ ОДНОГО ЧАСА — куда уходят деньги клиента</t>
        </is>
      </c>
    </row>
    <row r="52">
      <c r="A52" s="25" t="inlineStr">
        <is>
          <t>Слева направо: сколько НУЖНО брать · сколько берёте СЕЙЧАС · минимум, чтобы не работать в убыток.</t>
        </is>
      </c>
    </row>
    <row r="54">
      <c r="A54" s="71" t="inlineStr">
        <is>
          <t>ВАША РАСЧЁТНАЯ СТАВКА</t>
        </is>
      </c>
      <c r="B54" s="72" t="n"/>
      <c r="C54" s="72" t="n"/>
      <c r="D54" s="73" t="n"/>
      <c r="F54" s="74" t="inlineStr">
        <is>
          <t>ВАША ТЕКУЩАЯ СТАВКА</t>
        </is>
      </c>
      <c r="G54" s="72" t="n"/>
      <c r="H54" s="72" t="n"/>
      <c r="I54" s="73" t="n"/>
      <c r="K54" s="75" t="inlineStr">
        <is>
          <t>РАБОТА В НОЛЬ</t>
        </is>
      </c>
      <c r="L54" s="72" t="n"/>
      <c r="M54" s="72" t="n"/>
      <c r="N54" s="73" t="n"/>
    </row>
    <row r="55">
      <c r="A55" s="76" t="inlineStr">
        <is>
          <t>Статья</t>
        </is>
      </c>
      <c r="B55" s="76" t="inlineStr">
        <is>
          <t>₽/год</t>
        </is>
      </c>
      <c r="C55" s="76" t="inlineStr">
        <is>
          <t>₽/час</t>
        </is>
      </c>
      <c r="D55" s="76" t="inlineStr">
        <is>
          <t>доля</t>
        </is>
      </c>
      <c r="F55" s="76" t="inlineStr">
        <is>
          <t>Статья</t>
        </is>
      </c>
      <c r="G55" s="76" t="inlineStr">
        <is>
          <t>₽/год</t>
        </is>
      </c>
      <c r="H55" s="76" t="inlineStr">
        <is>
          <t>₽/час</t>
        </is>
      </c>
      <c r="I55" s="76" t="inlineStr">
        <is>
          <t>доля</t>
        </is>
      </c>
      <c r="K55" s="76" t="inlineStr">
        <is>
          <t>Статья</t>
        </is>
      </c>
      <c r="L55" s="76" t="inlineStr">
        <is>
          <t>₽/год</t>
        </is>
      </c>
      <c r="M55" s="76" t="inlineStr">
        <is>
          <t>₽/час</t>
        </is>
      </c>
      <c r="N55" s="76" t="inlineStr">
        <is>
          <t>доля</t>
        </is>
      </c>
    </row>
    <row r="56">
      <c r="A56" s="5" t="inlineStr">
        <is>
          <t>Ваш доход на руки</t>
        </is>
      </c>
      <c r="B56" s="57">
        <f>MAX(0,target_income)</f>
        <v>1322592.0</v>
      </c>
      <c r="C56" s="57">
        <f>IF(shooting_time=0,0,B56/shooting_time)</f>
        <v>6106.149584487534</v>
      </c>
      <c r="D56" s="62">
        <f>IF((CHOOSE(regime_no,'05_Расчёт'!B4,'05_Расчёт'!C4,'05_Расчёт'!D4,'05_Расчёт'!E4,'05_Расчёт'!F4,'05_Расчёт'!G4,'05_Расчёт'!H4))=0,0,B56/(CHOOSE(regime_no,'05_Расчёт'!B4,'05_Расчёт'!C4,'05_Расчёт'!D4,'05_Расчёт'!E4,'05_Расчёт'!F4,'05_Расчёт'!G4,'05_Расчёт'!H4)))</f>
        <v>0.6475247752770229</v>
      </c>
      <c r="F56" s="5" t="inlineStr">
        <is>
          <t>Ваш доход на руки</t>
        </is>
      </c>
      <c r="G56" s="57">
        <f>MAX(0,((current_rate*shooting_time)*(1-rate_current-acquiring)-total_costs))</f>
        <v>636863.0190476188</v>
      </c>
      <c r="H56" s="57">
        <f>IF(shooting_time=0,0,G56/shooting_time)</f>
        <v>2940.272479444224</v>
      </c>
      <c r="I56" s="62">
        <f>IF((current_rate*shooting_time)=0,0,G56/(current_rate*shooting_time))</f>
        <v>0.49004541324070394</v>
      </c>
      <c r="K56" s="5" t="inlineStr">
        <is>
          <t>Ваш доход на руки</t>
        </is>
      </c>
      <c r="L56" s="57">
        <f>MAX(0,0)</f>
        <v>0.0</v>
      </c>
      <c r="M56" s="57">
        <f>IF(shooting_time=0,0,L56/shooting_time)</f>
        <v>0.0</v>
      </c>
      <c r="N56" s="62">
        <f>IF((CHOOSE(regime_no,'05_Расчёт'!B22,'05_Расчёт'!C22,'05_Расчёт'!D22,'05_Расчёт'!E22,'05_Расчёт'!F22,'05_Расчёт'!G22,'05_Расчёт'!H22))=0,0,L56/(CHOOSE(regime_no,'05_Расчёт'!B22,'05_Расчёт'!C22,'05_Расчёт'!D22,'05_Расчёт'!E22,'05_Расчёт'!F22,'05_Расчёт'!G22,'05_Расчёт'!H22)))</f>
        <v>0.0</v>
      </c>
    </row>
    <row r="57">
      <c r="A57" s="5" t="inlineStr">
        <is>
          <t>Отложить на оборудование и обучение</t>
        </is>
      </c>
      <c r="B57" s="57">
        <f>MAX(0,investment)</f>
        <v>278687.78095238097</v>
      </c>
      <c r="C57" s="57">
        <f>IF(shooting_time=0,0,B57/shooting_time)</f>
        <v>1286.6471881458033</v>
      </c>
      <c r="D57" s="62">
        <f>IF((CHOOSE(regime_no,'05_Расчёт'!B4,'05_Расчёт'!C4,'05_Расчёт'!D4,'05_Расчёт'!E4,'05_Расчёт'!F4,'05_Расчёт'!G4,'05_Расчёт'!H4))=0,0,B57/(CHOOSE(regime_no,'05_Расчёт'!B4,'05_Расчёт'!C4,'05_Расчёт'!D4,'05_Расчёт'!E4,'05_Расчёт'!F4,'05_Расчёт'!G4,'05_Расчёт'!H4)))</f>
        <v>0.13644210968586132</v>
      </c>
      <c r="F57" s="5" t="inlineStr">
        <is>
          <t>Отложить на оборудование и обучение</t>
        </is>
      </c>
      <c r="G57" s="57">
        <f>MAX(0,investment)</f>
        <v>278687.78095238097</v>
      </c>
      <c r="H57" s="57">
        <f>IF(shooting_time=0,0,G57/shooting_time)</f>
        <v>1286.6471881458033</v>
      </c>
      <c r="I57" s="62">
        <f>IF((current_rate*shooting_time)=0,0,G57/(current_rate*shooting_time))</f>
        <v>0.21444119802430053</v>
      </c>
      <c r="K57" s="5" t="inlineStr">
        <is>
          <t>Отложить на оборудование и обучение</t>
        </is>
      </c>
      <c r="L57" s="57">
        <f>MAX(0,investment)</f>
        <v>278687.78095238097</v>
      </c>
      <c r="M57" s="57">
        <f>IF(shooting_time=0,0,L57/shooting_time)</f>
        <v>1286.6471881458033</v>
      </c>
      <c r="N57" s="62">
        <f>IF((CHOOSE(regime_no,'05_Расчёт'!B22,'05_Расчёт'!C22,'05_Расчёт'!D22,'05_Расчёт'!E22,'05_Расчёт'!F22,'05_Расчёт'!G22,'05_Расчёт'!H22))=0,0,L57/(CHOOSE(regime_no,'05_Расчёт'!B22,'05_Расчёт'!C22,'05_Расчёт'!D22,'05_Расчёт'!E22,'05_Расчёт'!F22,'05_Расчёт'!G22,'05_Расчёт'!H22)))</f>
        <v>0.4571593230087882</v>
      </c>
    </row>
    <row r="58">
      <c r="A58" s="5" t="inlineStr">
        <is>
          <t>Регулярные расходы (реклама, аренда, ПО)</t>
        </is>
      </c>
      <c r="B58" s="57">
        <f>MAX(0,variable_costs)</f>
        <v>283980.0</v>
      </c>
      <c r="C58" s="57">
        <f>IF(shooting_time=0,0,B58/shooting_time)</f>
        <v>1311.0803324099722</v>
      </c>
      <c r="D58" s="62">
        <f>IF((CHOOSE(regime_no,'05_Расчёт'!B4,'05_Расчёт'!C4,'05_Расчёт'!D4,'05_Расчёт'!E4,'05_Расчёт'!F4,'05_Расчёт'!G4,'05_Расчёт'!H4))=0,0,B58/(CHOOSE(regime_no,'05_Расчёт'!B4,'05_Расчёт'!C4,'05_Расчёт'!D4,'05_Расчёт'!E4,'05_Расчёт'!F4,'05_Расчёт'!G4,'05_Расчёт'!H4)))</f>
        <v>0.13903311503711574</v>
      </c>
      <c r="F58" s="5" t="inlineStr">
        <is>
          <t>Регулярные расходы (реклама, аренда, ПО)</t>
        </is>
      </c>
      <c r="G58" s="57">
        <f>MAX(0,variable_costs)</f>
        <v>283980.0</v>
      </c>
      <c r="H58" s="57">
        <f>IF(shooting_time=0,0,G58/shooting_time)</f>
        <v>1311.0803324099722</v>
      </c>
      <c r="I58" s="62">
        <f>IF((current_rate*shooting_time)=0,0,G58/(current_rate*shooting_time))</f>
        <v>0.21851338873499537</v>
      </c>
      <c r="K58" s="5" t="inlineStr">
        <is>
          <t>Регулярные расходы (реклама, аренда, ПО)</t>
        </is>
      </c>
      <c r="L58" s="57">
        <f>MAX(0,variable_costs)</f>
        <v>283980.0</v>
      </c>
      <c r="M58" s="57">
        <f>IF(shooting_time=0,0,L58/shooting_time)</f>
        <v>1311.0803324099722</v>
      </c>
      <c r="N58" s="62">
        <f>IF((CHOOSE(regime_no,'05_Расчёт'!B22,'05_Расчёт'!C22,'05_Расчёт'!D22,'05_Расчёт'!E22,'05_Расчёт'!F22,'05_Расчёт'!G22,'05_Расчёт'!H22))=0,0,L58/(CHOOSE(regime_no,'05_Расчёт'!B22,'05_Расчёт'!C22,'05_Расчёт'!D22,'05_Расчёт'!E22,'05_Расчёт'!F22,'05_Расчёт'!G22,'05_Расчёт'!H22)))</f>
        <v>0.46584067699121173</v>
      </c>
    </row>
    <row r="59">
      <c r="A59" s="5" t="inlineStr">
        <is>
          <t>Налог и страховые взносы</t>
        </is>
      </c>
      <c r="B59" s="57">
        <f>MAX(0,(CHOOSE(regime_no,'05_Расчёт'!B4,'05_Расчёт'!C4,'05_Расчёт'!D4,'05_Расчёт'!E4,'05_Расчёт'!F4,'05_Расчёт'!G4,'05_Расчёт'!H4))*rate_current)</f>
        <v>102126.74869731208</v>
      </c>
      <c r="C59" s="57">
        <f>IF(shooting_time=0,0,B59/shooting_time)</f>
        <v>471.4993014649681</v>
      </c>
      <c r="D59" s="62">
        <f>IF((CHOOSE(regime_no,'05_Расчёт'!B4,'05_Расчёт'!C4,'05_Расчёт'!D4,'05_Расчёт'!E4,'05_Расчёт'!F4,'05_Расчёт'!G4,'05_Расчёт'!H4))=0,0,B59/(CHOOSE(regime_no,'05_Расчёт'!B4,'05_Расчёт'!C4,'05_Расчёт'!D4,'05_Расчёт'!E4,'05_Расчёт'!F4,'05_Расчёт'!G4,'05_Расчёт'!H4)))</f>
        <v>0.05</v>
      </c>
      <c r="F59" s="5" t="inlineStr">
        <is>
          <t>Налог и страховые взносы</t>
        </is>
      </c>
      <c r="G59" s="57">
        <f>MAX(0,(current_rate*shooting_time)*rate_current)</f>
        <v>64980.0</v>
      </c>
      <c r="H59" s="57">
        <f>IF(shooting_time=0,0,G59/shooting_time)</f>
        <v>300.0</v>
      </c>
      <c r="I59" s="62">
        <f>IF((current_rate*shooting_time)=0,0,G59/(current_rate*shooting_time))</f>
        <v>0.05</v>
      </c>
      <c r="K59" s="5" t="inlineStr">
        <is>
          <t>Налог и страховые взносы</t>
        </is>
      </c>
      <c r="L59" s="57">
        <f>MAX(0,(CHOOSE(regime_no,'05_Расчёт'!B22,'05_Расчёт'!C22,'05_Расчёт'!D22,'05_Расчёт'!E22,'05_Расчёт'!F22,'05_Расчёт'!G22,'05_Расчёт'!H22))*rate_current)</f>
        <v>30480.378166434508</v>
      </c>
      <c r="M59" s="57">
        <f>IF(shooting_time=0,0,L59/shooting_time)</f>
        <v>140.72196752739848</v>
      </c>
      <c r="N59" s="62">
        <f>IF((CHOOSE(regime_no,'05_Расчёт'!B22,'05_Расчёт'!C22,'05_Расчёт'!D22,'05_Расчёт'!E22,'05_Расчёт'!F22,'05_Расчёт'!G22,'05_Расчёт'!H22))=0,0,L59/(CHOOSE(regime_no,'05_Расчёт'!B22,'05_Расчёт'!C22,'05_Расчёт'!D22,'05_Расчёт'!E22,'05_Расчёт'!F22,'05_Расчёт'!G22,'05_Расчёт'!H22)))</f>
        <v>0.05</v>
      </c>
    </row>
    <row r="60">
      <c r="A60" s="5" t="inlineStr">
        <is>
          <t>Банку за эквайринг</t>
        </is>
      </c>
      <c r="B60" s="57">
        <f>MAX(0,(CHOOSE(regime_no,'05_Расчёт'!B4,'05_Расчёт'!C4,'05_Расчёт'!D4,'05_Расчёт'!E4,'05_Расчёт'!F4,'05_Расчёт'!G4,'05_Расчёт'!H4))*acquiring)</f>
        <v>55148.44429654852</v>
      </c>
      <c r="C60" s="57">
        <f>IF(shooting_time=0,0,B60/shooting_time)</f>
        <v>254.60962279108276</v>
      </c>
      <c r="D60" s="62">
        <f>IF((CHOOSE(regime_no,'05_Расчёт'!B4,'05_Расчёт'!C4,'05_Расчёт'!D4,'05_Расчёт'!E4,'05_Расчёт'!F4,'05_Расчёт'!G4,'05_Расчёт'!H4))=0,0,B60/(CHOOSE(regime_no,'05_Расчёт'!B4,'05_Расчёт'!C4,'05_Расчёт'!D4,'05_Расчёт'!E4,'05_Расчёт'!F4,'05_Расчёт'!G4,'05_Расчёт'!H4)))</f>
        <v>0.027</v>
      </c>
      <c r="F60" s="5" t="inlineStr">
        <is>
          <t>Банку за эквайринг</t>
        </is>
      </c>
      <c r="G60" s="57">
        <f>MAX(0,(current_rate*shooting_time)*acquiring)</f>
        <v>35089.2</v>
      </c>
      <c r="H60" s="57">
        <f>IF(shooting_time=0,0,G60/shooting_time)</f>
        <v>162.0</v>
      </c>
      <c r="I60" s="62">
        <f>IF((current_rate*shooting_time)=0,0,G60/(current_rate*shooting_time))</f>
        <v>0.026999999999999996</v>
      </c>
      <c r="K60" s="5" t="inlineStr">
        <is>
          <t>Банку за эквайринг</t>
        </is>
      </c>
      <c r="L60" s="57">
        <f>MAX(0,(CHOOSE(regime_no,'05_Расчёт'!B22,'05_Расчёт'!C22,'05_Расчёт'!D22,'05_Расчёт'!E22,'05_Расчёт'!F22,'05_Расчёт'!G22,'05_Расчёт'!H22))*acquiring)</f>
        <v>16459.404209874632</v>
      </c>
      <c r="M60" s="57">
        <f>IF(shooting_time=0,0,L60/shooting_time)</f>
        <v>75.98986246479517</v>
      </c>
      <c r="N60" s="62">
        <f>IF((CHOOSE(regime_no,'05_Расчёт'!B22,'05_Расчёт'!C22,'05_Расчёт'!D22,'05_Расчёт'!E22,'05_Расчёт'!F22,'05_Расчёт'!G22,'05_Расчёт'!H22))=0,0,L60/(CHOOSE(regime_no,'05_Расчёт'!B22,'05_Расчёт'!C22,'05_Расчёт'!D22,'05_Расчёт'!E22,'05_Расчёт'!F22,'05_Расчёт'!G22,'05_Расчёт'!H22)))</f>
        <v>0.026999999999999996</v>
      </c>
    </row>
    <row r="61">
      <c r="A61" s="77" t="inlineStr">
        <is>
          <t>ИТОГО берёте с клиента</t>
        </is>
      </c>
      <c r="B61" s="48">
        <f>(CHOOSE(regime_no,'05_Расчёт'!B4,'05_Расчёт'!C4,'05_Расчёт'!D4,'05_Расчёт'!E4,'05_Расчёт'!F4,'05_Расчёт'!G4,'05_Расчёт'!H4))</f>
        <v>2042534.9739462417</v>
      </c>
      <c r="C61" s="48">
        <f>IF(shooting_time=0,0,(CHOOSE(regime_no,'05_Расчёт'!B4,'05_Расчёт'!C4,'05_Расчёт'!D4,'05_Расчёт'!E4,'05_Расчёт'!F4,'05_Расчёт'!G4,'05_Расчёт'!H4))/shooting_time)</f>
        <v>9429.986029299362</v>
      </c>
      <c r="D61" s="50">
        <f>1</f>
        <v>1.0</v>
      </c>
      <c r="F61" s="77" t="inlineStr">
        <is>
          <t>ИТОГО берёте с клиента</t>
        </is>
      </c>
      <c r="G61" s="54">
        <f>(current_rate*shooting_time)</f>
        <v>1299600.0</v>
      </c>
      <c r="H61" s="54">
        <f>IF(shooting_time=0,0,(current_rate*shooting_time)/shooting_time)</f>
        <v>6000.0</v>
      </c>
      <c r="I61" s="78">
        <f>1</f>
        <v>1.0</v>
      </c>
      <c r="K61" s="77" t="inlineStr">
        <is>
          <t>ИТОГО берёте с клиента</t>
        </is>
      </c>
      <c r="L61" s="43">
        <f>(CHOOSE(regime_no,'05_Расчёт'!B22,'05_Расчёт'!C22,'05_Расчёт'!D22,'05_Расчёт'!E22,'05_Расчёт'!F22,'05_Расчёт'!G22,'05_Расчёт'!H22))</f>
        <v>609607.5633286901</v>
      </c>
      <c r="M61" s="43">
        <f>IF(shooting_time=0,0,(CHOOSE(regime_no,'05_Расчёт'!B22,'05_Расчёт'!C22,'05_Расчёт'!D22,'05_Расчёт'!E22,'05_Расчёт'!F22,'05_Расчёт'!G22,'05_Расчёт'!H22))/shooting_time)</f>
        <v>2814.4393505479693</v>
      </c>
      <c r="N61" s="42">
        <f>1</f>
        <v>1.0</v>
      </c>
    </row>
    <row r="84">
      <c r="A84" s="3" t="inlineStr">
        <is>
          <t>8 · ЧТО ЭТО ЗНАЧИТ — расшифровка простыми словами</t>
        </is>
      </c>
    </row>
    <row r="85">
      <c r="A85" s="24" t="inlineStr">
        <is>
          <t>ЗА ОДИН ЧАС СЪЁМКИ ВАМ ЗАПЛАТЯТ — И ВОТ КУДА УЙДУТ ЭТИ ДЕНЬГИ:</t>
        </is>
      </c>
    </row>
    <row r="86"/>
    <row r="87">
      <c r="A87" s="2" t="inlineStr">
        <is>
          <t>Вам заплатят за час съёмки:</t>
        </is>
      </c>
      <c r="B87" s="79">
        <f>IF(shooting_time=0,0,(CHOOSE(regime_no,'05_Расчёт'!B4,'05_Расчёт'!C4,'05_Расчёт'!D4,'05_Расчёт'!E4,'05_Расчёт'!F4,'05_Расчёт'!G4,'05_Расчёт'!H4))/shooting_time)</f>
        <v>9429.986029299362</v>
      </c>
    </row>
    <row r="89">
      <c r="A89" s="2" t="inlineStr">
        <is>
          <t>Из них вы заработаете (за все свои роли)</t>
        </is>
      </c>
      <c r="B89" s="80">
        <f>IF(shooting_time=0,0,target_income/shooting_time)</f>
        <v>6106.149584487534</v>
      </c>
    </row>
    <row r="90">
      <c r="A90" s="25" t="inlineStr">
        <is>
          <t>Это оплата не одного часа, а ВСЕЙ работы вокруг него. Разбивка по ролям — в таблице ниже.</t>
        </is>
      </c>
    </row>
    <row r="91">
      <c r="A91" s="2" t="inlineStr">
        <is>
          <t>Откладываете на оборудование и обучение</t>
        </is>
      </c>
      <c r="B91" s="81">
        <f>IF(shooting_time=0,0,investment/shooting_time)</f>
        <v>1286.6471881458033</v>
      </c>
    </row>
    <row r="92">
      <c r="A92" s="25" t="inlineStr">
        <is>
          <t>Камера, компьютер, объективы и курсы изнашиваются. Если не откладывать — через 3 года купить новое будет не на что.</t>
        </is>
      </c>
    </row>
    <row r="93">
      <c r="A93" s="2" t="inlineStr">
        <is>
          <t>Платите за рекламу, аренду и подписки</t>
        </is>
      </c>
      <c r="B93" s="82">
        <f>IF(shooting_time=0,0,variable_costs/shooting_time)</f>
        <v>1311.0803324099722</v>
      </c>
    </row>
    <row r="94">
      <c r="A94" s="25" t="inlineStr">
        <is>
          <t>Директ, хостинг, Adobe, доля квартиры под кабинет. Это уходит каждый месяц, даже когда съёмок нет.</t>
        </is>
      </c>
    </row>
    <row r="95">
      <c r="A95" s="2" t="inlineStr">
        <is>
          <t>Отдаёте государству</t>
        </is>
      </c>
      <c r="B95" s="83">
        <f>IF(shooting_time=0,0,(CHOOSE(regime_no,'05_Расчёт'!B4,'05_Расчёт'!C4,'05_Расчёт'!D4,'05_Расчёт'!E4,'05_Расчёт'!F4,'05_Расчёт'!G4,'05_Расчёт'!H4))*rate_current/shooting_time)</f>
        <v>471.4993014649681</v>
      </c>
    </row>
    <row r="96">
      <c r="A96" s="25" t="inlineStr">
        <is>
          <t>Налог по вашему режиму и страховые взносы. Считается с оборота, а не с того, что осталось.</t>
        </is>
      </c>
    </row>
    <row r="97">
      <c r="A97" s="2" t="inlineStr">
        <is>
          <t>Отдаёте банку</t>
        </is>
      </c>
      <c r="B97" s="84">
        <f>IF(shooting_time=0,0,(CHOOSE(regime_no,'05_Расчёт'!B4,'05_Расчёт'!C4,'05_Расчёт'!D4,'05_Расчёт'!E4,'05_Расчёт'!F4,'05_Расчёт'!G4,'05_Расчёт'!H4))*acquiring/shooting_time)</f>
        <v>254.60962279108276</v>
      </c>
    </row>
    <row r="98">
      <c r="A98" s="25" t="inlineStr">
        <is>
          <t>Комиссия за приём оплаты картой. Берётся с каждого поступления.</t>
        </is>
      </c>
    </row>
    <row r="100">
      <c r="A100" s="24" t="inlineStr">
        <is>
          <t>ЗА КАКИЕ РОЛИ ВЫ ЭТО ЗАРАБОТАЛИ</t>
        </is>
      </c>
    </row>
    <row r="101">
      <c r="A101" s="44" t="inlineStr">
        <is>
          <t>Роль</t>
        </is>
      </c>
      <c r="B101" s="44" t="inlineStr">
        <is>
          <t>Часов в год</t>
        </is>
      </c>
      <c r="C101" s="44" t="inlineStr">
        <is>
          <t>Часов на 1 проект</t>
        </is>
      </c>
      <c r="D101" s="44" t="inlineStr">
        <is>
          <t>Заработок ₽/год</t>
        </is>
      </c>
      <c r="E101" s="44" t="inlineStr">
        <is>
          <t>₽ с часа съёмки</t>
        </is>
      </c>
    </row>
    <row r="102">
      <c r="A102" t="inlineStr">
        <is>
          <t>ФОТОГРАФ — работа на съёмочной площадке</t>
        </is>
      </c>
      <c r="B102" s="85">
        <f>shooting_time</f>
        <v>216.6</v>
      </c>
      <c r="C102" s="85">
        <f>shoot_duration</f>
        <v>1.0</v>
      </c>
      <c r="D102" s="57">
        <f>(target_income/net_time)*shooting_time</f>
        <v>186871.1201565558</v>
      </c>
      <c r="E102" s="57">
        <f>IF(shooting_time=0,0,(target_income/net_time)*shooting_time/shooting_time)</f>
        <v>862.747553816047</v>
      </c>
    </row>
    <row r="103">
      <c r="A103" t="inlineStr">
        <is>
          <t>РЕТУШЁР — обработка отснятого материала</t>
        </is>
      </c>
      <c r="B103" s="85">
        <f>post_time</f>
        <v>649.8</v>
      </c>
      <c r="C103" s="85">
        <f>shoot_duration*post_ratio</f>
        <v>3.0</v>
      </c>
      <c r="D103" s="57">
        <f>(target_income/net_time)*post_time</f>
        <v>560613.3604696674</v>
      </c>
      <c r="E103" s="57">
        <f>IF(shooting_time=0,0,(target_income/net_time)*post_time/shooting_time)</f>
        <v>2588.242661448141</v>
      </c>
    </row>
    <row r="104">
      <c r="A104" t="inlineStr">
        <is>
          <t>МЕНЕДЖЕР ПО ПРОДАЖАМ — переговоры, согласования</t>
        </is>
      </c>
      <c r="B104" s="85">
        <f>client_total</f>
        <v>216.6</v>
      </c>
      <c r="C104" s="85">
        <f>client_time</f>
        <v>1.0</v>
      </c>
      <c r="D104" s="57">
        <f>(target_income/net_time)*client_total</f>
        <v>186871.1201565558</v>
      </c>
      <c r="E104" s="57">
        <f>IF(shooting_time=0,0,(target_income/net_time)*client_total/shooting_time)</f>
        <v>862.747553816047</v>
      </c>
    </row>
    <row r="105">
      <c r="A105" t="inlineStr">
        <is>
          <t>МАРКЕТОЛОГ и SMM — продвижение, соцсети, отклики</t>
        </is>
      </c>
      <c r="B105" s="85">
        <f>promo_time</f>
        <v>438.0</v>
      </c>
      <c r="C105" s="85">
        <f>IF(projects_year=0,0,promo_time/projects_year)</f>
        <v>2.022160664819945</v>
      </c>
      <c r="D105" s="57">
        <f>(target_income/net_time)*promo_time</f>
        <v>377883.4285714286</v>
      </c>
      <c r="E105" s="57">
        <f>IF(shooting_time=0,0,(target_income/net_time)*promo_time/shooting_time)</f>
        <v>1744.6141669964386</v>
      </c>
    </row>
    <row r="106">
      <c r="A106" t="inlineStr">
        <is>
          <t>БУХГАЛТЕР — учёт, отчётность, налоги</t>
        </is>
      </c>
      <c r="B106" s="85">
        <f>accounting_time</f>
        <v>12.0</v>
      </c>
      <c r="C106" s="85">
        <f>IF(projects_year=0,0,accounting_time/projects_year)</f>
        <v>0.055401662049861494</v>
      </c>
      <c r="D106" s="57">
        <f>(target_income/net_time)*accounting_time</f>
        <v>10352.970645792564</v>
      </c>
      <c r="E106" s="57">
        <f>IF(shooting_time=0,0,(target_income/net_time)*accounting_time/shooting_time)</f>
        <v>47.79764841086133</v>
      </c>
    </row>
    <row r="107">
      <c r="A107" t="inlineStr">
        <is>
          <t>Компенсация сорванных съёмок</t>
        </is>
      </c>
      <c r="B107" s="85">
        <f>fm_time</f>
        <v>0.0</v>
      </c>
      <c r="C107" s="85">
        <f>IF(projects_year=0,0,fm_time/projects_year)</f>
        <v>0.0</v>
      </c>
      <c r="D107" s="57">
        <f>(target_income/net_time)*fm_time</f>
        <v>0.0</v>
      </c>
      <c r="E107" s="57">
        <f>IF(shooting_time=0,0,(target_income/net_time)*fm_time/shooting_time)</f>
        <v>0.0</v>
      </c>
    </row>
    <row r="108">
      <c r="A108" s="2" t="inlineStr">
        <is>
          <t>ИТОГО за все роли</t>
        </is>
      </c>
      <c r="B108" s="86">
        <f>net_time</f>
        <v>1533.0</v>
      </c>
      <c r="C108" s="86">
        <f>IF(projects_year=0,0,net_time/projects_year)</f>
        <v>7.077562326869806</v>
      </c>
      <c r="D108" s="48">
        <f>target_income</f>
        <v>1322592.0</v>
      </c>
      <c r="E108" s="48">
        <f>IF(shooting_time=0,0,target_income/shooting_time)</f>
        <v>6106.149584487534</v>
      </c>
    </row>
    <row r="109"/>
    <row r="110">
      <c r="A110" t="inlineStr">
        <is>
          <t>Обратите внимание: собственно ФОТОГРАФОМ вы работаете меньше всего часов. Основное время уходит</t>
        </is>
      </c>
    </row>
    <row r="111">
      <c r="A111" t="inlineStr">
        <is>
          <t>на обработку и продвижение — и всё это оплачивается из той же суммы за час съёмки.</t>
        </is>
      </c>
    </row>
    <row r="113">
      <c r="A113" s="87" t="inlineStr">
        <is>
          <t>ЕСЛИ ВЫ БЕРЁТЕ МЕНЬШЕ, ЧЕМ НУЖНО</t>
        </is>
      </c>
    </row>
    <row r="114">
      <c r="A114" s="2" t="inlineStr">
        <is>
          <t>Ваша текущая ставка</t>
        </is>
      </c>
      <c r="B114" s="66">
        <f>current_rate</f>
        <v>6000.0</v>
      </c>
    </row>
    <row r="115">
      <c r="A115" s="2" t="inlineStr">
        <is>
          <t>Остаётся вам на руки за год</t>
        </is>
      </c>
      <c r="B115" s="57">
        <f>MAX(0,((current_rate*shooting_time)*(1-rate_current-acquiring)-total_costs))</f>
        <v>636863.0190476188</v>
      </c>
    </row>
    <row r="116">
      <c r="A116" s="2" t="inlineStr">
        <is>
          <t>Недополучено за год</t>
        </is>
      </c>
      <c r="B116" s="88">
        <f>MAX(0,target_income-((current_rate*shooting_time)*(1-rate_current-acquiring)-total_costs))</f>
        <v>685728.9809523812</v>
      </c>
    </row>
    <row r="117">
      <c r="A117" s="2" t="inlineStr">
        <is>
          <t>Недополучено с каждого часа съёмки</t>
        </is>
      </c>
      <c r="B117" s="54">
        <f>IF(shooting_time=0,0,MAX(0,target_income-((current_rate*shooting_time)*(1-rate_current-acquiring)-total_costs))/shooting_time)</f>
        <v>3165.877105043311</v>
      </c>
    </row>
    <row r="118"/>
    <row r="119">
      <c r="A119" t="inlineStr">
        <is>
          <t>Расходы бизнеса не уменьшаются от того, что вы взяли меньше. Аренда, реклама и амортизация</t>
        </is>
      </c>
    </row>
    <row r="120">
      <c r="A120" t="inlineStr">
        <is>
          <t>останутся прежними — сократится только ваш собственный доход. Разницу вы фактически дарите клиенту.</t>
        </is>
      </c>
    </row>
    <row r="122">
      <c r="A122" s="89" t="inlineStr">
        <is>
          <t>МИНИМУМ, НИЖЕ КОТОРОГО РАБОТАТЬ НЕЛЬЗЯ</t>
        </is>
      </c>
    </row>
    <row r="123">
      <c r="A123" s="2" t="inlineStr">
        <is>
          <t>Ставка при работе в ноль</t>
        </is>
      </c>
      <c r="B123" s="90">
        <f>IF(shooting_time=0,0,(CHOOSE(regime_no,'05_Расчёт'!B22,'05_Расчёт'!C22,'05_Расчёт'!D22,'05_Расчёт'!E22,'05_Расчёт'!F22,'05_Расчёт'!G22,'05_Расчёт'!H22))/shooting_time)</f>
        <v>2814.4393505479693</v>
      </c>
    </row>
    <row r="124">
      <c r="A124" s="2" t="inlineStr">
        <is>
          <t>Цена проекта при работе в ноль</t>
        </is>
      </c>
      <c r="B124" s="68">
        <f>IF(projects_year=0,0,(CHOOSE(regime_no,'05_Расчёт'!B22,'05_Расчёт'!C22,'05_Расчёт'!D22,'05_Расчёт'!E22,'05_Расчёт'!F22,'05_Расчёт'!G22,'05_Расчёт'!H22))/projects_year)</f>
        <v>2814.4393505479693</v>
      </c>
    </row>
    <row r="125"/>
    <row r="126">
      <c r="A126" t="inlineStr">
        <is>
          <t>При этой ставке вы покрываете расходы, налоги и откладываете на технику — но не получаете НИЧЕГО.</t>
        </is>
      </c>
    </row>
    <row r="127">
      <c r="A127" t="inlineStr">
        <is>
          <t>Всё, что ниже, означает, что вы доплачиваете за право работать.</t>
        </is>
      </c>
    </row>
    <row r="129">
      <c r="A129" s="3" t="inlineStr">
        <is>
          <t>6 · ВАША НЕДЕЛЯ — 7 дней по 24 часа. Серое: сон и отдых. Цветное: работа</t>
        </is>
      </c>
    </row>
    <row r="130">
      <c r="A130" s="25" t="inlineStr">
        <is>
          <t>Каждый квадрат = 1 час. Часы работы распределены пропорционально годовым затратам времени.</t>
        </is>
      </c>
    </row>
    <row r="131">
      <c r="A131" s="24" t="inlineStr">
        <is>
          <t>час</t>
        </is>
      </c>
      <c r="B131" s="76" t="inlineStr">
        <is>
          <t>ПН</t>
        </is>
      </c>
      <c r="C131" s="76" t="inlineStr">
        <is>
          <t>ВТ</t>
        </is>
      </c>
      <c r="D131" s="76" t="inlineStr">
        <is>
          <t>СР</t>
        </is>
      </c>
      <c r="E131" s="76" t="inlineStr">
        <is>
          <t>ЧТ</t>
        </is>
      </c>
      <c r="F131" s="76" t="inlineStr">
        <is>
          <t>ПТ</t>
        </is>
      </c>
      <c r="G131" s="76" t="inlineStr">
        <is>
          <t>СБ</t>
        </is>
      </c>
      <c r="H131" s="76" t="inlineStr">
        <is>
          <t>ВС</t>
        </is>
      </c>
    </row>
    <row r="132" ht="13" customHeight="1">
      <c r="A132" s="91" t="inlineStr">
        <is>
          <t>00:00</t>
        </is>
      </c>
      <c r="B132" s="92" t="inlineStr"/>
      <c r="C132" s="92" t="inlineStr"/>
      <c r="D132" s="92" t="inlineStr"/>
      <c r="E132" s="92" t="inlineStr"/>
      <c r="F132" s="92" t="inlineStr"/>
      <c r="G132" s="92" t="inlineStr"/>
      <c r="H132" s="92" t="inlineStr"/>
    </row>
    <row r="133" ht="13" customHeight="1">
      <c r="A133" s="91" t="inlineStr">
        <is>
          <t>01:00</t>
        </is>
      </c>
      <c r="B133" s="92" t="inlineStr"/>
      <c r="C133" s="92" t="inlineStr"/>
      <c r="D133" s="92" t="inlineStr"/>
      <c r="E133" s="92" t="inlineStr"/>
      <c r="F133" s="92" t="inlineStr"/>
      <c r="G133" s="92" t="inlineStr"/>
      <c r="H133" s="92" t="inlineStr"/>
    </row>
    <row r="134" ht="13" customHeight="1">
      <c r="A134" s="91" t="inlineStr">
        <is>
          <t>02:00</t>
        </is>
      </c>
      <c r="B134" s="92" t="inlineStr"/>
      <c r="C134" s="92" t="inlineStr"/>
      <c r="D134" s="92" t="inlineStr"/>
      <c r="E134" s="92" t="inlineStr"/>
      <c r="F134" s="92" t="inlineStr"/>
      <c r="G134" s="92" t="inlineStr"/>
      <c r="H134" s="92" t="inlineStr"/>
    </row>
    <row r="135" ht="13" customHeight="1">
      <c r="A135" s="91" t="inlineStr">
        <is>
          <t>03:00</t>
        </is>
      </c>
      <c r="B135" s="92" t="inlineStr"/>
      <c r="C135" s="92" t="inlineStr"/>
      <c r="D135" s="92" t="inlineStr"/>
      <c r="E135" s="92" t="inlineStr"/>
      <c r="F135" s="92" t="inlineStr"/>
      <c r="G135" s="92" t="inlineStr"/>
      <c r="H135" s="92" t="inlineStr"/>
    </row>
    <row r="136" ht="13" customHeight="1">
      <c r="A136" s="91" t="inlineStr">
        <is>
          <t>04:00</t>
        </is>
      </c>
      <c r="B136" s="92" t="inlineStr"/>
      <c r="C136" s="92" t="inlineStr"/>
      <c r="D136" s="92" t="inlineStr"/>
      <c r="E136" s="92" t="inlineStr"/>
      <c r="F136" s="92" t="inlineStr"/>
      <c r="G136" s="92" t="inlineStr"/>
      <c r="H136" s="92" t="inlineStr"/>
    </row>
    <row r="137" ht="13" customHeight="1">
      <c r="A137" s="91" t="inlineStr">
        <is>
          <t>05:00</t>
        </is>
      </c>
      <c r="B137" s="92" t="inlineStr"/>
      <c r="C137" s="92" t="inlineStr"/>
      <c r="D137" s="92" t="inlineStr"/>
      <c r="E137" s="92" t="inlineStr"/>
      <c r="F137" s="92" t="inlineStr"/>
      <c r="G137" s="92" t="inlineStr"/>
      <c r="H137" s="92" t="inlineStr"/>
    </row>
    <row r="138" ht="13" customHeight="1">
      <c r="A138" s="91" t="inlineStr">
        <is>
          <t>06:00</t>
        </is>
      </c>
      <c r="B138" s="92" t="inlineStr"/>
      <c r="C138" s="92" t="inlineStr"/>
      <c r="D138" s="92" t="inlineStr"/>
      <c r="E138" s="92" t="inlineStr"/>
      <c r="F138" s="92" t="inlineStr"/>
      <c r="G138" s="92" t="inlineStr"/>
      <c r="H138" s="92" t="inlineStr"/>
    </row>
    <row r="139" ht="13" customHeight="1">
      <c r="A139" s="91" t="inlineStr">
        <is>
          <t>07:00</t>
        </is>
      </c>
      <c r="B139" s="92" t="inlineStr"/>
      <c r="C139" s="92" t="inlineStr"/>
      <c r="D139" s="92" t="inlineStr"/>
      <c r="E139" s="92" t="inlineStr"/>
      <c r="F139" s="92" t="inlineStr"/>
      <c r="G139" s="92" t="inlineStr"/>
      <c r="H139" s="92" t="inlineStr"/>
    </row>
    <row r="140" ht="13" customHeight="1">
      <c r="A140" s="91" t="inlineStr">
        <is>
          <t>08:00</t>
        </is>
      </c>
      <c r="B140" s="92" t="inlineStr"/>
      <c r="C140" s="92" t="inlineStr"/>
      <c r="D140" s="92" t="inlineStr"/>
      <c r="E140" s="92" t="inlineStr"/>
      <c r="F140" s="92" t="inlineStr"/>
      <c r="G140" s="92" t="inlineStr"/>
      <c r="H140" s="92" t="inlineStr"/>
    </row>
    <row r="141" ht="13" customHeight="1">
      <c r="A141" s="91" t="inlineStr">
        <is>
          <t>09:00</t>
        </is>
      </c>
      <c r="B141" s="93" t="inlineStr"/>
      <c r="C141" s="93" t="inlineStr"/>
      <c r="D141" s="93" t="inlineStr"/>
      <c r="E141" s="93" t="inlineStr"/>
      <c r="F141" s="93" t="inlineStr"/>
      <c r="G141" s="92" t="inlineStr"/>
      <c r="H141" s="92" t="inlineStr"/>
    </row>
    <row r="142" ht="13" customHeight="1">
      <c r="A142" s="91" t="inlineStr">
        <is>
          <t>10:00</t>
        </is>
      </c>
      <c r="B142" s="93" t="inlineStr"/>
      <c r="C142" s="93" t="inlineStr"/>
      <c r="D142" s="93" t="inlineStr"/>
      <c r="E142" s="93" t="inlineStr"/>
      <c r="F142" s="93" t="inlineStr"/>
      <c r="G142" s="92" t="inlineStr"/>
      <c r="H142" s="92" t="inlineStr"/>
    </row>
    <row r="143" ht="13" customHeight="1">
      <c r="A143" s="91" t="inlineStr">
        <is>
          <t>11:00</t>
        </is>
      </c>
      <c r="B143" s="93" t="inlineStr"/>
      <c r="C143" s="93" t="inlineStr"/>
      <c r="D143" s="93" t="inlineStr"/>
      <c r="E143" s="93" t="inlineStr"/>
      <c r="F143" s="93" t="inlineStr"/>
      <c r="G143" s="92" t="inlineStr"/>
      <c r="H143" s="92" t="inlineStr"/>
    </row>
    <row r="144" ht="13" customHeight="1">
      <c r="A144" s="91" t="inlineStr">
        <is>
          <t>12:00</t>
        </is>
      </c>
      <c r="B144" s="93" t="inlineStr"/>
      <c r="C144" s="93" t="inlineStr"/>
      <c r="D144" s="93" t="inlineStr"/>
      <c r="E144" s="93" t="inlineStr"/>
      <c r="F144" s="93" t="inlineStr"/>
      <c r="G144" s="92" t="inlineStr"/>
      <c r="H144" s="92" t="inlineStr"/>
    </row>
    <row r="145" ht="13" customHeight="1">
      <c r="A145" s="91" t="inlineStr">
        <is>
          <t>13:00</t>
        </is>
      </c>
      <c r="B145" s="93" t="inlineStr"/>
      <c r="C145" s="93" t="inlineStr"/>
      <c r="D145" s="93" t="inlineStr"/>
      <c r="E145" s="93" t="inlineStr"/>
      <c r="F145" s="93" t="inlineStr"/>
      <c r="G145" s="92" t="inlineStr"/>
      <c r="H145" s="92" t="inlineStr"/>
    </row>
    <row r="146" ht="13" customHeight="1">
      <c r="A146" s="91" t="inlineStr">
        <is>
          <t>14:00</t>
        </is>
      </c>
      <c r="B146" s="93" t="inlineStr"/>
      <c r="C146" s="93" t="inlineStr"/>
      <c r="D146" s="93" t="inlineStr"/>
      <c r="E146" s="93" t="inlineStr"/>
      <c r="F146" s="93" t="inlineStr"/>
      <c r="G146" s="92" t="inlineStr"/>
      <c r="H146" s="92" t="inlineStr"/>
    </row>
    <row r="147" ht="13" customHeight="1">
      <c r="A147" s="91" t="inlineStr">
        <is>
          <t>15:00</t>
        </is>
      </c>
      <c r="B147" s="93" t="inlineStr"/>
      <c r="C147" s="93" t="inlineStr"/>
      <c r="D147" s="93" t="inlineStr"/>
      <c r="E147" s="93" t="inlineStr"/>
      <c r="F147" s="93" t="inlineStr"/>
      <c r="G147" s="92" t="inlineStr"/>
      <c r="H147" s="92" t="inlineStr"/>
    </row>
    <row r="148" ht="13" customHeight="1">
      <c r="A148" s="91" t="inlineStr">
        <is>
          <t>16:00</t>
        </is>
      </c>
      <c r="B148" s="93" t="inlineStr"/>
      <c r="C148" s="93" t="inlineStr"/>
      <c r="D148" s="93" t="inlineStr"/>
      <c r="E148" s="93" t="inlineStr"/>
      <c r="F148" s="93" t="inlineStr"/>
      <c r="G148" s="92" t="inlineStr"/>
      <c r="H148" s="92" t="inlineStr"/>
    </row>
    <row r="149" ht="13" customHeight="1">
      <c r="A149" s="91" t="inlineStr">
        <is>
          <t>17:00</t>
        </is>
      </c>
      <c r="B149" s="92" t="inlineStr"/>
      <c r="C149" s="92" t="inlineStr"/>
      <c r="D149" s="92" t="inlineStr"/>
      <c r="E149" s="92" t="inlineStr"/>
      <c r="F149" s="92" t="inlineStr"/>
      <c r="G149" s="92" t="inlineStr"/>
      <c r="H149" s="92" t="inlineStr"/>
    </row>
    <row r="150" ht="13" customHeight="1">
      <c r="A150" s="91" t="inlineStr">
        <is>
          <t>18:00</t>
        </is>
      </c>
      <c r="B150" s="92" t="inlineStr"/>
      <c r="C150" s="92" t="inlineStr"/>
      <c r="D150" s="92" t="inlineStr"/>
      <c r="E150" s="92" t="inlineStr"/>
      <c r="F150" s="92" t="inlineStr"/>
      <c r="G150" s="92" t="inlineStr"/>
      <c r="H150" s="92" t="inlineStr"/>
    </row>
    <row r="151" ht="13" customHeight="1">
      <c r="A151" s="91" t="inlineStr">
        <is>
          <t>19:00</t>
        </is>
      </c>
      <c r="B151" s="92" t="inlineStr"/>
      <c r="C151" s="92" t="inlineStr"/>
      <c r="D151" s="92" t="inlineStr"/>
      <c r="E151" s="92" t="inlineStr"/>
      <c r="F151" s="92" t="inlineStr"/>
      <c r="G151" s="92" t="inlineStr"/>
      <c r="H151" s="92" t="inlineStr"/>
    </row>
    <row r="152" ht="13" customHeight="1">
      <c r="A152" s="91" t="inlineStr">
        <is>
          <t>20:00</t>
        </is>
      </c>
      <c r="B152" s="92" t="inlineStr"/>
      <c r="C152" s="92" t="inlineStr"/>
      <c r="D152" s="92" t="inlineStr"/>
      <c r="E152" s="92" t="inlineStr"/>
      <c r="F152" s="92" t="inlineStr"/>
      <c r="G152" s="92" t="inlineStr"/>
      <c r="H152" s="92" t="inlineStr"/>
    </row>
    <row r="153" ht="13" customHeight="1">
      <c r="A153" s="91" t="inlineStr">
        <is>
          <t>21:00</t>
        </is>
      </c>
      <c r="B153" s="92" t="inlineStr"/>
      <c r="C153" s="92" t="inlineStr"/>
      <c r="D153" s="92" t="inlineStr"/>
      <c r="E153" s="92" t="inlineStr"/>
      <c r="F153" s="92" t="inlineStr"/>
      <c r="G153" s="92" t="inlineStr"/>
      <c r="H153" s="92" t="inlineStr"/>
    </row>
    <row r="154" ht="13" customHeight="1">
      <c r="A154" s="91" t="inlineStr">
        <is>
          <t>22:00</t>
        </is>
      </c>
      <c r="B154" s="92" t="inlineStr"/>
      <c r="C154" s="92" t="inlineStr"/>
      <c r="D154" s="92" t="inlineStr"/>
      <c r="E154" s="92" t="inlineStr"/>
      <c r="F154" s="92" t="inlineStr"/>
      <c r="G154" s="92" t="inlineStr"/>
      <c r="H154" s="92" t="inlineStr"/>
    </row>
    <row r="155" ht="13" customHeight="1">
      <c r="A155" s="91" t="inlineStr">
        <is>
          <t>23:00</t>
        </is>
      </c>
      <c r="B155" s="92" t="inlineStr"/>
      <c r="C155" s="92" t="inlineStr"/>
      <c r="D155" s="92" t="inlineStr"/>
      <c r="E155" s="92" t="inlineStr"/>
      <c r="F155" s="92" t="inlineStr"/>
      <c r="G155" s="92" t="inlineStr"/>
      <c r="H155" s="92" t="inlineStr"/>
    </row>
    <row r="157">
      <c r="A157" s="2" t="inlineStr">
        <is>
          <t>Легенда:</t>
        </is>
      </c>
    </row>
    <row r="158">
      <c r="A158" s="94" t="inlineStr">
        <is>
          <t>Съёмка</t>
        </is>
      </c>
      <c r="B158" s="95" t="inlineStr"/>
      <c r="C158" s="94" t="inlineStr">
        <is>
          <t>Обработка</t>
        </is>
      </c>
      <c r="D158" s="96" t="inlineStr"/>
    </row>
    <row r="159">
      <c r="A159" s="94" t="inlineStr">
        <is>
          <t>Клиент</t>
        </is>
      </c>
      <c r="B159" s="97" t="inlineStr"/>
      <c r="C159" s="94" t="inlineStr">
        <is>
          <t>Продвижение</t>
        </is>
      </c>
      <c r="D159" s="98" t="inlineStr"/>
    </row>
    <row r="160">
      <c r="A160" s="94" t="inlineStr">
        <is>
          <t>Учёт</t>
        </is>
      </c>
      <c r="B160" s="99" t="inlineStr"/>
      <c r="C160" s="94" t="inlineStr">
        <is>
          <t>Резерв</t>
        </is>
      </c>
      <c r="D160" s="100" t="inlineStr"/>
    </row>
    <row r="161">
      <c r="A161" s="94" t="inlineStr">
        <is>
          <t>Не занято</t>
        </is>
      </c>
      <c r="B161" s="93" t="inlineStr"/>
      <c r="C161" s="94" t="inlineStr">
        <is>
          <t>Отдых</t>
        </is>
      </c>
      <c r="D161" s="92" t="inlineStr"/>
    </row>
    <row r="163">
      <c r="A163" s="2" t="inlineStr">
        <is>
          <t>Часов в неделю по видам работ (из годовых величин):</t>
        </is>
      </c>
    </row>
    <row r="164">
      <c r="A164" t="inlineStr">
        <is>
          <t>Съёмка</t>
        </is>
      </c>
      <c r="B164" s="31">
        <f>IF(net_weeks=0,0,shooting_time/net_weeks)</f>
        <v>4.945205479452055</v>
      </c>
    </row>
    <row r="165">
      <c r="A165" t="inlineStr">
        <is>
          <t>Обработка</t>
        </is>
      </c>
      <c r="B165" s="31">
        <f>IF(net_weeks=0,0,post_time/net_weeks)</f>
        <v>14.835616438356164</v>
      </c>
    </row>
    <row r="166">
      <c r="A166" t="inlineStr">
        <is>
          <t>Работа с клиентом</t>
        </is>
      </c>
      <c r="B166" s="31">
        <f>IF(net_weeks=0,0,client_total/net_weeks)</f>
        <v>4.945205479452055</v>
      </c>
    </row>
    <row r="167">
      <c r="A167" t="inlineStr">
        <is>
          <t>Продвижение</t>
        </is>
      </c>
      <c r="B167" s="31">
        <f>IF(net_weeks=0,0,promo_time/net_weeks)</f>
        <v>10.0</v>
      </c>
    </row>
    <row r="168">
      <c r="A168" t="inlineStr">
        <is>
          <t>Учёт и отчётность</t>
        </is>
      </c>
      <c r="B168" s="31">
        <f>IF(net_weeks=0,0,accounting_time/net_weeks)</f>
        <v>0.27397260273972607</v>
      </c>
    </row>
    <row r="169">
      <c r="A169" t="inlineStr">
        <is>
          <t>Резерв</t>
        </is>
      </c>
      <c r="B169" s="31">
        <f>IF(net_weeks=0,0,fm_time/net_weeks)</f>
        <v>0.0</v>
      </c>
    </row>
    <row r="170">
      <c r="A170" s="2" t="inlineStr">
        <is>
          <t>ИТОГО занято в неделю</t>
        </is>
      </c>
      <c r="B170" s="86">
        <f>IF(net_weeks=0,0,net_time/net_weeks)</f>
        <v>35.0</v>
      </c>
    </row>
    <row r="171">
      <c r="A171" s="25" t="inlineStr">
        <is>
          <t>из 40 часов стандартной недели</t>
        </is>
      </c>
    </row>
  </sheetData>
  <mergeCells count="32">
    <mergeCell ref="A14:G14"/>
    <mergeCell ref="A126:G126"/>
    <mergeCell ref="A122:G122"/>
    <mergeCell ref="A109:G109"/>
    <mergeCell ref="A4:G4"/>
    <mergeCell ref="A100:G100"/>
    <mergeCell ref="A96:G96"/>
    <mergeCell ref="A125:G125"/>
    <mergeCell ref="A111:G111"/>
    <mergeCell ref="A127:G127"/>
    <mergeCell ref="A129:G129"/>
    <mergeCell ref="A92:G92"/>
    <mergeCell ref="A24:G24"/>
    <mergeCell ref="F54:I54"/>
    <mergeCell ref="A98:G98"/>
    <mergeCell ref="A51:G51"/>
    <mergeCell ref="A119:G119"/>
    <mergeCell ref="A1:G1"/>
    <mergeCell ref="K54:N54"/>
    <mergeCell ref="A94:G94"/>
    <mergeCell ref="A110:G110"/>
    <mergeCell ref="A54:D54"/>
    <mergeCell ref="A90:G90"/>
    <mergeCell ref="A41:G41"/>
    <mergeCell ref="A84:G84"/>
    <mergeCell ref="A118:G118"/>
    <mergeCell ref="A120:G120"/>
    <mergeCell ref="A2:G2"/>
    <mergeCell ref="A86:G86"/>
    <mergeCell ref="A113:G113"/>
    <mergeCell ref="A33:G33"/>
    <mergeCell ref="A85:G85"/>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0" customWidth="1" min="3" max="3"/>
    <col width="24" customWidth="1" min="4" max="4"/>
    <col width="16" customWidth="1" min="5" max="5"/>
    <col width="44" customWidth="1" min="6" max="6"/>
    <col width="30" customWidth="1" min="7" max="7"/>
  </cols>
  <sheetData>
    <row r="1">
      <c r="A1" s="1" t="inlineStr">
        <is>
          <t>07 · ИНТЕРФЕЙС — блоки и формы калькулятора</t>
        </is>
      </c>
    </row>
    <row r="3">
      <c r="A3" s="44" t="inlineStr">
        <is>
          <t>Блок</t>
        </is>
      </c>
      <c r="B3" s="44" t="inlineStr">
        <is>
          <t>Раздел</t>
        </is>
      </c>
      <c r="C3" s="44" t="inlineStr">
        <is>
          <t>Заголовок</t>
        </is>
      </c>
      <c r="D3" s="44" t="inlineStr">
        <is>
          <t>Тип поля</t>
        </is>
      </c>
      <c r="E3" s="44" t="inlineStr">
        <is>
          <t>Формы</t>
        </is>
      </c>
      <c r="F3" s="44" t="inlineStr">
        <is>
          <t>Что задаёт</t>
        </is>
      </c>
      <c r="G3" s="44" t="inlineStr">
        <is>
          <t>Параметры в 02_Параметры</t>
        </is>
      </c>
    </row>
    <row r="4">
      <c r="A4" s="6" t="inlineStr">
        <is>
          <t>Block1</t>
        </is>
      </c>
      <c r="B4" s="5" t="inlineStr">
        <is>
          <t>Section1</t>
        </is>
      </c>
      <c r="C4" s="5" t="inlineStr">
        <is>
          <t>Ваш желаемый доход</t>
        </is>
      </c>
      <c r="D4" s="5" t="inlineStr">
        <is>
          <t>input_number</t>
        </is>
      </c>
      <c r="E4" s="5" t="inlineStr">
        <is>
          <t>—</t>
        </is>
      </c>
      <c r="F4" s="5" t="inlineStr">
        <is>
          <t>Сумма на руки в месяц</t>
        </is>
      </c>
      <c r="G4" s="6" t="inlineStr">
        <is>
          <t>income_month</t>
        </is>
      </c>
    </row>
    <row r="5">
      <c r="A5" s="6" t="inlineStr">
        <is>
          <t>Block2</t>
        </is>
      </c>
      <c r="B5" s="5" t="inlineStr">
        <is>
          <t>Section1</t>
        </is>
      </c>
      <c r="C5" s="5" t="inlineStr">
        <is>
          <t>Текущая стоимость часа</t>
        </is>
      </c>
      <c r="D5" s="5" t="inlineStr">
        <is>
          <t>input_number</t>
        </is>
      </c>
      <c r="E5" s="5" t="inlineStr">
        <is>
          <t>—</t>
        </is>
      </c>
      <c r="F5" s="5" t="inlineStr">
        <is>
          <t>Для сравнения</t>
        </is>
      </c>
      <c r="G5" s="6" t="inlineStr">
        <is>
          <t>current_rate</t>
        </is>
      </c>
    </row>
    <row r="6">
      <c r="A6" s="6" t="inlineStr">
        <is>
          <t>Block3</t>
        </is>
      </c>
      <c r="B6" s="5" t="inlineStr">
        <is>
          <t>Section1</t>
        </is>
      </c>
      <c r="C6" s="5" t="inlineStr">
        <is>
          <t>Минимальный выезд (часов)</t>
        </is>
      </c>
      <c r="D6" s="5" t="inlineStr">
        <is>
          <t>input_number</t>
        </is>
      </c>
      <c r="E6" s="5" t="inlineStr">
        <is>
          <t>—</t>
        </is>
      </c>
      <c r="F6" s="5" t="inlineStr">
        <is>
          <t>Базовый заказ: ниже не выезжаете</t>
        </is>
      </c>
      <c r="G6" s="6" t="inlineStr">
        <is>
          <t>shoot_duration</t>
        </is>
      </c>
    </row>
    <row r="7">
      <c r="A7" s="6" t="inlineStr">
        <is>
          <t>Block3a</t>
        </is>
      </c>
      <c r="B7" s="5" t="inlineStr">
        <is>
          <t>Section1</t>
        </is>
      </c>
      <c r="C7" s="5" t="inlineStr">
        <is>
          <t>Коэффициент обработки</t>
        </is>
      </c>
      <c r="D7" s="5" t="inlineStr">
        <is>
          <t>input_number</t>
        </is>
      </c>
      <c r="E7" s="5" t="inlineStr">
        <is>
          <t>—</t>
        </is>
      </c>
      <c r="F7" s="5" t="inlineStr">
        <is>
          <t>Часов обработки на 1 час съёмки</t>
        </is>
      </c>
      <c r="G7" s="6" t="inlineStr">
        <is>
          <t>post_ratio</t>
        </is>
      </c>
    </row>
    <row r="8">
      <c r="A8" s="15" t="inlineStr">
        <is>
          <t>Block4</t>
        </is>
      </c>
      <c r="B8" s="14" t="inlineStr">
        <is>
          <t>Section1</t>
        </is>
      </c>
      <c r="C8" s="14" t="inlineStr">
        <is>
          <t>Режим налогообложения</t>
        </is>
      </c>
      <c r="D8" s="14" t="inlineStr">
        <is>
          <t>dropdown</t>
        </is>
      </c>
      <c r="E8" s="14" t="inlineStr">
        <is>
          <t>Form015, Form016</t>
        </is>
      </c>
      <c r="F8" s="14" t="inlineStr">
        <is>
          <t>ПЕРЕКЛЮЧАТЕЛЬ, 7 вариантов</t>
        </is>
      </c>
      <c r="G8" s="15" t="inlineStr">
        <is>
          <t>regime</t>
        </is>
      </c>
    </row>
    <row r="9">
      <c r="A9" s="6" t="inlineStr">
        <is>
          <t>Block5</t>
        </is>
      </c>
      <c r="B9" s="5" t="inlineStr">
        <is>
          <t>Section1</t>
        </is>
      </c>
      <c r="C9" s="5" t="inlineStr">
        <is>
          <t>Как мы считаем</t>
        </is>
      </c>
      <c r="D9" s="5" t="inlineStr">
        <is>
          <t>info_block</t>
        </is>
      </c>
      <c r="E9" s="5" t="inlineStr">
        <is>
          <t>—</t>
        </is>
      </c>
      <c r="F9" s="5" t="inlineStr">
        <is>
          <t>Пояснение</t>
        </is>
      </c>
      <c r="G9" s="6" t="inlineStr">
        <is>
          <t>—</t>
        </is>
      </c>
    </row>
    <row r="10">
      <c r="A10" s="6" t="inlineStr">
        <is>
          <t>Block6</t>
        </is>
      </c>
      <c r="B10" s="5" t="inlineStr">
        <is>
          <t>Section2</t>
        </is>
      </c>
      <c r="C10" s="5" t="inlineStr">
        <is>
          <t>Съёмочное оборудование</t>
        </is>
      </c>
      <c r="D10" s="5" t="inlineStr">
        <is>
          <t>dynamic_table</t>
        </is>
      </c>
      <c r="E10" s="5" t="inlineStr">
        <is>
          <t>Form001</t>
        </is>
      </c>
      <c r="F10" s="5" t="inlineStr">
        <is>
          <t>Список позиций</t>
        </is>
      </c>
      <c r="G10" s="6" t="inlineStr">
        <is>
          <t>dep_shoot</t>
        </is>
      </c>
    </row>
    <row r="11">
      <c r="A11" s="6" t="inlineStr">
        <is>
          <t>Block7</t>
        </is>
      </c>
      <c r="B11" s="5" t="inlineStr">
        <is>
          <t>Section2</t>
        </is>
      </c>
      <c r="C11" s="5" t="inlineStr">
        <is>
          <t>Офисное оборудование</t>
        </is>
      </c>
      <c r="D11" s="5" t="inlineStr">
        <is>
          <t>dynamic_table</t>
        </is>
      </c>
      <c r="E11" s="5" t="inlineStr">
        <is>
          <t>Form002</t>
        </is>
      </c>
      <c r="F11" s="5" t="inlineStr">
        <is>
          <t>Список позиций</t>
        </is>
      </c>
      <c r="G11" s="6" t="inlineStr">
        <is>
          <t>dep_office</t>
        </is>
      </c>
    </row>
    <row r="12">
      <c r="A12" s="6" t="inlineStr">
        <is>
          <t>Block8</t>
        </is>
      </c>
      <c r="B12" s="5" t="inlineStr">
        <is>
          <t>Section2</t>
        </is>
      </c>
      <c r="C12" s="5" t="inlineStr">
        <is>
          <t>Программное обеспечение</t>
        </is>
      </c>
      <c r="D12" s="5" t="inlineStr">
        <is>
          <t>dynamic_tables</t>
        </is>
      </c>
      <c r="E12" s="5" t="inlineStr">
        <is>
          <t>Form003, Form004</t>
        </is>
      </c>
      <c r="F12" s="5" t="inlineStr">
        <is>
          <t>Подписки и разовые</t>
        </is>
      </c>
      <c r="G12" s="6" t="inlineStr">
        <is>
          <t>var_software, dep_software</t>
        </is>
      </c>
    </row>
    <row r="13">
      <c r="A13" s="15" t="inlineStr">
        <is>
          <t>Block9</t>
        </is>
      </c>
      <c r="B13" s="14" t="inlineStr">
        <is>
          <t>Section2</t>
        </is>
      </c>
      <c r="C13" s="14" t="inlineStr">
        <is>
          <t>Рабочее место</t>
        </is>
      </c>
      <c r="D13" s="14" t="inlineStr">
        <is>
          <t>dropdown + table</t>
        </is>
      </c>
      <c r="E13" s="14" t="inlineStr">
        <is>
          <t>Form005, Form013</t>
        </is>
      </c>
      <c r="F13" s="14" t="inlineStr">
        <is>
          <t>ПЕРЕКЛЮЧАТЕЛЬ дом/аренда</t>
        </is>
      </c>
      <c r="G13" s="15" t="inlineStr">
        <is>
          <t>ws_mode, var_workspace, dep_workspace</t>
        </is>
      </c>
    </row>
    <row r="14">
      <c r="A14" s="15" t="inlineStr">
        <is>
          <t>Block10</t>
        </is>
      </c>
      <c r="B14" s="14" t="inlineStr">
        <is>
          <t>Section2</t>
        </is>
      </c>
      <c r="C14" s="14" t="inlineStr">
        <is>
          <t>Проф. обучение</t>
        </is>
      </c>
      <c r="D14" s="14" t="inlineStr">
        <is>
          <t>input_extended</t>
        </is>
      </c>
      <c r="E14" s="14" t="inlineStr">
        <is>
          <t>Form006</t>
        </is>
      </c>
      <c r="F14" s="14" t="inlineStr">
        <is>
          <t>Стоимость, месяцы обучения и срок окупаемости</t>
        </is>
      </c>
      <c r="G14" s="15" t="inlineStr">
        <is>
          <t>edu_opportunity, dep_education</t>
        </is>
      </c>
    </row>
    <row r="15">
      <c r="A15" s="6" t="inlineStr">
        <is>
          <t>Block11</t>
        </is>
      </c>
      <c r="B15" s="5" t="inlineStr">
        <is>
          <t>Section3</t>
        </is>
      </c>
      <c r="C15" s="5" t="inlineStr">
        <is>
          <t>Поиск заказов</t>
        </is>
      </c>
      <c r="D15" s="5" t="inlineStr">
        <is>
          <t>2 parts</t>
        </is>
      </c>
      <c r="E15" s="5" t="inlineStr">
        <is>
          <t>Form009, Form010</t>
        </is>
      </c>
      <c r="F15" s="5" t="inlineStr">
        <is>
          <t>Время и деньги</t>
        </is>
      </c>
      <c r="G15" s="6" t="inlineStr">
        <is>
          <t>promo_per_day, var_ads</t>
        </is>
      </c>
    </row>
    <row r="16">
      <c r="A16" s="15" t="inlineStr">
        <is>
          <t>Block12</t>
        </is>
      </c>
      <c r="B16" s="14" t="inlineStr">
        <is>
          <t>Section2</t>
        </is>
      </c>
      <c r="C16" s="14" t="inlineStr">
        <is>
          <t>Создание сайта</t>
        </is>
      </c>
      <c r="D16" s="14" t="inlineStr">
        <is>
          <t>radio + input</t>
        </is>
      </c>
      <c r="E16" s="14" t="inlineStr">
        <is>
          <t>Form014</t>
        </is>
      </c>
      <c r="F16" s="14" t="inlineStr">
        <is>
          <t>ПЕРЕКЛЮЧАТЕЛЬ сам/нанимал</t>
        </is>
      </c>
      <c r="G16" s="15" t="inlineStr">
        <is>
          <t>site_mode, dep_website, site_divisor</t>
        </is>
      </c>
    </row>
    <row r="17">
      <c r="A17" s="6" t="inlineStr">
        <is>
          <t>Block13</t>
        </is>
      </c>
      <c r="B17" s="5" t="inlineStr">
        <is>
          <t>Section4</t>
        </is>
      </c>
      <c r="C17" s="5" t="inlineStr">
        <is>
          <t>Работа с клиентом</t>
        </is>
      </c>
      <c r="D17" s="5" t="inlineStr">
        <is>
          <t>input_number</t>
        </is>
      </c>
      <c r="E17" s="5" t="inlineStr">
        <is>
          <t>Form012</t>
        </is>
      </c>
      <c r="F17" s="5" t="inlineStr">
        <is>
          <t>Часов на проект</t>
        </is>
      </c>
      <c r="G17" s="6" t="inlineStr">
        <is>
          <t>client_time</t>
        </is>
      </c>
    </row>
    <row r="18">
      <c r="A18" s="15" t="inlineStr">
        <is>
          <t>Block14</t>
        </is>
      </c>
      <c r="B18" s="14" t="inlineStr">
        <is>
          <t>Section3</t>
        </is>
      </c>
      <c r="C18" s="14" t="inlineStr">
        <is>
          <t>Учёт и планирование</t>
        </is>
      </c>
      <c r="D18" s="14" t="inlineStr">
        <is>
          <t>dropdown</t>
        </is>
      </c>
      <c r="E18" s="14" t="inlineStr">
        <is>
          <t>Form011</t>
        </is>
      </c>
      <c r="F18" s="14" t="inlineStr">
        <is>
          <t>ПЕРЕКЛЮЧАТЕЛЬ сам/специалист</t>
        </is>
      </c>
      <c r="G18" s="15" t="inlineStr">
        <is>
          <t>acc_mode, var_accounting, accounting_time</t>
        </is>
      </c>
    </row>
    <row r="19">
      <c r="A19" s="15" t="inlineStr">
        <is>
          <t>Block14a</t>
        </is>
      </c>
      <c r="B19" s="14" t="inlineStr">
        <is>
          <t>Section4</t>
        </is>
      </c>
      <c r="C19" s="14" t="inlineStr">
        <is>
          <t>Резерв на форс-мажоры</t>
        </is>
      </c>
      <c r="D19" s="14" t="inlineStr">
        <is>
          <t>checkbox + input</t>
        </is>
      </c>
      <c r="E19" s="14" t="inlineStr">
        <is>
          <t>—</t>
        </is>
      </c>
      <c r="F19" s="14" t="inlineStr">
        <is>
          <t>ПЕРЕКЛЮЧАТЕЛЬ + процент, по умолчанию 5%</t>
        </is>
      </c>
      <c r="G19" s="15" t="inlineStr">
        <is>
          <t>fm_on, fm_pct, fm_time</t>
        </is>
      </c>
    </row>
    <row r="20">
      <c r="A20" s="6" t="inlineStr">
        <is>
          <t>Block15</t>
        </is>
      </c>
      <c r="B20" s="5" t="inlineStr">
        <is>
          <t>Section3</t>
        </is>
      </c>
      <c r="C20" s="5" t="inlineStr">
        <is>
          <t>Банковские расходы</t>
        </is>
      </c>
      <c r="D20" s="5" t="inlineStr">
        <is>
          <t>2 parts</t>
        </is>
      </c>
      <c r="E20" s="5" t="inlineStr">
        <is>
          <t>Form007, Form008</t>
        </is>
      </c>
      <c r="F20" s="5" t="inlineStr">
        <is>
          <t>РКО и эквайринг</t>
        </is>
      </c>
      <c r="G20" s="6" t="inlineStr">
        <is>
          <t>var_bank, acq_rate</t>
        </is>
      </c>
    </row>
    <row r="21">
      <c r="A21" s="6" t="inlineStr">
        <is>
          <t>Block16</t>
        </is>
      </c>
      <c r="B21" s="5" t="inlineStr">
        <is>
          <t>Section5</t>
        </is>
      </c>
      <c r="C21" s="5" t="inlineStr">
        <is>
          <t>Ваша ставка часа</t>
        </is>
      </c>
      <c r="D21" s="5" t="inlineStr">
        <is>
          <t>report</t>
        </is>
      </c>
      <c r="E21" s="5" t="inlineStr">
        <is>
          <t>—</t>
        </is>
      </c>
      <c r="F21" s="5" t="inlineStr">
        <is>
          <t>Вывод</t>
        </is>
      </c>
      <c r="G21" s="6" t="inlineStr">
        <is>
          <t>05_Итог</t>
        </is>
      </c>
    </row>
    <row r="22">
      <c r="A22" s="6" t="inlineStr">
        <is>
          <t>Block17</t>
        </is>
      </c>
      <c r="B22" s="5" t="inlineStr">
        <is>
          <t>Section5</t>
        </is>
      </c>
      <c r="C22" s="5" t="inlineStr">
        <is>
          <t>Сколько вы теряете</t>
        </is>
      </c>
      <c r="D22" s="5" t="inlineStr">
        <is>
          <t>report</t>
        </is>
      </c>
      <c r="E22" s="5" t="inlineStr">
        <is>
          <t>—</t>
        </is>
      </c>
      <c r="F22" s="5" t="inlineStr">
        <is>
          <t>Вывод</t>
        </is>
      </c>
      <c r="G22" s="6" t="inlineStr">
        <is>
          <t>05_Итог</t>
        </is>
      </c>
    </row>
    <row r="23">
      <c r="A23" s="6" t="inlineStr">
        <is>
          <t>Block18</t>
        </is>
      </c>
      <c r="B23" s="5" t="inlineStr">
        <is>
          <t>Section5</t>
        </is>
      </c>
      <c r="C23" s="5" t="inlineStr">
        <is>
          <t>Сравнение режимов</t>
        </is>
      </c>
      <c r="D23" s="5" t="inlineStr">
        <is>
          <t>report</t>
        </is>
      </c>
      <c r="E23" s="5" t="inlineStr">
        <is>
          <t>—</t>
        </is>
      </c>
      <c r="F23" s="5" t="inlineStr">
        <is>
          <t>Вывод</t>
        </is>
      </c>
      <c r="G23" s="6" t="inlineStr">
        <is>
          <t>04_Расчёт</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0"/>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13" customWidth="1" min="3" max="3"/>
    <col width="30" customWidth="1" min="4" max="4"/>
    <col width="20" customWidth="1" min="5" max="5"/>
    <col width="17" customWidth="1" min="6" max="6"/>
    <col width="10" customWidth="1" min="7" max="7"/>
    <col width="15" customWidth="1" min="8" max="8"/>
    <col width="13" customWidth="1" min="9" max="9"/>
    <col width="11" customWidth="1" min="10" max="10"/>
    <col width="26" customWidth="1" min="11" max="11"/>
    <col width="30" customWidth="1" min="12" max="12"/>
  </cols>
  <sheetData>
    <row r="1">
      <c r="A1" s="1" t="inlineStr">
        <is>
          <t>08 · UI-МАТРИЦА — точная карта интерфейса. Каждая строка = один элемент на экране</t>
        </is>
      </c>
    </row>
    <row r="2">
      <c r="A2" s="25" t="inlineStr">
        <is>
          <t>Переносится в HTML построчно. Колонки: где стоит, что за поле, какая ширина, чем управляется, куда пишет значение.</t>
        </is>
      </c>
    </row>
    <row r="4" ht="32" customHeight="1">
      <c r="A4" s="26" t="inlineStr">
        <is>
          <t>№</t>
        </is>
      </c>
      <c r="B4" s="26" t="inlineStr">
        <is>
          <t>Блок</t>
        </is>
      </c>
      <c r="C4" s="26" t="inlineStr">
        <is>
          <t>Раздел</t>
        </is>
      </c>
      <c r="D4" s="26" t="inlineStr">
        <is>
          <t>Заголовок / подпись</t>
        </is>
      </c>
      <c r="E4" s="26" t="inlineStr">
        <is>
          <t>Элемент</t>
        </is>
      </c>
      <c r="F4" s="26" t="inlineStr">
        <is>
          <t>Тип поля</t>
        </is>
      </c>
      <c r="G4" s="26" t="inlineStr">
        <is>
          <t>Ширина</t>
        </is>
      </c>
      <c r="H4" s="26" t="inlineStr">
        <is>
          <t>Значение по умолч.</t>
        </is>
      </c>
      <c r="I4" s="26" t="inlineStr">
        <is>
          <t>Ед.</t>
        </is>
      </c>
      <c r="J4" s="26" t="inlineStr">
        <is>
          <t>Форма</t>
        </is>
      </c>
      <c r="K4" s="26" t="inlineStr">
        <is>
          <t>Параметр (ID)</t>
        </is>
      </c>
      <c r="L4" s="26" t="inlineStr">
        <is>
          <t>Условие показа / блокировки</t>
        </is>
      </c>
    </row>
    <row r="5">
      <c r="A5" s="101" t="inlineStr">
        <is>
          <t>01</t>
        </is>
      </c>
      <c r="B5" s="3" t="inlineStr">
        <is>
          <t>Block1</t>
        </is>
      </c>
      <c r="C5" s="3" t="inlineStr">
        <is>
          <t>1 · О вас</t>
        </is>
      </c>
      <c r="D5" s="3" t="inlineStr">
        <is>
          <t>Ваш желаемый доход</t>
        </is>
      </c>
      <c r="E5" s="102" t="inlineStr">
        <is>
          <t>самый важный параметр — на всю ширину</t>
        </is>
      </c>
      <c r="F5" s="103" t="n"/>
      <c r="G5" s="103" t="n"/>
      <c r="H5" s="103" t="n"/>
      <c r="I5" s="103" t="n"/>
      <c r="J5" s="103" t="n"/>
      <c r="K5" s="103" t="n"/>
      <c r="L5" s="103" t="n"/>
    </row>
    <row r="6">
      <c r="A6" s="5" t="inlineStr"/>
      <c r="B6" s="5" t="inlineStr"/>
      <c r="C6" s="5" t="inlineStr"/>
      <c r="D6" s="5" t="inlineStr">
        <is>
          <t>Хочу получать на руки</t>
        </is>
      </c>
      <c r="E6" s="5" t="inlineStr">
        <is>
          <t>поле ввода</t>
        </is>
      </c>
      <c r="F6" s="6" t="inlineStr">
        <is>
          <t>input_number</t>
        </is>
      </c>
      <c r="G6" s="61" t="inlineStr">
        <is>
          <t>52% + кнопка сброса</t>
        </is>
      </c>
      <c r="H6" s="5" t="inlineStr">
        <is>
          <t>110 216</t>
        </is>
      </c>
      <c r="I6" s="5" t="inlineStr">
        <is>
          <t>₽/мес</t>
        </is>
      </c>
      <c r="J6" s="5" t="inlineStr">
        <is>
          <t>—</t>
        </is>
      </c>
      <c r="K6" s="6" t="inlineStr">
        <is>
          <t>income_month</t>
        </is>
      </c>
      <c r="L6" s="5" t="inlineStr"/>
    </row>
    <row r="7">
      <c r="A7" s="101" t="inlineStr">
        <is>
          <t>02</t>
        </is>
      </c>
      <c r="B7" s="3" t="inlineStr">
        <is>
          <t>Block4 + Block2</t>
        </is>
      </c>
      <c r="C7" s="3" t="inlineStr">
        <is>
          <t>1 · О вас</t>
        </is>
      </c>
      <c r="D7" s="3" t="inlineStr">
        <is>
          <t>Режим налогообложения и текущая ставка</t>
        </is>
      </c>
      <c r="E7" s="102" t="inlineStr">
        <is>
          <t>две колонки в одну строку</t>
        </is>
      </c>
      <c r="F7" s="103" t="n"/>
      <c r="G7" s="103" t="n"/>
      <c r="H7" s="103" t="n"/>
      <c r="I7" s="103" t="n"/>
      <c r="J7" s="103" t="n"/>
      <c r="K7" s="103" t="n"/>
      <c r="L7" s="103" t="n"/>
    </row>
    <row r="8">
      <c r="A8" s="5" t="inlineStr"/>
      <c r="B8" s="5" t="inlineStr"/>
      <c r="C8" s="5" t="inlineStr"/>
      <c r="D8" s="5" t="inlineStr">
        <is>
          <t>Ваш режим налогообложения</t>
        </is>
      </c>
      <c r="E8" s="5" t="inlineStr">
        <is>
          <t>выпадающий список</t>
        </is>
      </c>
      <c r="F8" s="6" t="inlineStr">
        <is>
          <t>select</t>
        </is>
      </c>
      <c r="G8" s="61" t="inlineStr">
        <is>
          <t>50%</t>
        </is>
      </c>
      <c r="H8" s="5" t="inlineStr">
        <is>
          <t>Самозанятый (НПД), средняя 5%</t>
        </is>
      </c>
      <c r="I8" s="5" t="inlineStr"/>
      <c r="J8" s="5" t="inlineStr">
        <is>
          <t>Form015</t>
        </is>
      </c>
      <c r="K8" s="6" t="inlineStr">
        <is>
          <t>regime</t>
        </is>
      </c>
      <c r="L8" s="5" t="inlineStr">
        <is>
          <t>7 вариантов: НПД средняя/физ/юр, УСН 6, УСН 15, АУСН 8, АУСН 20</t>
        </is>
      </c>
    </row>
    <row r="9">
      <c r="A9" s="5" t="inlineStr"/>
      <c r="B9" s="5" t="inlineStr"/>
      <c r="C9" s="5" t="inlineStr"/>
      <c r="D9" s="5" t="inlineStr">
        <is>
          <t>Моя ставка сейчас</t>
        </is>
      </c>
      <c r="E9" s="5" t="inlineStr">
        <is>
          <t>поле ввода</t>
        </is>
      </c>
      <c r="F9" s="6" t="inlineStr">
        <is>
          <t>input_number</t>
        </is>
      </c>
      <c r="G9" s="61" t="inlineStr">
        <is>
          <t>52% + кнопка сброса</t>
        </is>
      </c>
      <c r="H9" s="5" t="inlineStr">
        <is>
          <t>6 000</t>
        </is>
      </c>
      <c r="I9" s="5" t="inlineStr">
        <is>
          <t>₽/час</t>
        </is>
      </c>
      <c r="J9" s="5" t="inlineStr">
        <is>
          <t>—</t>
        </is>
      </c>
      <c r="K9" s="6" t="inlineStr">
        <is>
          <t>current_rate</t>
        </is>
      </c>
      <c r="L9" s="5" t="inlineStr">
        <is>
          <t>необязательное; если 0 — блок «сколько теряете» скрыт</t>
        </is>
      </c>
    </row>
    <row r="10">
      <c r="A10" s="101" t="inlineStr">
        <is>
          <t>03</t>
        </is>
      </c>
      <c r="B10" s="3" t="inlineStr">
        <is>
          <t>Block5</t>
        </is>
      </c>
      <c r="C10" s="3" t="inlineStr">
        <is>
          <t>1 · О вас</t>
        </is>
      </c>
      <c r="D10" s="3" t="inlineStr">
        <is>
          <t>Как мы считаем:</t>
        </is>
      </c>
      <c r="E10" s="102" t="inlineStr">
        <is>
          <t>информационный блок, полей нет</t>
        </is>
      </c>
      <c r="F10" s="103" t="n"/>
      <c r="G10" s="103" t="n"/>
      <c r="H10" s="103" t="n"/>
      <c r="I10" s="103" t="n"/>
      <c r="J10" s="103" t="n"/>
      <c r="K10" s="103" t="n"/>
      <c r="L10" s="103" t="n"/>
    </row>
    <row r="11">
      <c r="A11" s="11" t="inlineStr"/>
      <c r="B11" s="11" t="inlineStr"/>
      <c r="C11" s="11" t="inlineStr"/>
      <c r="D11" s="11" t="inlineStr">
        <is>
          <t>Пояснительный текст</t>
        </is>
      </c>
      <c r="E11" s="11" t="inlineStr">
        <is>
          <t>текстовый блок</t>
        </is>
      </c>
      <c r="F11" s="12" t="inlineStr">
        <is>
          <t>info_block</t>
        </is>
      </c>
      <c r="G11" s="104" t="inlineStr">
        <is>
          <t>100%</t>
        </is>
      </c>
      <c r="H11" s="11" t="inlineStr">
        <is>
          <t>Работа на себя должна делать вашу жизнь лучше, а не превращать её в бесконечную работу. Поэтому в расчётах Счётикс мы ориентируемся на нормы трудового законодательства РФ и производственный календарь — чтобы у вас оставались силы на творчество, развитие и жизнь вне работы.</t>
        </is>
      </c>
      <c r="I11" s="11" t="inlineStr"/>
      <c r="J11" s="11" t="inlineStr">
        <is>
          <t>—</t>
        </is>
      </c>
      <c r="K11" s="12" t="inlineStr">
        <is>
          <t>—</t>
        </is>
      </c>
      <c r="L11" s="11" t="inlineStr">
        <is>
          <t>про отпуск, больничный, эффективные часы, почему час съёмки дороже часа работы</t>
        </is>
      </c>
    </row>
    <row r="12">
      <c r="A12" s="101" t="inlineStr">
        <is>
          <t>04</t>
        </is>
      </c>
      <c r="B12" s="3" t="inlineStr">
        <is>
          <t>Block3 + Block3a</t>
        </is>
      </c>
      <c r="C12" s="3" t="inlineStr">
        <is>
          <t>2 · Работа</t>
        </is>
      </c>
      <c r="D12" s="3" t="inlineStr">
        <is>
          <t>Как устроена ваша работа</t>
        </is>
      </c>
      <c r="E12" s="102" t="inlineStr">
        <is>
          <t>две колонки</t>
        </is>
      </c>
      <c r="F12" s="103" t="n"/>
      <c r="G12" s="103" t="n"/>
      <c r="H12" s="103" t="inlineStr">
        <is>
          <t>Время — ваш главный рабочий ресурс. Три плашки: «Всё рабочее время», «Невидимая нагрузка», «Честная стоимость часа». Каждая содержит крупную иконку и короткий тезис. Под заголовком: «Посчитаем время, которое обычно остаётся невидимым».</t>
        </is>
      </c>
      <c r="I12" s="103" t="n"/>
      <c r="J12" s="103" t="n"/>
      <c r="K12" s="103" t="n"/>
      <c r="L12" s="103" t="n"/>
    </row>
    <row r="13">
      <c r="A13" s="5" t="inlineStr"/>
      <c r="B13" s="5" t="inlineStr"/>
      <c r="C13" s="5" t="inlineStr"/>
      <c r="D13" s="5" t="inlineStr">
        <is>
          <t>Время на постпродакшн</t>
        </is>
      </c>
      <c r="E13" s="5" t="inlineStr">
        <is>
          <t>поле ввода</t>
        </is>
      </c>
      <c r="F13" s="6" t="inlineStr">
        <is>
          <t>input_number</t>
        </is>
      </c>
      <c r="G13" s="61" t="inlineStr">
        <is>
          <t>52% + кнопка сброса</t>
        </is>
      </c>
      <c r="H13" s="5" t="inlineStr">
        <is>
          <t>3</t>
        </is>
      </c>
      <c r="I13" s="5" t="inlineStr">
        <is>
          <t>×</t>
        </is>
      </c>
      <c r="J13" s="5" t="inlineStr">
        <is>
          <t>—</t>
        </is>
      </c>
      <c r="K13" s="6" t="inlineStr">
        <is>
          <t>post_ratio</t>
        </is>
      </c>
      <c r="L13" s="5" t="inlineStr"/>
    </row>
    <row r="14">
      <c r="A14" s="5" t="inlineStr"/>
      <c r="B14" s="5" t="inlineStr"/>
      <c r="C14" s="5" t="inlineStr"/>
      <c r="D14" s="5" t="inlineStr">
        <is>
          <t>Работа с клиентом (на один проект)</t>
        </is>
      </c>
      <c r="E14" s="5" t="inlineStr">
        <is>
          <t>поле ввода · блок можно исключить</t>
        </is>
      </c>
      <c r="F14" s="6" t="inlineStr">
        <is>
          <t>input_number</t>
        </is>
      </c>
      <c r="G14" s="61" t="inlineStr">
        <is>
          <t>52% + кнопка сброса</t>
        </is>
      </c>
      <c r="H14" s="5" t="inlineStr">
        <is>
          <t>1</t>
        </is>
      </c>
      <c r="I14" s="5" t="inlineStr">
        <is>
          <t>ч</t>
        </is>
      </c>
      <c r="J14" s="5" t="inlineStr">
        <is>
          <t>Form012</t>
        </is>
      </c>
      <c r="K14" s="6" t="inlineStr">
        <is>
          <t>client_time</t>
        </is>
      </c>
      <c r="L14" s="5" t="inlineStr"/>
    </row>
    <row r="15">
      <c r="A15" s="5" t="inlineStr"/>
      <c r="B15" s="5" t="inlineStr"/>
      <c r="C15" s="5" t="inlineStr"/>
      <c r="D15" s="5" t="inlineStr">
        <is>
          <t>Поиск заказов</t>
        </is>
      </c>
      <c r="E15" s="5" t="inlineStr">
        <is>
          <t>поле ввода · блок можно исключить</t>
        </is>
      </c>
      <c r="F15" s="6" t="inlineStr">
        <is>
          <t>input_number</t>
        </is>
      </c>
      <c r="G15" s="61" t="inlineStr">
        <is>
          <t>52% + кнопка сброса</t>
        </is>
      </c>
      <c r="H15" s="5" t="inlineStr">
        <is>
          <t>2</t>
        </is>
      </c>
      <c r="I15" s="5" t="inlineStr">
        <is>
          <t>ч/день</t>
        </is>
      </c>
      <c r="J15" s="5" t="inlineStr">
        <is>
          <t>Form009</t>
        </is>
      </c>
      <c r="K15" s="6" t="inlineStr">
        <is>
          <t>promo_per_day</t>
        </is>
      </c>
      <c r="L15" s="5" t="inlineStr"/>
    </row>
    <row r="16">
      <c r="A16" s="5" t="inlineStr"/>
      <c r="B16" s="5" t="inlineStr"/>
      <c r="C16" s="5" t="inlineStr"/>
      <c r="D16" s="5" t="inlineStr">
        <is>
          <t>Минимальный выезд (часов)</t>
        </is>
      </c>
      <c r="E16" s="5" t="inlineStr">
        <is>
          <t>поле ввода</t>
        </is>
      </c>
      <c r="F16" s="15" t="inlineStr">
        <is>
          <t>input_number</t>
        </is>
      </c>
      <c r="G16" s="61" t="inlineStr">
        <is>
          <t>52% + кнопка сброса</t>
        </is>
      </c>
      <c r="H16" s="5" t="n">
        <v>2</v>
      </c>
      <c r="I16" s="5" t="inlineStr">
        <is>
          <t>ч</t>
        </is>
      </c>
      <c r="J16" s="5" t="inlineStr">
        <is>
          <t>—</t>
        </is>
      </c>
      <c r="K16" s="6" t="inlineStr">
        <is>
          <t>shoot_duration</t>
        </is>
      </c>
      <c r="L16" s="5" t="inlineStr">
        <is>
          <t>Активно всегда. По умолчанию 2 ч — типовой заказ</t>
        </is>
      </c>
    </row>
    <row r="17">
      <c r="A17" s="17" t="inlineStr"/>
      <c r="B17" s="17" t="inlineStr"/>
      <c r="C17" s="17" t="inlineStr"/>
      <c r="D17" s="17" t="inlineStr">
        <is>
          <t>Готовых кадров за 1 час</t>
        </is>
      </c>
      <c r="E17" s="17" t="inlineStr">
        <is>
          <t>поле ввода</t>
        </is>
      </c>
      <c r="F17" s="18" t="inlineStr">
        <is>
          <t>input_number</t>
        </is>
      </c>
      <c r="G17" s="105" t="inlineStr">
        <is>
          <t>52% + кнопка сброса</t>
        </is>
      </c>
      <c r="H17" s="17" t="n">
        <v>2</v>
      </c>
      <c r="I17" s="17" t="inlineStr">
        <is>
          <t>ч</t>
        </is>
      </c>
      <c r="J17" s="17" t="inlineStr">
        <is>
          <t>—</t>
        </is>
      </c>
      <c r="K17" s="18" t="inlineStr">
        <is>
          <t>shoot_manual</t>
        </is>
      </c>
      <c r="L17" s="17" t="inlineStr">
        <is>
          <t>Дублирует shoot_duration в форме. Пользователь меняет свободно</t>
        </is>
      </c>
    </row>
    <row r="18">
      <c r="A18" s="5" t="inlineStr"/>
      <c r="B18" s="5" t="inlineStr"/>
      <c r="C18" s="5" t="inlineStr"/>
      <c r="D18" s="5" t="inlineStr">
        <is>
          <t>Шаг изменения</t>
        </is>
      </c>
      <c r="E18" s="5" t="inlineStr">
        <is>
          <t>поле ввода</t>
        </is>
      </c>
      <c r="F18" s="6" t="inlineStr">
        <is>
          <t>input_number</t>
        </is>
      </c>
      <c r="G18" s="61" t="inlineStr">
        <is>
          <t>50%</t>
        </is>
      </c>
      <c r="H18" s="5" t="inlineStr">
        <is>
          <t>0,5</t>
        </is>
      </c>
      <c r="I18" s="5" t="inlineStr">
        <is>
          <t>ч</t>
        </is>
      </c>
      <c r="J18" s="5" t="inlineStr">
        <is>
          <t>—</t>
        </is>
      </c>
      <c r="K18" s="6" t="inlineStr">
        <is>
          <t>shoot_step</t>
        </is>
      </c>
      <c r="L18" s="5" t="inlineStr">
        <is>
          <t>Шаг стрелок в поле: 0,5 ч. Минимум 0,5 ч</t>
        </is>
      </c>
    </row>
    <row r="19">
      <c r="A19" s="101" t="inlineStr">
        <is>
          <t>05</t>
        </is>
      </c>
      <c r="B19" s="3" t="inlineStr">
        <is>
          <t>Block14a</t>
        </is>
      </c>
      <c r="C19" s="3" t="inlineStr">
        <is>
          <t>2 · Работа</t>
        </is>
      </c>
      <c r="D19" s="3" t="inlineStr">
        <is>
          <t>Резерв на форс-мажоры</t>
        </is>
      </c>
      <c r="E19" s="102" t="inlineStr">
        <is>
          <t>галочка активирует поле</t>
        </is>
      </c>
      <c r="F19" s="103" t="n"/>
      <c r="G19" s="103" t="n"/>
      <c r="H19" s="103" t="n"/>
      <c r="I19" s="103" t="n"/>
      <c r="J19" s="103" t="n"/>
      <c r="K19" s="103" t="n"/>
      <c r="L19" s="103" t="n"/>
    </row>
    <row r="20">
      <c r="A20" s="5" t="inlineStr"/>
      <c r="B20" s="5" t="inlineStr"/>
      <c r="C20" s="5" t="inlineStr"/>
      <c r="D20" s="5" t="inlineStr">
        <is>
          <t>Заложить время на форс-мажоры</t>
        </is>
      </c>
      <c r="E20" s="5" t="inlineStr">
        <is>
          <t>галочка</t>
        </is>
      </c>
      <c r="F20" s="15" t="inlineStr">
        <is>
          <t>checkbox</t>
        </is>
      </c>
      <c r="G20" s="61" t="inlineStr">
        <is>
          <t>100%</t>
        </is>
      </c>
      <c r="H20" s="5" t="inlineStr">
        <is>
          <t>включена</t>
        </is>
      </c>
      <c r="I20" s="5" t="inlineStr"/>
      <c r="J20" s="5" t="inlineStr">
        <is>
          <t>—</t>
        </is>
      </c>
      <c r="K20" s="6" t="inlineStr">
        <is>
          <t>fm_on</t>
        </is>
      </c>
      <c r="L20" s="5" t="inlineStr"/>
    </row>
    <row r="21">
      <c r="A21" s="17" t="inlineStr"/>
      <c r="B21" s="17" t="inlineStr"/>
      <c r="C21" s="17" t="inlineStr"/>
      <c r="D21" s="17" t="inlineStr">
        <is>
          <t>Размер резерва</t>
        </is>
      </c>
      <c r="E21" s="17" t="inlineStr">
        <is>
          <t>поле ввода</t>
        </is>
      </c>
      <c r="F21" s="18" t="inlineStr">
        <is>
          <t>input_number</t>
        </is>
      </c>
      <c r="G21" s="105" t="inlineStr">
        <is>
          <t>50%</t>
        </is>
      </c>
      <c r="H21" s="17" t="inlineStr">
        <is>
          <t>5</t>
        </is>
      </c>
      <c r="I21" s="17" t="inlineStr">
        <is>
          <t>%</t>
        </is>
      </c>
      <c r="J21" s="17" t="inlineStr">
        <is>
          <t>—</t>
        </is>
      </c>
      <c r="K21" s="18" t="inlineStr">
        <is>
          <t>fm_pct</t>
        </is>
      </c>
      <c r="L21" s="17" t="inlineStr">
        <is>
          <t>БЛОКИРУЕТСЯ, если галочка снята</t>
        </is>
      </c>
    </row>
    <row r="22">
      <c r="A22" s="101" t="inlineStr">
        <is>
          <t>06</t>
        </is>
      </c>
      <c r="B22" s="3" t="inlineStr">
        <is>
          <t>Block6</t>
        </is>
      </c>
      <c r="C22" s="3" t="inlineStr">
        <is>
          <t>3 · Инвестиции</t>
        </is>
      </c>
      <c r="D22" s="3" t="inlineStr">
        <is>
          <t>Съёмочная техника</t>
        </is>
      </c>
      <c r="E22" s="102" t="inlineStr">
        <is>
          <t>динамическая таблица, 10 строк по умолчанию</t>
        </is>
      </c>
      <c r="F22" s="103" t="n"/>
      <c r="G22" s="103" t="n"/>
      <c r="H22" s="103" t="n"/>
      <c r="I22" s="103" t="n"/>
      <c r="J22" s="103" t="n"/>
      <c r="K22" s="103" t="n"/>
      <c r="L22" s="103" t="n"/>
    </row>
    <row r="23">
      <c r="A23" s="14" t="inlineStr"/>
      <c r="B23" s="14" t="inlineStr"/>
      <c r="C23" s="14" t="inlineStr"/>
      <c r="D23" s="14" t="inlineStr">
        <is>
          <t>Не учитывать этот блок</t>
        </is>
      </c>
      <c r="E23" s="14" t="inlineStr">
        <is>
          <t>галочка</t>
        </is>
      </c>
      <c r="F23" s="15" t="inlineStr">
        <is>
          <t>checkbox</t>
        </is>
      </c>
      <c r="G23" s="106" t="inlineStr">
        <is>
          <t>авто</t>
        </is>
      </c>
      <c r="H23" s="14" t="inlineStr">
        <is>
          <t>снята</t>
        </is>
      </c>
      <c r="I23" s="14" t="inlineStr"/>
      <c r="J23" s="14" t="inlineStr">
        <is>
          <t>Form001</t>
        </is>
      </c>
      <c r="K23" s="15" t="inlineStr">
        <is>
          <t>use_Form001</t>
        </is>
      </c>
      <c r="L23" s="14" t="inlineStr">
        <is>
          <t>при включении вся амортизация блока = 0</t>
        </is>
      </c>
    </row>
    <row r="24">
      <c r="A24" s="5" t="inlineStr"/>
      <c r="B24" s="5" t="inlineStr"/>
      <c r="C24" s="5" t="inlineStr"/>
      <c r="D24" s="5" t="inlineStr">
        <is>
          <t>Заголовки таблицы</t>
        </is>
      </c>
      <c r="E24" s="5" t="inlineStr">
        <is>
          <t>шапка</t>
        </is>
      </c>
      <c r="F24" s="6" t="inlineStr">
        <is>
          <t>table_head</t>
        </is>
      </c>
      <c r="G24" s="61" t="inlineStr">
        <is>
          <t>100%</t>
        </is>
      </c>
      <c r="H24" s="5" t="inlineStr">
        <is>
          <t>Позиция · Стоимость ₽ · Срок лет · ₽/год</t>
        </is>
      </c>
      <c r="I24" s="5" t="inlineStr"/>
      <c r="J24" s="5" t="inlineStr">
        <is>
          <t>Form001</t>
        </is>
      </c>
      <c r="K24" s="6" t="inlineStr">
        <is>
          <t>—</t>
        </is>
      </c>
      <c r="L24" s="5" t="inlineStr"/>
    </row>
    <row r="25">
      <c r="A25" s="20" t="inlineStr"/>
      <c r="B25" s="20" t="inlineStr"/>
      <c r="C25" s="20" t="inlineStr"/>
      <c r="D25" s="20" t="inlineStr">
        <is>
          <t>Canon EOS R6 Mark II Body</t>
        </is>
      </c>
      <c r="E25" s="20" t="inlineStr">
        <is>
          <t>строка таблицы</t>
        </is>
      </c>
      <c r="F25" s="21" t="inlineStr">
        <is>
          <t>table_row</t>
        </is>
      </c>
      <c r="G25" s="107" t="inlineStr">
        <is>
          <t>—</t>
        </is>
      </c>
      <c r="H25" s="20" t="inlineStr">
        <is>
          <t>166 999 ₽ / 3 лет</t>
        </is>
      </c>
      <c r="I25" s="20" t="inlineStr"/>
      <c r="J25" s="20" t="inlineStr"/>
      <c r="K25" s="21" t="inlineStr"/>
      <c r="L25" s="20" t="inlineStr">
        <is>
          <t>удаляется крестиком</t>
        </is>
      </c>
    </row>
    <row r="26">
      <c r="A26" s="20" t="inlineStr"/>
      <c r="B26" s="20" t="inlineStr"/>
      <c r="C26" s="20" t="inlineStr"/>
      <c r="D26" s="20" t="inlineStr">
        <is>
          <t>Canon RF 24–105mm f/4.0 L IS USM</t>
        </is>
      </c>
      <c r="E26" s="20" t="inlineStr">
        <is>
          <t>строка таблицы</t>
        </is>
      </c>
      <c r="F26" s="21" t="inlineStr">
        <is>
          <t>table_row</t>
        </is>
      </c>
      <c r="G26" s="107" t="inlineStr">
        <is>
          <t>—</t>
        </is>
      </c>
      <c r="H26" s="20" t="inlineStr">
        <is>
          <t>130 999 ₽ / 5 лет</t>
        </is>
      </c>
      <c r="I26" s="20" t="inlineStr"/>
      <c r="J26" s="20" t="inlineStr"/>
      <c r="K26" s="21" t="inlineStr"/>
      <c r="L26" s="20" t="inlineStr">
        <is>
          <t>удаляется крестиком</t>
        </is>
      </c>
    </row>
    <row r="27">
      <c r="A27" s="20" t="inlineStr"/>
      <c r="B27" s="20" t="inlineStr"/>
      <c r="C27" s="20" t="inlineStr"/>
      <c r="D27" s="20" t="inlineStr">
        <is>
          <t>Godox V1Pro C</t>
        </is>
      </c>
      <c r="E27" s="20" t="inlineStr">
        <is>
          <t>строка таблицы</t>
        </is>
      </c>
      <c r="F27" s="21" t="inlineStr">
        <is>
          <t>table_row</t>
        </is>
      </c>
      <c r="G27" s="107" t="inlineStr">
        <is>
          <t>—</t>
        </is>
      </c>
      <c r="H27" s="20" t="inlineStr">
        <is>
          <t>36 990 ₽ / 5 лет</t>
        </is>
      </c>
      <c r="I27" s="20" t="inlineStr"/>
      <c r="J27" s="20" t="inlineStr"/>
      <c r="K27" s="21" t="inlineStr"/>
      <c r="L27" s="20" t="inlineStr">
        <is>
          <t>удаляется крестиком</t>
        </is>
      </c>
    </row>
    <row r="28">
      <c r="A28" s="20" t="inlineStr"/>
      <c r="B28" s="20" t="inlineStr"/>
      <c r="C28" s="20" t="inlineStr"/>
      <c r="D28" s="20" t="inlineStr">
        <is>
          <t>Godox XPro II C</t>
        </is>
      </c>
      <c r="E28" s="20" t="inlineStr">
        <is>
          <t>строка таблицы</t>
        </is>
      </c>
      <c r="F28" s="21" t="inlineStr">
        <is>
          <t>table_row</t>
        </is>
      </c>
      <c r="G28" s="107" t="inlineStr">
        <is>
          <t>—</t>
        </is>
      </c>
      <c r="H28" s="20" t="inlineStr">
        <is>
          <t>9 355 ₽ / 5 лет</t>
        </is>
      </c>
      <c r="I28" s="20" t="inlineStr"/>
      <c r="J28" s="20" t="inlineStr"/>
      <c r="K28" s="21" t="inlineStr"/>
      <c r="L28" s="20" t="inlineStr">
        <is>
          <t>удаляется крестиком</t>
        </is>
      </c>
    </row>
    <row r="29">
      <c r="A29" s="20" t="inlineStr"/>
      <c r="B29" s="20" t="inlineStr"/>
      <c r="C29" s="20" t="inlineStr"/>
      <c r="D29" s="20" t="inlineStr">
        <is>
          <t>Аккумулятор LP-E6NH</t>
        </is>
      </c>
      <c r="E29" s="20" t="inlineStr">
        <is>
          <t>строка таблицы</t>
        </is>
      </c>
      <c r="F29" s="21" t="inlineStr">
        <is>
          <t>table_row</t>
        </is>
      </c>
      <c r="G29" s="107" t="inlineStr">
        <is>
          <t>—</t>
        </is>
      </c>
      <c r="H29" s="20" t="inlineStr">
        <is>
          <t>12 978 ₽ / 3 лет</t>
        </is>
      </c>
      <c r="I29" s="20" t="inlineStr"/>
      <c r="J29" s="20" t="inlineStr"/>
      <c r="K29" s="21" t="inlineStr"/>
      <c r="L29" s="20" t="inlineStr">
        <is>
          <t>удаляется крестиком</t>
        </is>
      </c>
    </row>
    <row r="30">
      <c r="A30" s="20" t="inlineStr"/>
      <c r="B30" s="20" t="inlineStr"/>
      <c r="C30" s="20" t="inlineStr"/>
      <c r="D30" s="20" t="inlineStr">
        <is>
          <t>SanDisk Extreme PRO 256 ГБ #1</t>
        </is>
      </c>
      <c r="E30" s="20" t="inlineStr">
        <is>
          <t>строка таблицы</t>
        </is>
      </c>
      <c r="F30" s="21" t="inlineStr">
        <is>
          <t>table_row</t>
        </is>
      </c>
      <c r="G30" s="107" t="inlineStr">
        <is>
          <t>—</t>
        </is>
      </c>
      <c r="H30" s="20" t="inlineStr">
        <is>
          <t>6 990 ₽ / 2 лет</t>
        </is>
      </c>
      <c r="I30" s="20" t="inlineStr"/>
      <c r="J30" s="20" t="inlineStr"/>
      <c r="K30" s="21" t="inlineStr"/>
      <c r="L30" s="20" t="inlineStr">
        <is>
          <t>удаляется крестиком</t>
        </is>
      </c>
    </row>
    <row r="31">
      <c r="A31" s="20" t="inlineStr"/>
      <c r="B31" s="20" t="inlineStr"/>
      <c r="C31" s="20" t="inlineStr"/>
      <c r="D31" s="20" t="inlineStr">
        <is>
          <t>SanDisk Extreme PRO 256 ГБ #2</t>
        </is>
      </c>
      <c r="E31" s="20" t="inlineStr">
        <is>
          <t>строка таблицы</t>
        </is>
      </c>
      <c r="F31" s="21" t="inlineStr">
        <is>
          <t>table_row</t>
        </is>
      </c>
      <c r="G31" s="107" t="inlineStr">
        <is>
          <t>—</t>
        </is>
      </c>
      <c r="H31" s="20" t="inlineStr">
        <is>
          <t>6 990 ₽ / 2 лет</t>
        </is>
      </c>
      <c r="I31" s="20" t="inlineStr"/>
      <c r="J31" s="20" t="inlineStr"/>
      <c r="K31" s="21" t="inlineStr"/>
      <c r="L31" s="20" t="inlineStr">
        <is>
          <t>удаляется крестиком</t>
        </is>
      </c>
    </row>
    <row r="32">
      <c r="A32" s="20" t="inlineStr"/>
      <c r="B32" s="20" t="inlineStr"/>
      <c r="C32" s="20" t="inlineStr"/>
      <c r="D32" s="20" t="inlineStr">
        <is>
          <t>Рюкзак Lowepro ProTactic</t>
        </is>
      </c>
      <c r="E32" s="20" t="inlineStr">
        <is>
          <t>строка таблицы</t>
        </is>
      </c>
      <c r="F32" s="21" t="inlineStr">
        <is>
          <t>table_row</t>
        </is>
      </c>
      <c r="G32" s="107" t="inlineStr">
        <is>
          <t>—</t>
        </is>
      </c>
      <c r="H32" s="20" t="inlineStr">
        <is>
          <t>27 962 ₽ / 7 лет</t>
        </is>
      </c>
      <c r="I32" s="20" t="inlineStr"/>
      <c r="J32" s="20" t="inlineStr"/>
      <c r="K32" s="21" t="inlineStr"/>
      <c r="L32" s="20" t="inlineStr">
        <is>
          <t>удаляется крестиком</t>
        </is>
      </c>
    </row>
    <row r="33">
      <c r="A33" s="20" t="inlineStr"/>
      <c r="B33" s="20" t="inlineStr"/>
      <c r="C33" s="20" t="inlineStr"/>
      <c r="D33" s="20" t="inlineStr">
        <is>
          <t>Godox RFT-05 отражатель</t>
        </is>
      </c>
      <c r="E33" s="20" t="inlineStr">
        <is>
          <t>строка таблицы</t>
        </is>
      </c>
      <c r="F33" s="21" t="inlineStr">
        <is>
          <t>table_row</t>
        </is>
      </c>
      <c r="G33" s="107" t="inlineStr">
        <is>
          <t>—</t>
        </is>
      </c>
      <c r="H33" s="20" t="inlineStr">
        <is>
          <t>3 000 ₽ / 5 лет</t>
        </is>
      </c>
      <c r="I33" s="20" t="inlineStr"/>
      <c r="J33" s="20" t="inlineStr"/>
      <c r="K33" s="21" t="inlineStr"/>
      <c r="L33" s="20" t="inlineStr">
        <is>
          <t>удаляется крестиком</t>
        </is>
      </c>
    </row>
    <row r="34">
      <c r="A34" s="20" t="inlineStr"/>
      <c r="B34" s="20" t="inlineStr"/>
      <c r="C34" s="20" t="inlineStr"/>
      <c r="D34" s="20" t="inlineStr">
        <is>
          <t>X-Rite ColorChecker</t>
        </is>
      </c>
      <c r="E34" s="20" t="inlineStr">
        <is>
          <t>строка таблицы</t>
        </is>
      </c>
      <c r="F34" s="21" t="inlineStr">
        <is>
          <t>table_row</t>
        </is>
      </c>
      <c r="G34" s="107" t="inlineStr">
        <is>
          <t>—</t>
        </is>
      </c>
      <c r="H34" s="20" t="inlineStr">
        <is>
          <t>5 000 ₽ / 7 лет</t>
        </is>
      </c>
      <c r="I34" s="20" t="inlineStr"/>
      <c r="J34" s="20" t="inlineStr"/>
      <c r="K34" s="21" t="inlineStr"/>
      <c r="L34" s="20" t="inlineStr">
        <is>
          <t>удаляется крестиком</t>
        </is>
      </c>
    </row>
    <row r="35">
      <c r="A35" s="5" t="inlineStr"/>
      <c r="B35" s="5" t="inlineStr"/>
      <c r="C35" s="5" t="inlineStr"/>
      <c r="D35" s="5" t="inlineStr">
        <is>
          <t>+ Добавить позицию</t>
        </is>
      </c>
      <c r="E35" s="5" t="inlineStr">
        <is>
          <t>кнопка</t>
        </is>
      </c>
      <c r="F35" s="6" t="inlineStr">
        <is>
          <t>button_add</t>
        </is>
      </c>
      <c r="G35" s="61" t="inlineStr">
        <is>
          <t>авто</t>
        </is>
      </c>
      <c r="H35" s="5" t="inlineStr">
        <is>
          <t>—</t>
        </is>
      </c>
      <c r="I35" s="5" t="inlineStr"/>
      <c r="J35" s="5" t="inlineStr">
        <is>
          <t>Form001</t>
        </is>
      </c>
      <c r="K35" s="6" t="inlineStr">
        <is>
          <t>—</t>
        </is>
      </c>
      <c r="L35" s="5" t="inlineStr">
        <is>
          <t>добавляет пустую строку</t>
        </is>
      </c>
    </row>
    <row r="36">
      <c r="A36" s="108" t="inlineStr"/>
      <c r="B36" s="108" t="inlineStr"/>
      <c r="C36" s="108" t="inlineStr"/>
      <c r="D36" s="108" t="inlineStr">
        <is>
          <t>Итого амортизация</t>
        </is>
      </c>
      <c r="E36" s="108" t="inlineStr">
        <is>
          <t>строка итога</t>
        </is>
      </c>
      <c r="F36" s="109" t="inlineStr">
        <is>
          <t>calc_row</t>
        </is>
      </c>
      <c r="G36" s="110" t="inlineStr">
        <is>
          <t>100%</t>
        </is>
      </c>
      <c r="H36" s="108" t="inlineStr">
        <is>
          <t>137 893,32</t>
        </is>
      </c>
      <c r="I36" s="108" t="inlineStr">
        <is>
          <t>₽/год</t>
        </is>
      </c>
      <c r="J36" s="108" t="inlineStr">
        <is>
          <t>Form001</t>
        </is>
      </c>
      <c r="K36" s="109" t="inlineStr">
        <is>
          <t>dep_shoot</t>
        </is>
      </c>
      <c r="L36" s="108" t="inlineStr"/>
    </row>
    <row r="37">
      <c r="A37" s="101" t="inlineStr">
        <is>
          <t>07</t>
        </is>
      </c>
      <c r="B37" s="3" t="inlineStr">
        <is>
          <t>Block7</t>
        </is>
      </c>
      <c r="C37" s="3" t="inlineStr">
        <is>
          <t>3 · Инвестиции</t>
        </is>
      </c>
      <c r="D37" s="3" t="inlineStr">
        <is>
          <t>Офисная техника</t>
        </is>
      </c>
      <c r="E37" s="102" t="inlineStr">
        <is>
          <t>динамическая таблица, 9 строк</t>
        </is>
      </c>
      <c r="F37" s="103" t="n"/>
      <c r="G37" s="103" t="n"/>
      <c r="H37" s="103" t="n"/>
      <c r="I37" s="103" t="n"/>
      <c r="J37" s="103" t="n"/>
      <c r="K37" s="103" t="n"/>
      <c r="L37" s="103" t="n"/>
    </row>
    <row r="38">
      <c r="A38" s="14" t="inlineStr"/>
      <c r="B38" s="14" t="inlineStr"/>
      <c r="C38" s="14" t="inlineStr"/>
      <c r="D38" s="14" t="inlineStr">
        <is>
          <t>Не учитывать этот блок</t>
        </is>
      </c>
      <c r="E38" s="14" t="inlineStr">
        <is>
          <t>галочка</t>
        </is>
      </c>
      <c r="F38" s="15" t="inlineStr">
        <is>
          <t>checkbox</t>
        </is>
      </c>
      <c r="G38" s="106" t="inlineStr">
        <is>
          <t>авто</t>
        </is>
      </c>
      <c r="H38" s="14" t="inlineStr">
        <is>
          <t>снята</t>
        </is>
      </c>
      <c r="I38" s="14" t="inlineStr"/>
      <c r="J38" s="14" t="inlineStr">
        <is>
          <t>Form002</t>
        </is>
      </c>
      <c r="K38" s="15" t="inlineStr">
        <is>
          <t>use_Form002</t>
        </is>
      </c>
      <c r="L38" s="14" t="inlineStr"/>
    </row>
    <row r="39">
      <c r="A39" s="5" t="inlineStr"/>
      <c r="B39" s="5" t="inlineStr"/>
      <c r="C39" s="5" t="inlineStr"/>
      <c r="D39" s="5" t="inlineStr">
        <is>
          <t>Заголовки таблицы</t>
        </is>
      </c>
      <c r="E39" s="5" t="inlineStr">
        <is>
          <t>шапка</t>
        </is>
      </c>
      <c r="F39" s="6" t="inlineStr">
        <is>
          <t>table_head</t>
        </is>
      </c>
      <c r="G39" s="61" t="inlineStr">
        <is>
          <t>100%</t>
        </is>
      </c>
      <c r="H39" s="5" t="inlineStr">
        <is>
          <t>Позиция · Стоимость ₽ · Срок лет · ₽/год</t>
        </is>
      </c>
      <c r="I39" s="5" t="inlineStr"/>
      <c r="J39" s="5" t="inlineStr">
        <is>
          <t>Form002</t>
        </is>
      </c>
      <c r="K39" s="6" t="inlineStr">
        <is>
          <t>—</t>
        </is>
      </c>
      <c r="L39" s="5" t="inlineStr"/>
    </row>
    <row r="40">
      <c r="A40" s="20" t="inlineStr"/>
      <c r="B40" s="20" t="inlineStr"/>
      <c r="C40" s="20" t="inlineStr"/>
      <c r="D40" s="20" t="inlineStr">
        <is>
          <t>Системный блок</t>
        </is>
      </c>
      <c r="E40" s="20" t="inlineStr">
        <is>
          <t>строка таблицы</t>
        </is>
      </c>
      <c r="F40" s="21" t="inlineStr">
        <is>
          <t>table_row</t>
        </is>
      </c>
      <c r="G40" s="107" t="inlineStr">
        <is>
          <t>—</t>
        </is>
      </c>
      <c r="H40" s="20" t="inlineStr">
        <is>
          <t>180 000 ₽ / 5 лет</t>
        </is>
      </c>
      <c r="I40" s="20" t="inlineStr"/>
      <c r="J40" s="20" t="inlineStr"/>
      <c r="K40" s="21" t="inlineStr"/>
      <c r="L40" s="20" t="inlineStr">
        <is>
          <t>удаляется крестиком</t>
        </is>
      </c>
    </row>
    <row r="41">
      <c r="A41" s="20" t="inlineStr"/>
      <c r="B41" s="20" t="inlineStr"/>
      <c r="C41" s="20" t="inlineStr"/>
      <c r="D41" s="20" t="inlineStr">
        <is>
          <t>Монитор ASUS ProArt</t>
        </is>
      </c>
      <c r="E41" s="20" t="inlineStr">
        <is>
          <t>строка таблицы</t>
        </is>
      </c>
      <c r="F41" s="21" t="inlineStr">
        <is>
          <t>table_row</t>
        </is>
      </c>
      <c r="G41" s="107" t="inlineStr">
        <is>
          <t>—</t>
        </is>
      </c>
      <c r="H41" s="20" t="inlineStr">
        <is>
          <t>55 000 ₽ / 5 лет</t>
        </is>
      </c>
      <c r="I41" s="20" t="inlineStr"/>
      <c r="J41" s="20" t="inlineStr"/>
      <c r="K41" s="21" t="inlineStr"/>
      <c r="L41" s="20" t="inlineStr">
        <is>
          <t>удаляется крестиком</t>
        </is>
      </c>
    </row>
    <row r="42">
      <c r="A42" s="20" t="inlineStr"/>
      <c r="B42" s="20" t="inlineStr"/>
      <c r="C42" s="20" t="inlineStr"/>
      <c r="D42" s="20" t="inlineStr">
        <is>
          <t>Calibrite ColorChecker</t>
        </is>
      </c>
      <c r="E42" s="20" t="inlineStr">
        <is>
          <t>строка таблицы</t>
        </is>
      </c>
      <c r="F42" s="21" t="inlineStr">
        <is>
          <t>table_row</t>
        </is>
      </c>
      <c r="G42" s="107" t="inlineStr">
        <is>
          <t>—</t>
        </is>
      </c>
      <c r="H42" s="20" t="inlineStr">
        <is>
          <t>30 000 ₽ / 5 лет</t>
        </is>
      </c>
      <c r="I42" s="20" t="inlineStr"/>
      <c r="J42" s="20" t="inlineStr"/>
      <c r="K42" s="21" t="inlineStr"/>
      <c r="L42" s="20" t="inlineStr">
        <is>
          <t>удаляется крестиком</t>
        </is>
      </c>
    </row>
    <row r="43">
      <c r="A43" s="20" t="inlineStr"/>
      <c r="B43" s="20" t="inlineStr"/>
      <c r="C43" s="20" t="inlineStr"/>
      <c r="D43" s="20" t="inlineStr">
        <is>
          <t>Колонки Logitech Z207</t>
        </is>
      </c>
      <c r="E43" s="20" t="inlineStr">
        <is>
          <t>строка таблицы</t>
        </is>
      </c>
      <c r="F43" s="21" t="inlineStr">
        <is>
          <t>table_row</t>
        </is>
      </c>
      <c r="G43" s="107" t="inlineStr">
        <is>
          <t>—</t>
        </is>
      </c>
      <c r="H43" s="20" t="inlineStr">
        <is>
          <t>5 000 ₽ / 5 лет</t>
        </is>
      </c>
      <c r="I43" s="20" t="inlineStr"/>
      <c r="J43" s="20" t="inlineStr"/>
      <c r="K43" s="21" t="inlineStr"/>
      <c r="L43" s="20" t="inlineStr">
        <is>
          <t>удаляется крестиком</t>
        </is>
      </c>
    </row>
    <row r="44">
      <c r="A44" s="20" t="inlineStr"/>
      <c r="B44" s="20" t="inlineStr"/>
      <c r="C44" s="20" t="inlineStr"/>
      <c r="D44" s="20" t="inlineStr">
        <is>
          <t>Клавиатура Logitech K380</t>
        </is>
      </c>
      <c r="E44" s="20" t="inlineStr">
        <is>
          <t>строка таблицы</t>
        </is>
      </c>
      <c r="F44" s="21" t="inlineStr">
        <is>
          <t>table_row</t>
        </is>
      </c>
      <c r="G44" s="107" t="inlineStr">
        <is>
          <t>—</t>
        </is>
      </c>
      <c r="H44" s="20" t="inlineStr">
        <is>
          <t>3 500 ₽ / 7 лет</t>
        </is>
      </c>
      <c r="I44" s="20" t="inlineStr"/>
      <c r="J44" s="20" t="inlineStr"/>
      <c r="K44" s="21" t="inlineStr"/>
      <c r="L44" s="20" t="inlineStr">
        <is>
          <t>удаляется крестиком</t>
        </is>
      </c>
    </row>
    <row r="45">
      <c r="A45" s="20" t="inlineStr"/>
      <c r="B45" s="20" t="inlineStr"/>
      <c r="C45" s="20" t="inlineStr"/>
      <c r="D45" s="20" t="inlineStr">
        <is>
          <t>Мышь Logitech M650</t>
        </is>
      </c>
      <c r="E45" s="20" t="inlineStr">
        <is>
          <t>строка таблицы</t>
        </is>
      </c>
      <c r="F45" s="21" t="inlineStr">
        <is>
          <t>table_row</t>
        </is>
      </c>
      <c r="G45" s="107" t="inlineStr">
        <is>
          <t>—</t>
        </is>
      </c>
      <c r="H45" s="20" t="inlineStr">
        <is>
          <t>4 000 ₽ / 3 лет</t>
        </is>
      </c>
      <c r="I45" s="20" t="inlineStr"/>
      <c r="J45" s="20" t="inlineStr"/>
      <c r="K45" s="21" t="inlineStr"/>
      <c r="L45" s="20" t="inlineStr">
        <is>
          <t>удаляется крестиком</t>
        </is>
      </c>
    </row>
    <row r="46">
      <c r="A46" s="20" t="inlineStr"/>
      <c r="B46" s="20" t="inlineStr"/>
      <c r="C46" s="20" t="inlineStr"/>
      <c r="D46" s="20" t="inlineStr">
        <is>
          <t>Веб-камера Logitech Brio</t>
        </is>
      </c>
      <c r="E46" s="20" t="inlineStr">
        <is>
          <t>строка таблицы</t>
        </is>
      </c>
      <c r="F46" s="21" t="inlineStr">
        <is>
          <t>table_row</t>
        </is>
      </c>
      <c r="G46" s="107" t="inlineStr">
        <is>
          <t>—</t>
        </is>
      </c>
      <c r="H46" s="20" t="inlineStr">
        <is>
          <t>15 999 ₽ / 5 лет</t>
        </is>
      </c>
      <c r="I46" s="20" t="inlineStr"/>
      <c r="J46" s="20" t="inlineStr"/>
      <c r="K46" s="21" t="inlineStr"/>
      <c r="L46" s="20" t="inlineStr">
        <is>
          <t>удаляется крестиком</t>
        </is>
      </c>
    </row>
    <row r="47">
      <c r="A47" s="20" t="inlineStr"/>
      <c r="B47" s="20" t="inlineStr"/>
      <c r="C47" s="20" t="inlineStr"/>
      <c r="D47" s="20" t="inlineStr">
        <is>
          <t>Микрофон FIFINE K669B</t>
        </is>
      </c>
      <c r="E47" s="20" t="inlineStr">
        <is>
          <t>строка таблицы</t>
        </is>
      </c>
      <c r="F47" s="21" t="inlineStr">
        <is>
          <t>table_row</t>
        </is>
      </c>
      <c r="G47" s="107" t="inlineStr">
        <is>
          <t>—</t>
        </is>
      </c>
      <c r="H47" s="20" t="inlineStr">
        <is>
          <t>3 500 ₽ / 5 лет</t>
        </is>
      </c>
      <c r="I47" s="20" t="inlineStr"/>
      <c r="J47" s="20" t="inlineStr"/>
      <c r="K47" s="21" t="inlineStr"/>
      <c r="L47" s="20" t="inlineStr">
        <is>
          <t>удаляется крестиком</t>
        </is>
      </c>
    </row>
    <row r="48">
      <c r="A48" s="20" t="inlineStr"/>
      <c r="B48" s="20" t="inlineStr"/>
      <c r="C48" s="20" t="inlineStr"/>
      <c r="D48" s="20" t="inlineStr">
        <is>
          <t>Принтер Canon PIXMA G640</t>
        </is>
      </c>
      <c r="E48" s="20" t="inlineStr">
        <is>
          <t>строка таблицы</t>
        </is>
      </c>
      <c r="F48" s="21" t="inlineStr">
        <is>
          <t>table_row</t>
        </is>
      </c>
      <c r="G48" s="107" t="inlineStr">
        <is>
          <t>—</t>
        </is>
      </c>
      <c r="H48" s="20" t="inlineStr">
        <is>
          <t>29 999 ₽ / 5 лет</t>
        </is>
      </c>
      <c r="I48" s="20" t="inlineStr"/>
      <c r="J48" s="20" t="inlineStr"/>
      <c r="K48" s="21" t="inlineStr"/>
      <c r="L48" s="20" t="inlineStr">
        <is>
          <t>удаляется крестиком</t>
        </is>
      </c>
    </row>
    <row r="49">
      <c r="A49" s="5" t="inlineStr"/>
      <c r="B49" s="5" t="inlineStr"/>
      <c r="C49" s="5" t="inlineStr"/>
      <c r="D49" s="5" t="inlineStr">
        <is>
          <t>+ Добавить позицию</t>
        </is>
      </c>
      <c r="E49" s="5" t="inlineStr">
        <is>
          <t>кнопка</t>
        </is>
      </c>
      <c r="F49" s="6" t="inlineStr">
        <is>
          <t>button_add</t>
        </is>
      </c>
      <c r="G49" s="61" t="inlineStr">
        <is>
          <t>авто</t>
        </is>
      </c>
      <c r="H49" s="5" t="inlineStr">
        <is>
          <t>—</t>
        </is>
      </c>
      <c r="I49" s="5" t="inlineStr"/>
      <c r="J49" s="5" t="inlineStr">
        <is>
          <t>Form002</t>
        </is>
      </c>
      <c r="K49" s="6" t="inlineStr">
        <is>
          <t>—</t>
        </is>
      </c>
      <c r="L49" s="5" t="inlineStr"/>
    </row>
    <row r="50">
      <c r="A50" s="108" t="inlineStr"/>
      <c r="B50" s="108" t="inlineStr"/>
      <c r="C50" s="108" t="inlineStr"/>
      <c r="D50" s="108" t="inlineStr">
        <is>
          <t>Итого амортизация</t>
        </is>
      </c>
      <c r="E50" s="108" t="inlineStr">
        <is>
          <t>строка итога</t>
        </is>
      </c>
      <c r="F50" s="109" t="inlineStr">
        <is>
          <t>calc_row</t>
        </is>
      </c>
      <c r="G50" s="110" t="inlineStr">
        <is>
          <t>100%</t>
        </is>
      </c>
      <c r="H50" s="108" t="inlineStr">
        <is>
          <t>65 732,93</t>
        </is>
      </c>
      <c r="I50" s="108" t="inlineStr">
        <is>
          <t>₽/год</t>
        </is>
      </c>
      <c r="J50" s="108" t="inlineStr">
        <is>
          <t>Form002</t>
        </is>
      </c>
      <c r="K50" s="109" t="inlineStr">
        <is>
          <t>dep_office</t>
        </is>
      </c>
      <c r="L50" s="108" t="inlineStr"/>
    </row>
    <row r="51">
      <c r="A51" s="101" t="inlineStr">
        <is>
          <t>08</t>
        </is>
      </c>
      <c r="B51" s="3" t="inlineStr">
        <is>
          <t>Block8</t>
        </is>
      </c>
      <c r="C51" s="3" t="inlineStr">
        <is>
          <t>3 · Инвестиции</t>
        </is>
      </c>
      <c r="D51" s="3" t="inlineStr">
        <is>
          <t>Программное обеспечение</t>
        </is>
      </c>
      <c r="E51" s="102" t="inlineStr">
        <is>
          <t>ДВЕ таблицы в одном блоке</t>
        </is>
      </c>
      <c r="F51" s="103" t="n"/>
      <c r="G51" s="103" t="n"/>
      <c r="H51" s="103" t="inlineStr">
        <is>
          <t>Укажите программы и сервисы, которые нужны вам для профессиональной деятельности и работы вокруг неё.</t>
        </is>
      </c>
      <c r="I51" s="103" t="n"/>
      <c r="J51" s="103" t="n"/>
      <c r="K51" s="103" t="n"/>
      <c r="L51" s="103" t="n"/>
    </row>
    <row r="52">
      <c r="A52" s="14" t="inlineStr"/>
      <c r="B52" s="14" t="inlineStr"/>
      <c r="C52" s="14" t="inlineStr"/>
      <c r="D52" s="14" t="inlineStr">
        <is>
          <t>Не учитывать этот блок</t>
        </is>
      </c>
      <c r="E52" s="14" t="inlineStr">
        <is>
          <t>галочка</t>
        </is>
      </c>
      <c r="F52" s="15" t="inlineStr">
        <is>
          <t>checkbox</t>
        </is>
      </c>
      <c r="G52" s="106" t="inlineStr">
        <is>
          <t>авто</t>
        </is>
      </c>
      <c r="H52" s="14" t="inlineStr">
        <is>
          <t>снята</t>
        </is>
      </c>
      <c r="I52" s="14" t="inlineStr"/>
      <c r="J52" s="14" t="inlineStr">
        <is>
          <t>Form003, Form004</t>
        </is>
      </c>
      <c r="K52" s="15" t="inlineStr">
        <is>
          <t>use_Form008</t>
        </is>
      </c>
      <c r="L52" s="14" t="inlineStr"/>
    </row>
    <row r="53">
      <c r="A53" s="5" t="inlineStr"/>
      <c r="B53" s="5" t="inlineStr"/>
      <c r="C53" s="5" t="inlineStr"/>
      <c r="D53" s="5" t="inlineStr">
        <is>
          <t>— Подписки (платятся регулярно)</t>
        </is>
      </c>
      <c r="E53" s="5" t="inlineStr">
        <is>
          <t>подзаголовок</t>
        </is>
      </c>
      <c r="F53" s="6" t="inlineStr">
        <is>
          <t>subhead</t>
        </is>
      </c>
      <c r="G53" s="61" t="inlineStr">
        <is>
          <t>100%</t>
        </is>
      </c>
      <c r="H53" s="5" t="inlineStr">
        <is>
          <t>Лицензии и сервисы, за которые вы регулярно платите.</t>
        </is>
      </c>
      <c r="I53" s="5" t="inlineStr"/>
      <c r="J53" s="5" t="inlineStr">
        <is>
          <t>Form003</t>
        </is>
      </c>
      <c r="K53" s="6" t="inlineStr">
        <is>
          <t>—</t>
        </is>
      </c>
      <c r="L53" s="5" t="inlineStr"/>
    </row>
    <row r="54">
      <c r="A54" s="5" t="inlineStr"/>
      <c r="B54" s="5" t="inlineStr"/>
      <c r="C54" s="5" t="inlineStr"/>
      <c r="D54" s="5" t="inlineStr">
        <is>
          <t>Заголовки</t>
        </is>
      </c>
      <c r="E54" s="5" t="inlineStr">
        <is>
          <t>шапка</t>
        </is>
      </c>
      <c r="F54" s="6" t="inlineStr">
        <is>
          <t>table_head</t>
        </is>
      </c>
      <c r="G54" s="61" t="inlineStr">
        <is>
          <t>100%</t>
        </is>
      </c>
      <c r="H54" s="5" t="inlineStr">
        <is>
          <t>Позиция · Стоимость ₽ · Период · ₽/год</t>
        </is>
      </c>
      <c r="I54" s="5" t="inlineStr"/>
      <c r="J54" s="5" t="inlineStr">
        <is>
          <t>Form003</t>
        </is>
      </c>
      <c r="K54" s="6" t="inlineStr">
        <is>
          <t>—</t>
        </is>
      </c>
      <c r="L54" s="5" t="inlineStr"/>
    </row>
    <row r="55">
      <c r="A55" s="20" t="inlineStr"/>
      <c r="B55" s="20" t="inlineStr"/>
      <c r="C55" s="20" t="inlineStr"/>
      <c r="D55" s="20" t="inlineStr">
        <is>
          <t>Adobe CC Photography</t>
        </is>
      </c>
      <c r="E55" s="20" t="inlineStr">
        <is>
          <t>строка таблицы</t>
        </is>
      </c>
      <c r="F55" s="21" t="inlineStr">
        <is>
          <t>table_row</t>
        </is>
      </c>
      <c r="G55" s="107" t="inlineStr">
        <is>
          <t>—</t>
        </is>
      </c>
      <c r="H55" s="20" t="inlineStr">
        <is>
          <t xml:space="preserve">2 000 ₽ / Месяц </t>
        </is>
      </c>
      <c r="I55" s="20" t="inlineStr"/>
      <c r="J55" s="20" t="inlineStr"/>
      <c r="K55" s="21" t="inlineStr"/>
      <c r="L55" s="20" t="inlineStr">
        <is>
          <t>удаляется крестиком</t>
        </is>
      </c>
    </row>
    <row r="56">
      <c r="A56" s="20" t="inlineStr"/>
      <c r="B56" s="20" t="inlineStr"/>
      <c r="C56" s="20" t="inlineStr"/>
      <c r="D56" s="20" t="inlineStr">
        <is>
          <t>Яндекс Диск 1 ТБ</t>
        </is>
      </c>
      <c r="E56" s="20" t="inlineStr">
        <is>
          <t>строка таблицы</t>
        </is>
      </c>
      <c r="F56" s="21" t="inlineStr">
        <is>
          <t>table_row</t>
        </is>
      </c>
      <c r="G56" s="107" t="inlineStr">
        <is>
          <t>—</t>
        </is>
      </c>
      <c r="H56" s="20" t="inlineStr">
        <is>
          <t xml:space="preserve">250 ₽ / Месяц </t>
        </is>
      </c>
      <c r="I56" s="20" t="inlineStr"/>
      <c r="J56" s="20" t="inlineStr"/>
      <c r="K56" s="21" t="inlineStr"/>
      <c r="L56" s="20" t="inlineStr">
        <is>
          <t>удаляется крестиком</t>
        </is>
      </c>
    </row>
    <row r="57">
      <c r="A57" s="5" t="inlineStr"/>
      <c r="B57" s="5" t="inlineStr"/>
      <c r="C57" s="5" t="inlineStr"/>
      <c r="D57" s="5" t="inlineStr">
        <is>
          <t>+ Добавить подписку</t>
        </is>
      </c>
      <c r="E57" s="5" t="inlineStr">
        <is>
          <t>кнопка</t>
        </is>
      </c>
      <c r="F57" s="6" t="inlineStr">
        <is>
          <t>button_add</t>
        </is>
      </c>
      <c r="G57" s="61" t="inlineStr">
        <is>
          <t>авто</t>
        </is>
      </c>
      <c r="H57" s="5" t="inlineStr">
        <is>
          <t>—</t>
        </is>
      </c>
      <c r="I57" s="5" t="inlineStr"/>
      <c r="J57" s="5" t="inlineStr">
        <is>
          <t>Form003</t>
        </is>
      </c>
      <c r="K57" s="6" t="inlineStr">
        <is>
          <t>—</t>
        </is>
      </c>
      <c r="L57" s="5" t="inlineStr"/>
    </row>
    <row r="58">
      <c r="A58" s="108" t="inlineStr"/>
      <c r="B58" s="108" t="inlineStr"/>
      <c r="C58" s="108" t="inlineStr"/>
      <c r="D58" s="108" t="inlineStr">
        <is>
          <t>Итого подписки</t>
        </is>
      </c>
      <c r="E58" s="108" t="inlineStr">
        <is>
          <t>строка итога</t>
        </is>
      </c>
      <c r="F58" s="109" t="inlineStr">
        <is>
          <t>calc_row</t>
        </is>
      </c>
      <c r="G58" s="110" t="inlineStr">
        <is>
          <t>100%</t>
        </is>
      </c>
      <c r="H58" s="108" t="inlineStr">
        <is>
          <t>27 000</t>
        </is>
      </c>
      <c r="I58" s="108" t="inlineStr">
        <is>
          <t>₽/год</t>
        </is>
      </c>
      <c r="J58" s="108" t="inlineStr">
        <is>
          <t>Form003</t>
        </is>
      </c>
      <c r="K58" s="109" t="inlineStr">
        <is>
          <t>var_software</t>
        </is>
      </c>
      <c r="L58" s="108" t="inlineStr"/>
    </row>
    <row r="59">
      <c r="A59" s="5" t="inlineStr"/>
      <c r="B59" s="5" t="inlineStr"/>
      <c r="C59" s="5" t="inlineStr"/>
      <c r="D59" s="5" t="inlineStr">
        <is>
          <t>— Разовые покупки (амортизируются)</t>
        </is>
      </c>
      <c r="E59" s="5" t="inlineStr">
        <is>
          <t>подзаголовок</t>
        </is>
      </c>
      <c r="F59" s="6" t="inlineStr">
        <is>
          <t>subhead</t>
        </is>
      </c>
      <c r="G59" s="61" t="inlineStr">
        <is>
          <t>100%</t>
        </is>
      </c>
      <c r="H59" s="5" t="inlineStr">
        <is>
          <t>Программы и лицензии, которые вы оплачивали один раз и используете длительное время.</t>
        </is>
      </c>
      <c r="I59" s="5" t="inlineStr"/>
      <c r="J59" s="5" t="inlineStr">
        <is>
          <t>Form004</t>
        </is>
      </c>
      <c r="K59" s="6" t="inlineStr">
        <is>
          <t>—</t>
        </is>
      </c>
      <c r="L59" s="5" t="inlineStr"/>
    </row>
    <row r="60">
      <c r="A60" s="5" t="inlineStr"/>
      <c r="B60" s="5" t="inlineStr"/>
      <c r="C60" s="5" t="inlineStr"/>
      <c r="D60" s="5" t="inlineStr">
        <is>
          <t>Заголовки</t>
        </is>
      </c>
      <c r="E60" s="5" t="inlineStr">
        <is>
          <t>шапка</t>
        </is>
      </c>
      <c r="F60" s="6" t="inlineStr">
        <is>
          <t>table_head</t>
        </is>
      </c>
      <c r="G60" s="61" t="inlineStr">
        <is>
          <t>100%</t>
        </is>
      </c>
      <c r="H60" s="5" t="inlineStr">
        <is>
          <t>Позиция · Стоимость ₽ · Срок лет · ₽/год</t>
        </is>
      </c>
      <c r="I60" s="5" t="inlineStr"/>
      <c r="J60" s="5" t="inlineStr">
        <is>
          <t>Form004</t>
        </is>
      </c>
      <c r="K60" s="6" t="inlineStr">
        <is>
          <t>—</t>
        </is>
      </c>
      <c r="L60" s="5" t="inlineStr"/>
    </row>
    <row r="61">
      <c r="A61" s="20" t="inlineStr"/>
      <c r="B61" s="20" t="inlineStr"/>
      <c r="C61" s="20" t="inlineStr"/>
      <c r="D61" s="20" t="inlineStr">
        <is>
          <t>Retouch4me Heal</t>
        </is>
      </c>
      <c r="E61" s="20" t="inlineStr">
        <is>
          <t>строка таблицы</t>
        </is>
      </c>
      <c r="F61" s="21" t="inlineStr">
        <is>
          <t>table_row</t>
        </is>
      </c>
      <c r="G61" s="107" t="inlineStr">
        <is>
          <t>—</t>
        </is>
      </c>
      <c r="H61" s="20" t="inlineStr">
        <is>
          <t>6 900 ₽ / 3 лет</t>
        </is>
      </c>
      <c r="I61" s="20" t="inlineStr"/>
      <c r="J61" s="20" t="inlineStr"/>
      <c r="K61" s="21" t="inlineStr"/>
      <c r="L61" s="20" t="inlineStr">
        <is>
          <t>удаляется крестиком</t>
        </is>
      </c>
    </row>
    <row r="62">
      <c r="A62" s="20" t="inlineStr"/>
      <c r="B62" s="20" t="inlineStr"/>
      <c r="C62" s="20" t="inlineStr"/>
      <c r="D62" s="20" t="inlineStr">
        <is>
          <t>Retouch4me Dodge &amp; Burn</t>
        </is>
      </c>
      <c r="E62" s="20" t="inlineStr">
        <is>
          <t>строка таблицы</t>
        </is>
      </c>
      <c r="F62" s="21" t="inlineStr">
        <is>
          <t>table_row</t>
        </is>
      </c>
      <c r="G62" s="107" t="inlineStr">
        <is>
          <t>—</t>
        </is>
      </c>
      <c r="H62" s="20" t="inlineStr">
        <is>
          <t>6 900 ₽ / 3 лет</t>
        </is>
      </c>
      <c r="I62" s="20" t="inlineStr"/>
      <c r="J62" s="20" t="inlineStr"/>
      <c r="K62" s="21" t="inlineStr"/>
      <c r="L62" s="20" t="inlineStr">
        <is>
          <t>удаляется крестиком</t>
        </is>
      </c>
    </row>
    <row r="63">
      <c r="A63" s="20" t="inlineStr"/>
      <c r="B63" s="20" t="inlineStr"/>
      <c r="C63" s="20" t="inlineStr"/>
      <c r="D63" s="20" t="inlineStr">
        <is>
          <t>Retouch4me Fabric</t>
        </is>
      </c>
      <c r="E63" s="20" t="inlineStr">
        <is>
          <t>строка таблицы</t>
        </is>
      </c>
      <c r="F63" s="21" t="inlineStr">
        <is>
          <t>table_row</t>
        </is>
      </c>
      <c r="G63" s="107" t="inlineStr">
        <is>
          <t>—</t>
        </is>
      </c>
      <c r="H63" s="20" t="inlineStr">
        <is>
          <t>6 900 ₽ / 3 лет</t>
        </is>
      </c>
      <c r="I63" s="20" t="inlineStr"/>
      <c r="J63" s="20" t="inlineStr"/>
      <c r="K63" s="21" t="inlineStr"/>
      <c r="L63" s="20" t="inlineStr">
        <is>
          <t>удаляется крестиком</t>
        </is>
      </c>
    </row>
    <row r="64">
      <c r="A64" s="20" t="inlineStr"/>
      <c r="B64" s="20" t="inlineStr"/>
      <c r="C64" s="20" t="inlineStr"/>
      <c r="D64" s="20" t="inlineStr">
        <is>
          <t>Retouch4me Clean Backdrop</t>
        </is>
      </c>
      <c r="E64" s="20" t="inlineStr">
        <is>
          <t>строка таблицы</t>
        </is>
      </c>
      <c r="F64" s="21" t="inlineStr">
        <is>
          <t>table_row</t>
        </is>
      </c>
      <c r="G64" s="107" t="inlineStr">
        <is>
          <t>—</t>
        </is>
      </c>
      <c r="H64" s="20" t="inlineStr">
        <is>
          <t>6 900 ₽ / 3 лет</t>
        </is>
      </c>
      <c r="I64" s="20" t="inlineStr"/>
      <c r="J64" s="20" t="inlineStr"/>
      <c r="K64" s="21" t="inlineStr"/>
      <c r="L64" s="20" t="inlineStr">
        <is>
          <t>удаляется крестиком</t>
        </is>
      </c>
    </row>
    <row r="65">
      <c r="A65" s="20" t="inlineStr"/>
      <c r="B65" s="20" t="inlineStr"/>
      <c r="C65" s="20" t="inlineStr"/>
      <c r="D65" s="20" t="inlineStr">
        <is>
          <t>Retouch4me Dust</t>
        </is>
      </c>
      <c r="E65" s="20" t="inlineStr">
        <is>
          <t>строка таблицы</t>
        </is>
      </c>
      <c r="F65" s="21" t="inlineStr">
        <is>
          <t>table_row</t>
        </is>
      </c>
      <c r="G65" s="107" t="inlineStr">
        <is>
          <t>—</t>
        </is>
      </c>
      <c r="H65" s="20" t="inlineStr">
        <is>
          <t>6 900 ₽ / 3 лет</t>
        </is>
      </c>
      <c r="I65" s="20" t="inlineStr"/>
      <c r="J65" s="20" t="inlineStr"/>
      <c r="K65" s="21" t="inlineStr"/>
      <c r="L65" s="20" t="inlineStr">
        <is>
          <t>удаляется крестиком</t>
        </is>
      </c>
    </row>
    <row r="66">
      <c r="A66" s="5" t="inlineStr"/>
      <c r="B66" s="5" t="inlineStr"/>
      <c r="C66" s="5" t="inlineStr"/>
      <c r="D66" s="5" t="inlineStr">
        <is>
          <t>+ Добавить программу</t>
        </is>
      </c>
      <c r="E66" s="5" t="inlineStr">
        <is>
          <t>кнопка</t>
        </is>
      </c>
      <c r="F66" s="6" t="inlineStr">
        <is>
          <t>button_add</t>
        </is>
      </c>
      <c r="G66" s="61" t="inlineStr">
        <is>
          <t>авто</t>
        </is>
      </c>
      <c r="H66" s="5" t="inlineStr">
        <is>
          <t>—</t>
        </is>
      </c>
      <c r="I66" s="5" t="inlineStr"/>
      <c r="J66" s="5" t="inlineStr">
        <is>
          <t>Form004</t>
        </is>
      </c>
      <c r="K66" s="6" t="inlineStr">
        <is>
          <t>—</t>
        </is>
      </c>
      <c r="L66" s="5" t="inlineStr"/>
    </row>
    <row r="67">
      <c r="A67" s="108" t="inlineStr"/>
      <c r="B67" s="108" t="inlineStr"/>
      <c r="C67" s="108" t="inlineStr"/>
      <c r="D67" s="108" t="inlineStr">
        <is>
          <t>Итого разовые</t>
        </is>
      </c>
      <c r="E67" s="108" t="inlineStr">
        <is>
          <t>строка итога</t>
        </is>
      </c>
      <c r="F67" s="109" t="inlineStr">
        <is>
          <t>calc_row</t>
        </is>
      </c>
      <c r="G67" s="110" t="inlineStr">
        <is>
          <t>100%</t>
        </is>
      </c>
      <c r="H67" s="108" t="inlineStr">
        <is>
          <t>11 500</t>
        </is>
      </c>
      <c r="I67" s="108" t="inlineStr">
        <is>
          <t>₽/год</t>
        </is>
      </c>
      <c r="J67" s="108" t="inlineStr">
        <is>
          <t>Form004</t>
        </is>
      </c>
      <c r="K67" s="109" t="inlineStr">
        <is>
          <t>dep_software</t>
        </is>
      </c>
      <c r="L67" s="108" t="inlineStr"/>
    </row>
    <row r="68">
      <c r="A68" s="101" t="inlineStr">
        <is>
          <t>09</t>
        </is>
      </c>
      <c r="B68" s="3" t="inlineStr">
        <is>
          <t>Block9</t>
        </is>
      </c>
      <c r="C68" s="3" t="inlineStr">
        <is>
          <t>3 · Инвестиции</t>
        </is>
      </c>
      <c r="D68" s="3" t="inlineStr">
        <is>
          <t>Рабочее место</t>
        </is>
      </c>
      <c r="E68" s="102" t="inlineStr">
        <is>
          <t>переключатель; дома аренда и коммунальные считаются по доле площади, офис — полностью</t>
        </is>
      </c>
      <c r="F68" s="103" t="n"/>
      <c r="G68" s="103" t="n"/>
      <c r="H68" s="103" t="n"/>
      <c r="I68" s="103" t="n"/>
      <c r="J68" s="103" t="n"/>
      <c r="K68" s="103" t="n"/>
      <c r="L68" s="103" t="n"/>
    </row>
    <row r="69">
      <c r="A69" s="14" t="inlineStr"/>
      <c r="B69" s="14" t="inlineStr"/>
      <c r="C69" s="14" t="inlineStr"/>
      <c r="D69" s="14" t="inlineStr">
        <is>
          <t>Не учитывать этот блок</t>
        </is>
      </c>
      <c r="E69" s="14" t="inlineStr">
        <is>
          <t>галочка</t>
        </is>
      </c>
      <c r="F69" s="15" t="inlineStr">
        <is>
          <t>checkbox</t>
        </is>
      </c>
      <c r="G69" s="106" t="inlineStr">
        <is>
          <t>авто</t>
        </is>
      </c>
      <c r="H69" s="14" t="inlineStr">
        <is>
          <t>снята</t>
        </is>
      </c>
      <c r="I69" s="14" t="inlineStr"/>
      <c r="J69" s="14" t="inlineStr">
        <is>
          <t>Form005, Form013</t>
        </is>
      </c>
      <c r="K69" s="15" t="inlineStr">
        <is>
          <t>use_Form009</t>
        </is>
      </c>
      <c r="L69" s="14" t="inlineStr"/>
    </row>
    <row r="70">
      <c r="A70" s="5" t="inlineStr"/>
      <c r="B70" s="5" t="inlineStr"/>
      <c r="C70" s="5" t="inlineStr"/>
      <c r="D70" s="5" t="inlineStr">
        <is>
          <t>Где вы работаете</t>
        </is>
      </c>
      <c r="E70" s="5" t="inlineStr">
        <is>
          <t>переключатель</t>
        </is>
      </c>
      <c r="F70" s="15" t="inlineStr">
        <is>
          <t>radio</t>
        </is>
      </c>
      <c r="G70" s="61" t="inlineStr">
        <is>
          <t>100%</t>
        </is>
      </c>
      <c r="H70" s="5" t="inlineStr">
        <is>
          <t>Работаю из дома</t>
        </is>
      </c>
      <c r="I70" s="5" t="inlineStr"/>
      <c r="J70" s="5" t="inlineStr">
        <is>
          <t>Form005</t>
        </is>
      </c>
      <c r="K70" s="6" t="inlineStr">
        <is>
          <t>ws_mode</t>
        </is>
      </c>
      <c r="L70" s="5" t="inlineStr">
        <is>
          <t>2 варианта: Работаю из дома / Арендую помещение</t>
        </is>
      </c>
    </row>
    <row r="71">
      <c r="A71" s="5" t="inlineStr"/>
      <c r="B71" s="5" t="inlineStr"/>
      <c r="C71" s="5" t="inlineStr"/>
      <c r="D71" s="5" t="inlineStr">
        <is>
          <t>Аренда или ипотека</t>
        </is>
      </c>
      <c r="E71" s="5" t="inlineStr">
        <is>
          <t>поле ввода</t>
        </is>
      </c>
      <c r="F71" s="6" t="inlineStr">
        <is>
          <t>input_number</t>
        </is>
      </c>
      <c r="G71" s="61" t="inlineStr">
        <is>
          <t>50%</t>
        </is>
      </c>
      <c r="H71" s="5" t="inlineStr">
        <is>
          <t>40 000; строка обязательная, без удаления</t>
        </is>
      </c>
      <c r="I71" s="5" t="inlineStr">
        <is>
          <t>₽/мес</t>
        </is>
      </c>
      <c r="J71" s="5" t="inlineStr">
        <is>
          <t>Form005</t>
        </is>
      </c>
      <c r="K71" s="6" t="inlineStr">
        <is>
          <t>home_rent</t>
        </is>
      </c>
      <c r="L71" s="5" t="inlineStr">
        <is>
          <t>видно только при «Работаю из дома». Берётся ПО ДОЛЕ метров</t>
        </is>
      </c>
    </row>
    <row r="72">
      <c r="A72" s="5" t="inlineStr"/>
      <c r="B72" s="5" t="inlineStr"/>
      <c r="C72" s="5" t="inlineStr"/>
      <c r="D72" s="5" t="inlineStr">
        <is>
          <t>Коммунальные и связь</t>
        </is>
      </c>
      <c r="E72" s="5" t="inlineStr">
        <is>
          <t>поле ввода</t>
        </is>
      </c>
      <c r="F72" s="6" t="inlineStr">
        <is>
          <t>input_number</t>
        </is>
      </c>
      <c r="G72" s="61" t="inlineStr">
        <is>
          <t>50%</t>
        </is>
      </c>
      <c r="H72" s="5" t="inlineStr">
        <is>
          <t>7 000; строку можно удалить</t>
        </is>
      </c>
      <c r="I72" s="5" t="inlineStr">
        <is>
          <t>₽/мес</t>
        </is>
      </c>
      <c r="J72" s="5" t="inlineStr">
        <is>
          <t>Form005</t>
        </is>
      </c>
      <c r="K72" s="6" t="inlineStr">
        <is>
          <t>home_util</t>
        </is>
      </c>
      <c r="L72" s="5" t="inlineStr">
        <is>
          <t>видно при «дома». Берётся ЦЕЛИКОМ</t>
        </is>
      </c>
    </row>
    <row r="73">
      <c r="A73" s="5" t="inlineStr"/>
      <c r="B73" s="5" t="inlineStr"/>
      <c r="C73" s="5" t="inlineStr"/>
      <c r="D73" s="5" t="inlineStr">
        <is>
          <t>Общая площадь жилья</t>
        </is>
      </c>
      <c r="E73" s="5" t="inlineStr">
        <is>
          <t>поле ввода</t>
        </is>
      </c>
      <c r="F73" s="6" t="inlineStr">
        <is>
          <t>input_number</t>
        </is>
      </c>
      <c r="G73" s="61" t="inlineStr">
        <is>
          <t>50%</t>
        </is>
      </c>
      <c r="H73" s="5" t="inlineStr">
        <is>
          <t>50; строку можно удалить</t>
        </is>
      </c>
      <c r="I73" s="5" t="inlineStr">
        <is>
          <t>м²</t>
        </is>
      </c>
      <c r="J73" s="5" t="inlineStr">
        <is>
          <t>Form005</t>
        </is>
      </c>
      <c r="K73" s="6" t="inlineStr">
        <is>
          <t>home_area</t>
        </is>
      </c>
      <c r="L73" s="5" t="inlineStr">
        <is>
          <t>видно при «дома»</t>
        </is>
      </c>
    </row>
    <row r="74">
      <c r="A74" s="5" t="inlineStr"/>
      <c r="B74" s="5" t="inlineStr"/>
      <c r="C74" s="5" t="inlineStr"/>
      <c r="D74" s="5" t="inlineStr">
        <is>
          <t>Площадь под кабинет</t>
        </is>
      </c>
      <c r="E74" s="5" t="inlineStr">
        <is>
          <t>поле ввода</t>
        </is>
      </c>
      <c r="F74" s="6" t="inlineStr">
        <is>
          <t>input_number</t>
        </is>
      </c>
      <c r="G74" s="61" t="inlineStr">
        <is>
          <t>50%</t>
        </is>
      </c>
      <c r="H74" s="5" t="inlineStr">
        <is>
          <t>6; строку можно удалить</t>
        </is>
      </c>
      <c r="I74" s="5" t="inlineStr">
        <is>
          <t>м²</t>
        </is>
      </c>
      <c r="J74" s="5" t="inlineStr">
        <is>
          <t>Form005</t>
        </is>
      </c>
      <c r="K74" s="6" t="inlineStr">
        <is>
          <t>cab_area</t>
        </is>
      </c>
      <c r="L74" s="5" t="inlineStr">
        <is>
          <t>видно при «дома»</t>
        </is>
      </c>
    </row>
    <row r="75">
      <c r="A75" s="108" t="inlineStr"/>
      <c r="B75" s="108" t="inlineStr"/>
      <c r="C75" s="108" t="inlineStr"/>
      <c r="D75" s="108" t="inlineStr">
        <is>
          <t>Доля кабинета</t>
        </is>
      </c>
      <c r="E75" s="108" t="inlineStr">
        <is>
          <t>расчётное поле</t>
        </is>
      </c>
      <c r="F75" s="109" t="inlineStr">
        <is>
          <t>calc_field</t>
        </is>
      </c>
      <c r="G75" s="110" t="inlineStr">
        <is>
          <t>50%</t>
        </is>
      </c>
      <c r="H75" s="108" t="inlineStr">
        <is>
          <t>12,00</t>
        </is>
      </c>
      <c r="I75" s="108" t="inlineStr">
        <is>
          <t>%</t>
        </is>
      </c>
      <c r="J75" s="108" t="inlineStr">
        <is>
          <t>Form005</t>
        </is>
      </c>
      <c r="K75" s="109" t="inlineStr">
        <is>
          <t>cab_share</t>
        </is>
      </c>
      <c r="L75" s="108" t="inlineStr">
        <is>
          <t>только чтение</t>
        </is>
      </c>
    </row>
    <row r="76">
      <c r="A76" s="5" t="inlineStr"/>
      <c r="B76" s="5" t="inlineStr"/>
      <c r="C76" s="5" t="inlineStr"/>
      <c r="D76" s="5" t="inlineStr">
        <is>
          <t>Стоимость помещения</t>
        </is>
      </c>
      <c r="E76" s="5" t="inlineStr">
        <is>
          <t>поле ввода</t>
        </is>
      </c>
      <c r="F76" s="6" t="inlineStr">
        <is>
          <t>input_number</t>
        </is>
      </c>
      <c r="G76" s="61" t="inlineStr">
        <is>
          <t>50%</t>
        </is>
      </c>
      <c r="H76" s="5" t="inlineStr">
        <is>
          <t>15 000</t>
        </is>
      </c>
      <c r="I76" s="5" t="inlineStr">
        <is>
          <t>₽/мес</t>
        </is>
      </c>
      <c r="J76" s="5" t="inlineStr">
        <is>
          <t>Form005</t>
        </is>
      </c>
      <c r="K76" s="6" t="inlineStr">
        <is>
          <t>office_rent</t>
        </is>
      </c>
      <c r="L76" s="5" t="inlineStr">
        <is>
          <t>видно только при «Арендую помещение». ЦЕЛИКОМ</t>
        </is>
      </c>
    </row>
    <row r="77">
      <c r="A77" s="5" t="inlineStr"/>
      <c r="B77" s="5" t="inlineStr"/>
      <c r="C77" s="5" t="inlineStr"/>
      <c r="D77" s="5" t="inlineStr">
        <is>
          <t>Коммунальные и связь</t>
        </is>
      </c>
      <c r="E77" s="5" t="inlineStr">
        <is>
          <t>поле ввода</t>
        </is>
      </c>
      <c r="F77" s="6" t="inlineStr">
        <is>
          <t>input_number</t>
        </is>
      </c>
      <c r="G77" s="61" t="inlineStr">
        <is>
          <t>50%</t>
        </is>
      </c>
      <c r="H77" s="5" t="inlineStr">
        <is>
          <t>7 000</t>
        </is>
      </c>
      <c r="I77" s="5" t="inlineStr">
        <is>
          <t>₽/мес</t>
        </is>
      </c>
      <c r="J77" s="5" t="inlineStr">
        <is>
          <t>Form005</t>
        </is>
      </c>
      <c r="K77" s="6" t="inlineStr">
        <is>
          <t>office_util</t>
        </is>
      </c>
      <c r="L77" s="5" t="inlineStr">
        <is>
          <t>видно при «аренда». ЦЕЛИКОМ</t>
        </is>
      </c>
    </row>
    <row r="78">
      <c r="A78" s="5" t="inlineStr"/>
      <c r="B78" s="5" t="inlineStr"/>
      <c r="C78" s="5" t="inlineStr"/>
      <c r="D78" s="5" t="inlineStr">
        <is>
          <t>— Обустройство места (мебель, ремонт)</t>
        </is>
      </c>
      <c r="E78" s="5" t="inlineStr">
        <is>
          <t>подзаголовок</t>
        </is>
      </c>
      <c r="F78" s="6" t="inlineStr">
        <is>
          <t>subhead</t>
        </is>
      </c>
      <c r="G78" s="61" t="inlineStr">
        <is>
          <t>100%</t>
        </is>
      </c>
      <c r="H78" s="5" t="inlineStr"/>
      <c r="I78" s="5" t="inlineStr"/>
      <c r="J78" s="5" t="inlineStr">
        <is>
          <t>Form013</t>
        </is>
      </c>
      <c r="K78" s="6" t="inlineStr">
        <is>
          <t>—</t>
        </is>
      </c>
      <c r="L78" s="5" t="inlineStr"/>
    </row>
    <row r="79">
      <c r="A79" s="5" t="inlineStr"/>
      <c r="B79" s="5" t="inlineStr"/>
      <c r="C79" s="5" t="inlineStr"/>
      <c r="D79" s="5" t="inlineStr">
        <is>
          <t>Заголовки</t>
        </is>
      </c>
      <c r="E79" s="5" t="inlineStr">
        <is>
          <t>шапка</t>
        </is>
      </c>
      <c r="F79" s="6" t="inlineStr">
        <is>
          <t>table_head</t>
        </is>
      </c>
      <c r="G79" s="61" t="inlineStr">
        <is>
          <t>100%</t>
        </is>
      </c>
      <c r="H79" s="5" t="inlineStr">
        <is>
          <t>Позиция · Стоимость ₽ · Срок лет · ₽/год</t>
        </is>
      </c>
      <c r="I79" s="5" t="inlineStr"/>
      <c r="J79" s="5" t="inlineStr">
        <is>
          <t>Form013</t>
        </is>
      </c>
      <c r="K79" s="6" t="inlineStr">
        <is>
          <t>—</t>
        </is>
      </c>
      <c r="L79" s="5" t="inlineStr"/>
    </row>
    <row r="80">
      <c r="A80" s="20" t="inlineStr"/>
      <c r="B80" s="20" t="inlineStr"/>
      <c r="C80" s="20" t="inlineStr"/>
      <c r="D80" s="20" t="inlineStr">
        <is>
          <t>Мебель</t>
        </is>
      </c>
      <c r="E80" s="20" t="inlineStr">
        <is>
          <t>строка таблицы</t>
        </is>
      </c>
      <c r="F80" s="21" t="inlineStr">
        <is>
          <t>table_row</t>
        </is>
      </c>
      <c r="G80" s="107" t="inlineStr">
        <is>
          <t>—</t>
        </is>
      </c>
      <c r="H80" s="20" t="inlineStr">
        <is>
          <t>35 000 ₽ / 7 лет</t>
        </is>
      </c>
      <c r="I80" s="20" t="inlineStr"/>
      <c r="J80" s="20" t="inlineStr"/>
      <c r="K80" s="21" t="inlineStr"/>
      <c r="L80" s="20" t="inlineStr">
        <is>
          <t>удаляется крестиком</t>
        </is>
      </c>
    </row>
    <row r="81">
      <c r="A81" s="20" t="inlineStr"/>
      <c r="B81" s="20" t="inlineStr"/>
      <c r="C81" s="20" t="inlineStr"/>
      <c r="D81" s="20" t="inlineStr">
        <is>
          <t>Косметический ремонт</t>
        </is>
      </c>
      <c r="E81" s="20" t="inlineStr">
        <is>
          <t>строка таблицы</t>
        </is>
      </c>
      <c r="F81" s="21" t="inlineStr">
        <is>
          <t>table_row</t>
        </is>
      </c>
      <c r="G81" s="107" t="inlineStr">
        <is>
          <t>—</t>
        </is>
      </c>
      <c r="H81" s="20" t="inlineStr">
        <is>
          <t>30 000 ₽ / 7 лет</t>
        </is>
      </c>
      <c r="I81" s="20" t="inlineStr"/>
      <c r="J81" s="20" t="inlineStr"/>
      <c r="K81" s="21" t="inlineStr"/>
      <c r="L81" s="20" t="inlineStr">
        <is>
          <t>удаляется крестиком</t>
        </is>
      </c>
    </row>
    <row r="82">
      <c r="A82" s="5" t="inlineStr"/>
      <c r="B82" s="5" t="inlineStr"/>
      <c r="C82" s="5" t="inlineStr"/>
      <c r="D82" s="5" t="inlineStr">
        <is>
          <t>+ Добавить позицию</t>
        </is>
      </c>
      <c r="E82" s="5" t="inlineStr">
        <is>
          <t>кнопка</t>
        </is>
      </c>
      <c r="F82" s="6" t="inlineStr">
        <is>
          <t>button_add</t>
        </is>
      </c>
      <c r="G82" s="61" t="inlineStr">
        <is>
          <t>авто</t>
        </is>
      </c>
      <c r="H82" s="5" t="inlineStr">
        <is>
          <t>—</t>
        </is>
      </c>
      <c r="I82" s="5" t="inlineStr"/>
      <c r="J82" s="5" t="inlineStr">
        <is>
          <t>Form013</t>
        </is>
      </c>
      <c r="K82" s="6" t="inlineStr">
        <is>
          <t>—</t>
        </is>
      </c>
      <c r="L82" s="5" t="inlineStr"/>
    </row>
    <row r="83">
      <c r="A83" s="108" t="inlineStr"/>
      <c r="B83" s="108" t="inlineStr"/>
      <c r="C83" s="108" t="inlineStr"/>
      <c r="D83" s="108" t="inlineStr">
        <is>
          <t>Итого содержание</t>
        </is>
      </c>
      <c r="E83" s="108" t="inlineStr">
        <is>
          <t>строка итога</t>
        </is>
      </c>
      <c r="F83" s="109" t="inlineStr">
        <is>
          <t>calc_row</t>
        </is>
      </c>
      <c r="G83" s="110" t="inlineStr">
        <is>
          <t>100%</t>
        </is>
      </c>
      <c r="H83" s="108" t="inlineStr">
        <is>
          <t>141 600</t>
        </is>
      </c>
      <c r="I83" s="108" t="inlineStr">
        <is>
          <t>₽/год</t>
        </is>
      </c>
      <c r="J83" s="108" t="inlineStr">
        <is>
          <t>Form005</t>
        </is>
      </c>
      <c r="K83" s="109" t="inlineStr">
        <is>
          <t>var_workspace</t>
        </is>
      </c>
      <c r="L83" s="108" t="inlineStr"/>
    </row>
    <row r="84">
      <c r="A84" s="108" t="inlineStr"/>
      <c r="B84" s="108" t="inlineStr"/>
      <c r="C84" s="108" t="inlineStr"/>
      <c r="D84" s="108" t="inlineStr">
        <is>
          <t>Итого обустройство</t>
        </is>
      </c>
      <c r="E84" s="108" t="inlineStr">
        <is>
          <t>строка итога</t>
        </is>
      </c>
      <c r="F84" s="109" t="inlineStr">
        <is>
          <t>calc_row</t>
        </is>
      </c>
      <c r="G84" s="110" t="inlineStr">
        <is>
          <t>100%</t>
        </is>
      </c>
      <c r="H84" s="108" t="inlineStr">
        <is>
          <t>9 285,71</t>
        </is>
      </c>
      <c r="I84" s="108" t="inlineStr">
        <is>
          <t>₽/год</t>
        </is>
      </c>
      <c r="J84" s="108" t="inlineStr">
        <is>
          <t>Form013</t>
        </is>
      </c>
      <c r="K84" s="109" t="inlineStr">
        <is>
          <t>dep_workspace</t>
        </is>
      </c>
      <c r="L84" s="108" t="inlineStr"/>
    </row>
    <row r="85">
      <c r="A85" s="101" t="inlineStr">
        <is>
          <t>10</t>
        </is>
      </c>
      <c r="B85" s="3" t="inlineStr">
        <is>
          <t>Block10</t>
        </is>
      </c>
      <c r="C85" s="3" t="inlineStr">
        <is>
          <t>3 · Инвестиции</t>
        </is>
      </c>
      <c r="D85" s="3" t="inlineStr">
        <is>
          <t>Профессиональное обучение</t>
        </is>
      </c>
      <c r="E85" s="103" t="n"/>
      <c r="F85" s="103" t="n"/>
      <c r="G85" s="103" t="n"/>
      <c r="H85" s="103" t="n"/>
      <c r="I85" s="103" t="n"/>
      <c r="J85" s="103" t="n"/>
      <c r="K85" s="103" t="n"/>
      <c r="L85" s="103" t="n"/>
    </row>
    <row r="86">
      <c r="A86" s="14" t="inlineStr"/>
      <c r="B86" s="14" t="inlineStr"/>
      <c r="C86" s="14" t="inlineStr"/>
      <c r="D86" s="14" t="inlineStr">
        <is>
          <t>Не учитывать этот блок</t>
        </is>
      </c>
      <c r="E86" s="14" t="inlineStr">
        <is>
          <t>галочка</t>
        </is>
      </c>
      <c r="F86" s="15" t="inlineStr">
        <is>
          <t>checkbox</t>
        </is>
      </c>
      <c r="G86" s="106" t="inlineStr">
        <is>
          <t>авто</t>
        </is>
      </c>
      <c r="H86" s="14" t="inlineStr">
        <is>
          <t>снята</t>
        </is>
      </c>
      <c r="I86" s="14" t="inlineStr"/>
      <c r="J86" s="14" t="inlineStr">
        <is>
          <t>Form006</t>
        </is>
      </c>
      <c r="K86" s="15" t="inlineStr">
        <is>
          <t>use_Form006</t>
        </is>
      </c>
      <c r="L86" s="14" t="inlineStr"/>
    </row>
    <row r="87">
      <c r="A87" s="5" t="inlineStr"/>
      <c r="B87" s="5" t="inlineStr"/>
      <c r="C87" s="5" t="inlineStr"/>
      <c r="D87" s="5" t="inlineStr">
        <is>
          <t>Заголовки</t>
        </is>
      </c>
      <c r="E87" s="5" t="inlineStr">
        <is>
          <t>шапка</t>
        </is>
      </c>
      <c r="F87" s="6" t="inlineStr">
        <is>
          <t>table_head</t>
        </is>
      </c>
      <c r="G87" s="61" t="inlineStr">
        <is>
          <t>100%</t>
        </is>
      </c>
      <c r="H87" s="5" t="inlineStr">
        <is>
          <t>Курс · Стоимость ₽ · Месяцев учёбы · Срок лет</t>
        </is>
      </c>
      <c r="I87" s="5" t="inlineStr"/>
      <c r="J87" s="5" t="inlineStr">
        <is>
          <t>Form006</t>
        </is>
      </c>
      <c r="K87" s="6" t="inlineStr">
        <is>
          <t>—</t>
        </is>
      </c>
      <c r="L87" s="5" t="inlineStr"/>
    </row>
    <row r="88">
      <c r="A88" s="20" t="inlineStr"/>
      <c r="B88" s="20" t="inlineStr"/>
      <c r="C88" s="20" t="inlineStr"/>
      <c r="D88" s="20" t="inlineStr">
        <is>
          <t>Курс по фотографии</t>
        </is>
      </c>
      <c r="E88" s="20" t="inlineStr">
        <is>
          <t>строка таблицы</t>
        </is>
      </c>
      <c r="F88" s="21" t="inlineStr">
        <is>
          <t>table_row</t>
        </is>
      </c>
      <c r="G88" s="107" t="inlineStr">
        <is>
          <t>—</t>
        </is>
      </c>
      <c r="H88" s="20" t="inlineStr">
        <is>
          <t>80 000 ₽ / 7 лет</t>
        </is>
      </c>
      <c r="I88" s="20" t="inlineStr"/>
      <c r="J88" s="20" t="inlineStr"/>
      <c r="K88" s="21" t="inlineStr"/>
      <c r="L88" s="20" t="inlineStr">
        <is>
          <t>удаляется крестиком</t>
        </is>
      </c>
    </row>
    <row r="89">
      <c r="A89" s="5" t="inlineStr"/>
      <c r="B89" s="5" t="inlineStr"/>
      <c r="C89" s="5" t="inlineStr"/>
      <c r="D89" s="5" t="inlineStr">
        <is>
          <t>Месяцев учёбы без дохода</t>
        </is>
      </c>
      <c r="E89" s="5" t="inlineStr">
        <is>
          <t>поле ввода</t>
        </is>
      </c>
      <c r="F89" s="6" t="inlineStr">
        <is>
          <t>input_number</t>
        </is>
      </c>
      <c r="G89" s="61" t="inlineStr">
        <is>
          <t>50%</t>
        </is>
      </c>
      <c r="H89" s="5" t="inlineStr">
        <is>
          <t>4</t>
        </is>
      </c>
      <c r="I89" s="5" t="inlineStr">
        <is>
          <t>мес</t>
        </is>
      </c>
      <c r="J89" s="5" t="inlineStr">
        <is>
          <t>Form006</t>
        </is>
      </c>
      <c r="K89" s="6" t="inlineStr">
        <is>
          <t>edu_months</t>
        </is>
      </c>
      <c r="L89" s="5" t="inlineStr"/>
    </row>
    <row r="90">
      <c r="A90" s="5" t="inlineStr"/>
      <c r="B90" s="5" t="inlineStr"/>
      <c r="C90" s="5" t="inlineStr"/>
      <c r="D90" s="5" t="n"/>
      <c r="E90" s="5" t="n"/>
      <c r="F90" s="15" t="n"/>
      <c r="G90" s="61" t="n"/>
      <c r="H90" s="5" t="n"/>
      <c r="I90" s="5" t="n"/>
      <c r="J90" s="5" t="n"/>
      <c r="K90" s="6" t="n"/>
      <c r="L90" s="5" t="inlineStr">
        <is>
          <t>если включена: + месяцев × желаемый доход</t>
        </is>
      </c>
    </row>
    <row r="91">
      <c r="A91" s="5" t="inlineStr"/>
      <c r="B91" s="5" t="inlineStr"/>
      <c r="C91" s="5" t="inlineStr"/>
      <c r="D91" s="5" t="inlineStr">
        <is>
          <t>+ Добавить курс</t>
        </is>
      </c>
      <c r="E91" s="5" t="inlineStr">
        <is>
          <t>кнопка</t>
        </is>
      </c>
      <c r="F91" s="6" t="inlineStr">
        <is>
          <t>button_add</t>
        </is>
      </c>
      <c r="G91" s="61" t="inlineStr">
        <is>
          <t>авто</t>
        </is>
      </c>
      <c r="H91" s="5" t="inlineStr">
        <is>
          <t>—</t>
        </is>
      </c>
      <c r="I91" s="5" t="inlineStr"/>
      <c r="J91" s="5" t="inlineStr">
        <is>
          <t>Form006</t>
        </is>
      </c>
      <c r="K91" s="6" t="inlineStr">
        <is>
          <t>—</t>
        </is>
      </c>
      <c r="L91" s="5" t="inlineStr"/>
    </row>
    <row r="92">
      <c r="A92" s="108" t="inlineStr"/>
      <c r="B92" s="108" t="inlineStr"/>
      <c r="C92" s="108" t="inlineStr"/>
      <c r="D92" s="108" t="inlineStr">
        <is>
          <t>Итого амортизация</t>
        </is>
      </c>
      <c r="E92" s="108" t="inlineStr">
        <is>
          <t>строка итога</t>
        </is>
      </c>
      <c r="F92" s="109" t="inlineStr">
        <is>
          <t>calc_row</t>
        </is>
      </c>
      <c r="G92" s="110" t="inlineStr">
        <is>
          <t>100%</t>
        </is>
      </c>
      <c r="H92" s="108" t="inlineStr">
        <is>
          <t>73 713,71</t>
        </is>
      </c>
      <c r="I92" s="108" t="inlineStr">
        <is>
          <t>₽/год</t>
        </is>
      </c>
      <c r="J92" s="108" t="inlineStr">
        <is>
          <t>Form006</t>
        </is>
      </c>
      <c r="K92" s="109" t="inlineStr">
        <is>
          <t>dep_education</t>
        </is>
      </c>
      <c r="L92" s="108" t="inlineStr"/>
    </row>
    <row r="93">
      <c r="A93" s="101" t="inlineStr">
        <is>
          <t>11</t>
        </is>
      </c>
      <c r="B93" s="3" t="inlineStr">
        <is>
          <t>Block12</t>
        </is>
      </c>
      <c r="C93" s="3" t="inlineStr">
        <is>
          <t>3 · Инвестиции</t>
        </is>
      </c>
      <c r="D93" s="3" t="inlineStr">
        <is>
          <t>Создание сайта</t>
        </is>
      </c>
      <c r="E93" s="102" t="inlineStr">
        <is>
          <t>переключатель; поля зафиксированы в двухколоночной сетке</t>
        </is>
      </c>
      <c r="F93" s="103" t="n"/>
      <c r="G93" s="103" t="n"/>
      <c r="H93" s="103" t="n"/>
      <c r="I93" s="103" t="n"/>
      <c r="J93" s="103" t="n"/>
      <c r="K93" s="103" t="n"/>
      <c r="L93" s="103" t="n"/>
    </row>
    <row r="94">
      <c r="A94" s="14" t="inlineStr"/>
      <c r="B94" s="14" t="inlineStr"/>
      <c r="C94" s="14" t="inlineStr"/>
      <c r="D94" s="14" t="inlineStr">
        <is>
          <t>Не учитывать этот блок</t>
        </is>
      </c>
      <c r="E94" s="14" t="inlineStr">
        <is>
          <t>галочка</t>
        </is>
      </c>
      <c r="F94" s="15" t="inlineStr">
        <is>
          <t>checkbox</t>
        </is>
      </c>
      <c r="G94" s="106" t="inlineStr">
        <is>
          <t>авто</t>
        </is>
      </c>
      <c r="H94" s="14" t="inlineStr">
        <is>
          <t>снята</t>
        </is>
      </c>
      <c r="I94" s="14" t="inlineStr"/>
      <c r="J94" s="14" t="inlineStr">
        <is>
          <t>Form014</t>
        </is>
      </c>
      <c r="K94" s="15" t="inlineStr">
        <is>
          <t>use_Form014</t>
        </is>
      </c>
      <c r="L94" s="14" t="inlineStr"/>
    </row>
    <row r="95">
      <c r="A95" s="5" t="inlineStr"/>
      <c r="B95" s="5" t="inlineStr"/>
      <c r="C95" s="5" t="inlineStr"/>
      <c r="D95" s="5" t="inlineStr">
        <is>
          <t>Как появился сайт</t>
        </is>
      </c>
      <c r="E95" s="5" t="inlineStr">
        <is>
          <t>переключатель</t>
        </is>
      </c>
      <c r="F95" s="15" t="inlineStr">
        <is>
          <t>radio</t>
        </is>
      </c>
      <c r="G95" s="61" t="inlineStr">
        <is>
          <t>100%</t>
        </is>
      </c>
      <c r="H95" s="5" t="inlineStr">
        <is>
          <t>Нанимал (а) специалиста</t>
        </is>
      </c>
      <c r="I95" s="5" t="inlineStr"/>
      <c r="J95" s="5" t="inlineStr">
        <is>
          <t>Form014</t>
        </is>
      </c>
      <c r="K95" s="6" t="inlineStr">
        <is>
          <t>site_mode</t>
        </is>
      </c>
      <c r="L95" s="5" t="inlineStr">
        <is>
          <t>2 варианта: Нанимал специалиста / Делал самостоятельно</t>
        </is>
      </c>
    </row>
    <row r="96">
      <c r="A96" s="5" t="inlineStr"/>
      <c r="B96" s="5" t="inlineStr"/>
      <c r="C96" s="5" t="inlineStr"/>
      <c r="D96" s="5" t="inlineStr">
        <is>
          <t>Стоимость подрядчика</t>
        </is>
      </c>
      <c r="E96" s="5" t="inlineStr">
        <is>
          <t>поле ввода</t>
        </is>
      </c>
      <c r="F96" s="6" t="inlineStr">
        <is>
          <t>input_number</t>
        </is>
      </c>
      <c r="G96" s="61" t="inlineStr">
        <is>
          <t>50%</t>
        </is>
      </c>
      <c r="H96" s="5" t="inlineStr">
        <is>
          <t>70 000</t>
        </is>
      </c>
      <c r="I96" s="5" t="inlineStr">
        <is>
          <t>₽</t>
        </is>
      </c>
      <c r="J96" s="5" t="inlineStr">
        <is>
          <t>Form014</t>
        </is>
      </c>
      <c r="K96" s="6" t="inlineStr">
        <is>
          <t>site_cost</t>
        </is>
      </c>
      <c r="L96" s="5" t="inlineStr">
        <is>
          <t>видно при «Нанимал»</t>
        </is>
      </c>
    </row>
    <row r="97">
      <c r="A97" s="5" t="inlineStr"/>
      <c r="B97" s="5" t="inlineStr"/>
      <c r="C97" s="5" t="inlineStr"/>
      <c r="D97" s="5" t="inlineStr">
        <is>
          <t>Часов своими руками</t>
        </is>
      </c>
      <c r="E97" s="5" t="inlineStr">
        <is>
          <t>поле ввода</t>
        </is>
      </c>
      <c r="F97" s="6" t="inlineStr">
        <is>
          <t>input_number</t>
        </is>
      </c>
      <c r="G97" s="61" t="inlineStr">
        <is>
          <t>50%</t>
        </is>
      </c>
      <c r="H97" s="5" t="inlineStr">
        <is>
          <t>0</t>
        </is>
      </c>
      <c r="I97" s="5" t="inlineStr">
        <is>
          <t>ч</t>
        </is>
      </c>
      <c r="J97" s="5" t="inlineStr">
        <is>
          <t>Form014</t>
        </is>
      </c>
      <c r="K97" s="6" t="inlineStr">
        <is>
          <t>site_hours</t>
        </is>
      </c>
      <c r="L97" s="5" t="inlineStr">
        <is>
          <t>видно при «Делал сам». Оценивается по ПОЛНОЙ ставке рабочего часа</t>
        </is>
      </c>
    </row>
    <row r="98">
      <c r="A98" s="5" t="inlineStr"/>
      <c r="B98" s="5" t="inlineStr"/>
      <c r="C98" s="5" t="inlineStr"/>
      <c r="D98" s="5" t="inlineStr">
        <is>
          <t>Срок амортизации</t>
        </is>
      </c>
      <c r="E98" s="5" t="inlineStr">
        <is>
          <t>поле ввода</t>
        </is>
      </c>
      <c r="F98" s="6" t="inlineStr">
        <is>
          <t>input_number</t>
        </is>
      </c>
      <c r="G98" s="61" t="inlineStr">
        <is>
          <t>50%</t>
        </is>
      </c>
      <c r="H98" s="5" t="inlineStr">
        <is>
          <t>7</t>
        </is>
      </c>
      <c r="I98" s="5" t="inlineStr">
        <is>
          <t>лет</t>
        </is>
      </c>
      <c r="J98" s="5" t="inlineStr">
        <is>
          <t>Form014</t>
        </is>
      </c>
      <c r="K98" s="6" t="inlineStr">
        <is>
          <t>site_life</t>
        </is>
      </c>
      <c r="L98" s="5" t="inlineStr"/>
    </row>
    <row r="99">
      <c r="A99" s="108" t="inlineStr"/>
      <c r="B99" s="108" t="inlineStr"/>
      <c r="C99" s="108" t="inlineStr"/>
      <c r="D99" s="108" t="inlineStr">
        <is>
          <t>Итого амортизация</t>
        </is>
      </c>
      <c r="E99" s="108" t="inlineStr">
        <is>
          <t>строка итога</t>
        </is>
      </c>
      <c r="F99" s="109" t="inlineStr">
        <is>
          <t>calc_row</t>
        </is>
      </c>
      <c r="G99" s="110" t="inlineStr">
        <is>
          <t>100%</t>
        </is>
      </c>
      <c r="H99" s="108" t="inlineStr">
        <is>
          <t>10 000</t>
        </is>
      </c>
      <c r="I99" s="108" t="inlineStr">
        <is>
          <t>₽/год</t>
        </is>
      </c>
      <c r="J99" s="108" t="inlineStr">
        <is>
          <t>Form014</t>
        </is>
      </c>
      <c r="K99" s="109" t="inlineStr">
        <is>
          <t>dep_website</t>
        </is>
      </c>
      <c r="L99" s="108" t="inlineStr"/>
    </row>
    <row r="100">
      <c r="A100" s="101" t="inlineStr">
        <is>
          <t>12</t>
        </is>
      </c>
      <c r="B100" s="3" t="inlineStr">
        <is>
          <t>Block11</t>
        </is>
      </c>
      <c r="C100" s="3" t="inlineStr">
        <is>
          <t>4 · Расходы</t>
        </is>
      </c>
      <c r="D100" s="3" t="inlineStr">
        <is>
          <t>Реклама и продвижение</t>
        </is>
      </c>
      <c r="E100" s="102" t="inlineStr">
        <is>
          <t>динамическая таблица</t>
        </is>
      </c>
      <c r="F100" s="103" t="n"/>
      <c r="G100" s="103" t="n"/>
      <c r="H100" s="103" t="n"/>
      <c r="I100" s="103" t="n"/>
      <c r="J100" s="103" t="n"/>
      <c r="K100" s="103" t="n"/>
      <c r="L100" s="103" t="n"/>
    </row>
    <row r="101">
      <c r="A101" s="14" t="inlineStr"/>
      <c r="B101" s="14" t="inlineStr"/>
      <c r="C101" s="14" t="inlineStr"/>
      <c r="D101" s="14" t="inlineStr">
        <is>
          <t>Не учитывать этот блок</t>
        </is>
      </c>
      <c r="E101" s="14" t="inlineStr">
        <is>
          <t>галочка</t>
        </is>
      </c>
      <c r="F101" s="15" t="inlineStr">
        <is>
          <t>checkbox</t>
        </is>
      </c>
      <c r="G101" s="106" t="inlineStr">
        <is>
          <t>авто</t>
        </is>
      </c>
      <c r="H101" s="14" t="inlineStr">
        <is>
          <t>снята</t>
        </is>
      </c>
      <c r="I101" s="14" t="inlineStr"/>
      <c r="J101" s="14" t="inlineStr">
        <is>
          <t>Form010</t>
        </is>
      </c>
      <c r="K101" s="15" t="inlineStr">
        <is>
          <t>use_Form010</t>
        </is>
      </c>
      <c r="L101" s="14" t="inlineStr"/>
    </row>
    <row r="102">
      <c r="A102" s="5" t="inlineStr"/>
      <c r="B102" s="5" t="inlineStr"/>
      <c r="C102" s="5" t="inlineStr"/>
      <c r="D102" s="5" t="inlineStr">
        <is>
          <t>Заголовки</t>
        </is>
      </c>
      <c r="E102" s="5" t="inlineStr">
        <is>
          <t>шапка</t>
        </is>
      </c>
      <c r="F102" s="6" t="inlineStr">
        <is>
          <t>table_head</t>
        </is>
      </c>
      <c r="G102" s="61" t="inlineStr">
        <is>
          <t>100%</t>
        </is>
      </c>
      <c r="H102" s="5" t="inlineStr">
        <is>
          <t>Позиция · Стоимость ₽ · Период · ₽/год</t>
        </is>
      </c>
      <c r="I102" s="5" t="inlineStr"/>
      <c r="J102" s="5" t="inlineStr">
        <is>
          <t>Form010</t>
        </is>
      </c>
      <c r="K102" s="6" t="inlineStr">
        <is>
          <t>—</t>
        </is>
      </c>
      <c r="L102" s="5" t="inlineStr"/>
    </row>
    <row r="103">
      <c r="A103" s="20" t="inlineStr"/>
      <c r="B103" s="20" t="inlineStr"/>
      <c r="C103" s="20" t="inlineStr"/>
      <c r="D103" s="20" t="inlineStr">
        <is>
          <t>Домен сайта</t>
        </is>
      </c>
      <c r="E103" s="20" t="inlineStr">
        <is>
          <t>строка таблицы</t>
        </is>
      </c>
      <c r="F103" s="21" t="inlineStr">
        <is>
          <t>table_row</t>
        </is>
      </c>
      <c r="G103" s="107" t="inlineStr">
        <is>
          <t>—</t>
        </is>
      </c>
      <c r="H103" s="20" t="inlineStr">
        <is>
          <t xml:space="preserve">1 500 ₽ / Год </t>
        </is>
      </c>
      <c r="I103" s="20" t="inlineStr"/>
      <c r="J103" s="20" t="inlineStr"/>
      <c r="K103" s="21" t="inlineStr"/>
      <c r="L103" s="20" t="inlineStr">
        <is>
          <t>удаляется крестиком</t>
        </is>
      </c>
    </row>
    <row r="104">
      <c r="A104" s="20" t="inlineStr"/>
      <c r="B104" s="20" t="inlineStr"/>
      <c r="C104" s="20" t="inlineStr"/>
      <c r="D104" s="20" t="inlineStr">
        <is>
          <t>Хостинг сайта</t>
        </is>
      </c>
      <c r="E104" s="20" t="inlineStr">
        <is>
          <t>строка таблицы</t>
        </is>
      </c>
      <c r="F104" s="21" t="inlineStr">
        <is>
          <t>table_row</t>
        </is>
      </c>
      <c r="G104" s="107" t="inlineStr">
        <is>
          <t>—</t>
        </is>
      </c>
      <c r="H104" s="20" t="inlineStr">
        <is>
          <t xml:space="preserve">6 000 ₽ / Год </t>
        </is>
      </c>
      <c r="I104" s="20" t="inlineStr"/>
      <c r="J104" s="20" t="inlineStr"/>
      <c r="K104" s="21" t="inlineStr"/>
      <c r="L104" s="20" t="inlineStr">
        <is>
          <t>удаляется крестиком</t>
        </is>
      </c>
    </row>
    <row r="105">
      <c r="A105" s="20" t="inlineStr"/>
      <c r="B105" s="20" t="inlineStr"/>
      <c r="C105" s="20" t="inlineStr"/>
      <c r="D105" s="20" t="inlineStr">
        <is>
          <t>Яндекс Директ</t>
        </is>
      </c>
      <c r="E105" s="20" t="inlineStr">
        <is>
          <t>строка таблицы</t>
        </is>
      </c>
      <c r="F105" s="21" t="inlineStr">
        <is>
          <t>table_row</t>
        </is>
      </c>
      <c r="G105" s="107" t="inlineStr">
        <is>
          <t>—</t>
        </is>
      </c>
      <c r="H105" s="20" t="inlineStr">
        <is>
          <t xml:space="preserve">15 000 ₽ / Месяц </t>
        </is>
      </c>
      <c r="I105" s="20" t="inlineStr"/>
      <c r="J105" s="20" t="inlineStr"/>
      <c r="K105" s="21" t="inlineStr"/>
      <c r="L105" s="20" t="inlineStr">
        <is>
          <t>удаляется крестиком</t>
        </is>
      </c>
    </row>
    <row r="106">
      <c r="A106" s="20" t="inlineStr"/>
      <c r="B106" s="20" t="inlineStr"/>
      <c r="C106" s="20" t="inlineStr"/>
      <c r="D106" s="20" t="inlineStr">
        <is>
          <t>Авито</t>
        </is>
      </c>
      <c r="E106" s="20" t="inlineStr">
        <is>
          <t>строка таблицы</t>
        </is>
      </c>
      <c r="F106" s="21" t="inlineStr">
        <is>
          <t>table_row</t>
        </is>
      </c>
      <c r="G106" s="107" t="inlineStr">
        <is>
          <t>—</t>
        </is>
      </c>
      <c r="H106" s="20" t="inlineStr">
        <is>
          <t xml:space="preserve">0 ₽ / Месяц </t>
        </is>
      </c>
      <c r="I106" s="20" t="inlineStr"/>
      <c r="J106" s="20" t="inlineStr"/>
      <c r="K106" s="21" t="inlineStr"/>
      <c r="L106" s="20" t="inlineStr">
        <is>
          <t>удаляется крестиком</t>
        </is>
      </c>
    </row>
    <row r="107">
      <c r="A107" s="20" t="inlineStr"/>
      <c r="B107" s="20" t="inlineStr"/>
      <c r="C107" s="20" t="inlineStr"/>
      <c r="D107" s="20" t="inlineStr">
        <is>
          <t>Таргетированная реклама</t>
        </is>
      </c>
      <c r="E107" s="20" t="inlineStr">
        <is>
          <t>строка таблицы</t>
        </is>
      </c>
      <c r="F107" s="21" t="inlineStr">
        <is>
          <t>table_row</t>
        </is>
      </c>
      <c r="G107" s="107" t="inlineStr">
        <is>
          <t>—</t>
        </is>
      </c>
      <c r="H107" s="20" t="inlineStr">
        <is>
          <t xml:space="preserve">0 ₽ / Месяц </t>
        </is>
      </c>
      <c r="I107" s="20" t="inlineStr"/>
      <c r="J107" s="20" t="inlineStr"/>
      <c r="K107" s="21" t="inlineStr"/>
      <c r="L107" s="20" t="inlineStr">
        <is>
          <t>удаляется крестиком</t>
        </is>
      </c>
    </row>
    <row r="108">
      <c r="A108" s="20" t="inlineStr"/>
      <c r="B108" s="20" t="inlineStr"/>
      <c r="C108" s="20" t="inlineStr"/>
      <c r="D108" s="20" t="inlineStr">
        <is>
          <t>Платные размещения у блогеров</t>
        </is>
      </c>
      <c r="E108" s="20" t="inlineStr">
        <is>
          <t>строка таблицы</t>
        </is>
      </c>
      <c r="F108" s="21" t="inlineStr">
        <is>
          <t>table_row</t>
        </is>
      </c>
      <c r="G108" s="107" t="inlineStr">
        <is>
          <t>—</t>
        </is>
      </c>
      <c r="H108" s="20" t="inlineStr">
        <is>
          <t xml:space="preserve">0 ₽ / Месяц </t>
        </is>
      </c>
      <c r="I108" s="20" t="inlineStr"/>
      <c r="J108" s="20" t="inlineStr"/>
      <c r="K108" s="21" t="inlineStr"/>
      <c r="L108" s="20" t="inlineStr">
        <is>
          <t>удаляется крестиком</t>
        </is>
      </c>
    </row>
    <row r="109">
      <c r="A109" s="20" t="inlineStr"/>
      <c r="B109" s="20" t="inlineStr"/>
      <c r="C109" s="20" t="inlineStr"/>
      <c r="D109" s="20" t="inlineStr">
        <is>
          <t>Отклики на Profi.ru</t>
        </is>
      </c>
      <c r="E109" s="20" t="inlineStr">
        <is>
          <t>строка таблицы</t>
        </is>
      </c>
      <c r="F109" s="21" t="inlineStr">
        <is>
          <t>table_row</t>
        </is>
      </c>
      <c r="G109" s="107" t="inlineStr">
        <is>
          <t>—</t>
        </is>
      </c>
      <c r="H109" s="20" t="inlineStr">
        <is>
          <t xml:space="preserve">0 ₽ / Месяц </t>
        </is>
      </c>
      <c r="I109" s="20" t="inlineStr"/>
      <c r="J109" s="20" t="inlineStr"/>
      <c r="K109" s="21" t="inlineStr"/>
      <c r="L109" s="20" t="inlineStr">
        <is>
          <t>удаляется крестиком</t>
        </is>
      </c>
    </row>
    <row r="110">
      <c r="A110" s="5" t="inlineStr"/>
      <c r="B110" s="5" t="inlineStr"/>
      <c r="C110" s="5" t="inlineStr"/>
      <c r="D110" s="5" t="inlineStr">
        <is>
          <t>+ Добавить канал</t>
        </is>
      </c>
      <c r="E110" s="5" t="inlineStr">
        <is>
          <t>кнопка</t>
        </is>
      </c>
      <c r="F110" s="6" t="inlineStr">
        <is>
          <t>button_add</t>
        </is>
      </c>
      <c r="G110" s="61" t="inlineStr">
        <is>
          <t>авто</t>
        </is>
      </c>
      <c r="H110" s="5" t="inlineStr">
        <is>
          <t>—</t>
        </is>
      </c>
      <c r="I110" s="5" t="inlineStr"/>
      <c r="J110" s="5" t="inlineStr">
        <is>
          <t>Form010</t>
        </is>
      </c>
      <c r="K110" s="6" t="inlineStr">
        <is>
          <t>—</t>
        </is>
      </c>
      <c r="L110" s="5" t="inlineStr"/>
    </row>
    <row r="111">
      <c r="A111" s="108" t="inlineStr"/>
      <c r="B111" s="108" t="inlineStr"/>
      <c r="C111" s="108" t="inlineStr"/>
      <c r="D111" s="108" t="inlineStr">
        <is>
          <t>Итого</t>
        </is>
      </c>
      <c r="E111" s="108" t="inlineStr">
        <is>
          <t>строка итога</t>
        </is>
      </c>
      <c r="F111" s="109" t="inlineStr">
        <is>
          <t>calc_row</t>
        </is>
      </c>
      <c r="G111" s="110" t="inlineStr">
        <is>
          <t>100%</t>
        </is>
      </c>
      <c r="H111" s="108" t="inlineStr">
        <is>
          <t>187 500</t>
        </is>
      </c>
      <c r="I111" s="108" t="inlineStr">
        <is>
          <t>₽/год</t>
        </is>
      </c>
      <c r="J111" s="108" t="inlineStr">
        <is>
          <t>Form010</t>
        </is>
      </c>
      <c r="K111" s="109" t="inlineStr">
        <is>
          <t>var_ads</t>
        </is>
      </c>
      <c r="L111" s="108" t="inlineStr"/>
    </row>
    <row r="112">
      <c r="A112" s="101" t="inlineStr">
        <is>
          <t>13</t>
        </is>
      </c>
      <c r="B112" s="3" t="inlineStr">
        <is>
          <t>Block15</t>
        </is>
      </c>
      <c r="C112" s="3" t="inlineStr">
        <is>
          <t>4 · Расходы</t>
        </is>
      </c>
      <c r="D112" s="3" t="inlineStr">
        <is>
          <t>Банковское обслуживание</t>
        </is>
      </c>
      <c r="E112" s="102" t="inlineStr">
        <is>
          <t>две независимые части: регулярные платежи и комиссии банка</t>
        </is>
      </c>
      <c r="F112" s="103" t="n"/>
      <c r="G112" s="103" t="n"/>
      <c r="H112" s="103" t="n"/>
      <c r="I112" s="103" t="n"/>
      <c r="J112" s="103" t="n"/>
      <c r="K112" s="103" t="n"/>
      <c r="L112" s="103" t="n"/>
    </row>
    <row r="113">
      <c r="A113" s="14" t="inlineStr"/>
      <c r="B113" s="14" t="inlineStr"/>
      <c r="C113" s="14" t="inlineStr"/>
      <c r="D113" s="14" t="inlineStr">
        <is>
          <t>Не учитывать этот блок</t>
        </is>
      </c>
      <c r="E113" s="14" t="inlineStr">
        <is>
          <t>галочка</t>
        </is>
      </c>
      <c r="F113" s="15" t="inlineStr">
        <is>
          <t>checkbox</t>
        </is>
      </c>
      <c r="G113" s="106" t="inlineStr">
        <is>
          <t>авто</t>
        </is>
      </c>
      <c r="H113" s="14" t="inlineStr">
        <is>
          <t>снята</t>
        </is>
      </c>
      <c r="I113" s="14" t="inlineStr"/>
      <c r="J113" s="14" t="inlineStr">
        <is>
          <t>Form007, Form008</t>
        </is>
      </c>
      <c r="K113" s="15" t="inlineStr">
        <is>
          <t>use_Form015</t>
        </is>
      </c>
      <c r="L113" s="14" t="inlineStr"/>
    </row>
    <row r="114">
      <c r="A114" s="5" t="inlineStr"/>
      <c r="B114" s="5" t="inlineStr"/>
      <c r="C114" s="5" t="inlineStr"/>
      <c r="D114" s="5" t="inlineStr">
        <is>
          <t>— Регулярные платежи</t>
        </is>
      </c>
      <c r="E114" s="5" t="inlineStr">
        <is>
          <t>подзаголовок</t>
        </is>
      </c>
      <c r="F114" s="6" t="inlineStr">
        <is>
          <t>subhead</t>
        </is>
      </c>
      <c r="G114" s="61" t="inlineStr">
        <is>
          <t>100%</t>
        </is>
      </c>
      <c r="H114" s="5" t="inlineStr"/>
      <c r="I114" s="5" t="inlineStr"/>
      <c r="J114" s="5" t="inlineStr">
        <is>
          <t>Form007</t>
        </is>
      </c>
      <c r="K114" s="6" t="inlineStr">
        <is>
          <t>—</t>
        </is>
      </c>
      <c r="L114" s="5" t="inlineStr"/>
    </row>
    <row r="115">
      <c r="A115" s="5" t="inlineStr"/>
      <c r="B115" s="5" t="inlineStr"/>
      <c r="C115" s="5" t="inlineStr"/>
      <c r="D115" s="5" t="inlineStr">
        <is>
          <t>Заголовки</t>
        </is>
      </c>
      <c r="E115" s="5" t="inlineStr">
        <is>
          <t>шапка</t>
        </is>
      </c>
      <c r="F115" s="6" t="inlineStr">
        <is>
          <t>table_head</t>
        </is>
      </c>
      <c r="G115" s="61" t="inlineStr">
        <is>
          <t>100%</t>
        </is>
      </c>
      <c r="H115" s="5" t="inlineStr">
        <is>
          <t>Позиция · Стоимость ₽ · Период · ₽/год</t>
        </is>
      </c>
      <c r="I115" s="5" t="inlineStr"/>
      <c r="J115" s="5" t="inlineStr">
        <is>
          <t>Form007</t>
        </is>
      </c>
      <c r="K115" s="6" t="inlineStr">
        <is>
          <t>—</t>
        </is>
      </c>
      <c r="L115" s="5" t="inlineStr"/>
    </row>
    <row r="116">
      <c r="A116" s="20" t="inlineStr"/>
      <c r="B116" s="20" t="inlineStr"/>
      <c r="C116" s="20" t="inlineStr"/>
      <c r="D116" s="20" t="inlineStr">
        <is>
          <t>Обслуживание счёта (РКО)</t>
        </is>
      </c>
      <c r="E116" s="20" t="inlineStr">
        <is>
          <t>строка таблицы</t>
        </is>
      </c>
      <c r="F116" s="21" t="inlineStr">
        <is>
          <t>table_row</t>
        </is>
      </c>
      <c r="G116" s="107" t="inlineStr">
        <is>
          <t>—</t>
        </is>
      </c>
      <c r="H116" s="20" t="inlineStr">
        <is>
          <t xml:space="preserve">0 ₽ / Месяц </t>
        </is>
      </c>
      <c r="I116" s="20" t="inlineStr"/>
      <c r="J116" s="20" t="inlineStr"/>
      <c r="K116" s="21" t="inlineStr"/>
      <c r="L116" s="20" t="inlineStr">
        <is>
          <t>удаляется крестиком</t>
        </is>
      </c>
    </row>
    <row r="117">
      <c r="A117" s="20" t="inlineStr"/>
      <c r="B117" s="20" t="inlineStr"/>
      <c r="C117" s="20" t="inlineStr"/>
      <c r="D117" s="20" t="inlineStr">
        <is>
          <t>СМС-уведомления</t>
        </is>
      </c>
      <c r="E117" s="20" t="inlineStr">
        <is>
          <t>строка таблицы</t>
        </is>
      </c>
      <c r="F117" s="21" t="inlineStr">
        <is>
          <t>table_row</t>
        </is>
      </c>
      <c r="G117" s="107" t="inlineStr">
        <is>
          <t>—</t>
        </is>
      </c>
      <c r="H117" s="20" t="inlineStr">
        <is>
          <t xml:space="preserve">150 ₽ / Месяц </t>
        </is>
      </c>
      <c r="I117" s="20" t="inlineStr"/>
      <c r="J117" s="20" t="inlineStr"/>
      <c r="K117" s="21" t="inlineStr"/>
      <c r="L117" s="20" t="inlineStr">
        <is>
          <t>удаляется крестиком</t>
        </is>
      </c>
    </row>
    <row r="118">
      <c r="A118" s="5" t="inlineStr"/>
      <c r="B118" s="5" t="inlineStr"/>
      <c r="C118" s="5" t="inlineStr"/>
      <c r="D118" s="5" t="inlineStr">
        <is>
          <t>+ Добавить платёж</t>
        </is>
      </c>
      <c r="E118" s="5" t="inlineStr">
        <is>
          <t>кнопка</t>
        </is>
      </c>
      <c r="F118" s="6" t="inlineStr">
        <is>
          <t>button_add</t>
        </is>
      </c>
      <c r="G118" s="61" t="inlineStr">
        <is>
          <t>авто</t>
        </is>
      </c>
      <c r="H118" s="5" t="inlineStr">
        <is>
          <t>—</t>
        </is>
      </c>
      <c r="I118" s="5" t="inlineStr"/>
      <c r="J118" s="5" t="inlineStr">
        <is>
          <t>Form007</t>
        </is>
      </c>
      <c r="K118" s="6" t="inlineStr">
        <is>
          <t>—</t>
        </is>
      </c>
      <c r="L118" s="5" t="inlineStr"/>
    </row>
    <row r="119">
      <c r="A119" s="108" t="inlineStr"/>
      <c r="B119" s="108" t="inlineStr"/>
      <c r="C119" s="108" t="inlineStr"/>
      <c r="D119" s="108" t="inlineStr">
        <is>
          <t>Итого платежи</t>
        </is>
      </c>
      <c r="E119" s="108" t="inlineStr">
        <is>
          <t>строка итога</t>
        </is>
      </c>
      <c r="F119" s="109" t="inlineStr">
        <is>
          <t>calc_row</t>
        </is>
      </c>
      <c r="G119" s="110" t="inlineStr">
        <is>
          <t>100%</t>
        </is>
      </c>
      <c r="H119" s="108" t="inlineStr">
        <is>
          <t>1 800</t>
        </is>
      </c>
      <c r="I119" s="108" t="inlineStr">
        <is>
          <t>₽/год</t>
        </is>
      </c>
      <c r="J119" s="108" t="inlineStr">
        <is>
          <t>Form007</t>
        </is>
      </c>
      <c r="K119" s="109" t="inlineStr">
        <is>
          <t>var_bank</t>
        </is>
      </c>
      <c r="L119" s="108" t="inlineStr"/>
    </row>
    <row r="120">
      <c r="A120" s="5" t="inlineStr"/>
      <c r="B120" s="5" t="inlineStr"/>
      <c r="C120" s="5" t="inlineStr"/>
      <c r="D120" s="5" t="inlineStr">
        <is>
          <t>— Комиссии банка</t>
        </is>
      </c>
      <c r="E120" s="5" t="inlineStr">
        <is>
          <t>таблица «Позиция / Ставка» с добавляемыми комиссиями</t>
        </is>
      </c>
      <c r="F120" s="6" t="inlineStr">
        <is>
          <t>subhead</t>
        </is>
      </c>
      <c r="G120" s="61" t="inlineStr">
        <is>
          <t>100%</t>
        </is>
      </c>
      <c r="H120" s="5" t="inlineStr"/>
      <c r="I120" s="5" t="inlineStr"/>
      <c r="J120" s="5" t="inlineStr">
        <is>
          <t>Form008</t>
        </is>
      </c>
      <c r="K120" s="6" t="inlineStr">
        <is>
          <t>—</t>
        </is>
      </c>
      <c r="L120" s="5" t="inlineStr"/>
    </row>
    <row r="121">
      <c r="A121" s="5" t="inlineStr"/>
      <c r="B121" s="5" t="inlineStr"/>
      <c r="C121" s="5" t="inlineStr"/>
      <c r="D121" s="5" t="inlineStr">
        <is>
          <t>Эквайринг</t>
        </is>
      </c>
      <c r="E121" s="5" t="inlineStr">
        <is>
          <t>строка таблицы: поле позиции + ставка</t>
        </is>
      </c>
      <c r="F121" s="6" t="inlineStr">
        <is>
          <t>table_row</t>
        </is>
      </c>
      <c r="G121" s="61" t="inlineStr">
        <is>
          <t>100%</t>
        </is>
      </c>
      <c r="H121" s="5" t="inlineStr">
        <is>
          <t>Эквайринг / 2,7; строку можно удалить</t>
        </is>
      </c>
      <c r="I121" s="5" t="inlineStr">
        <is>
          <t>%</t>
        </is>
      </c>
      <c r="J121" s="5" t="inlineStr">
        <is>
          <t>Form008</t>
        </is>
      </c>
      <c r="K121" s="6" t="inlineStr">
        <is>
          <t>acq_rate</t>
        </is>
      </c>
      <c r="L121" s="5" t="inlineStr"/>
    </row>
    <row r="122">
      <c r="A122" s="5" t="inlineStr"/>
      <c r="B122" s="5" t="inlineStr"/>
      <c r="C122" s="5" t="inlineStr"/>
      <c r="D122" s="5" t="inlineStr">
        <is>
          <t>Доля оплат через эквайринг</t>
        </is>
      </c>
      <c r="E122" s="5" t="inlineStr">
        <is>
          <t>поле ввода</t>
        </is>
      </c>
      <c r="F122" s="6" t="inlineStr">
        <is>
          <t>input_number</t>
        </is>
      </c>
      <c r="G122" s="61" t="inlineStr">
        <is>
          <t>50%</t>
        </is>
      </c>
      <c r="H122" s="5" t="inlineStr">
        <is>
          <t>100; удаляется вместе со строкой эквайринга</t>
        </is>
      </c>
      <c r="I122" s="5" t="inlineStr">
        <is>
          <t>%</t>
        </is>
      </c>
      <c r="J122" s="5" t="inlineStr">
        <is>
          <t>Form008</t>
        </is>
      </c>
      <c r="K122" s="6" t="inlineStr">
        <is>
          <t>acq_share</t>
        </is>
      </c>
      <c r="L122" s="5" t="inlineStr">
        <is>
          <t>отдельная строка под таблицей; вопрос оформлен как поле и удаляется вместе со строкой эквайринга</t>
        </is>
      </c>
    </row>
    <row r="123">
      <c r="A123" s="101" t="inlineStr">
        <is>
          <t>14</t>
        </is>
      </c>
      <c r="B123" s="3" t="inlineStr">
        <is>
          <t>Block14</t>
        </is>
      </c>
      <c r="C123" s="3" t="inlineStr">
        <is>
          <t>4 · Расходы</t>
        </is>
      </c>
      <c r="D123" s="3" t="inlineStr">
        <is>
          <t>Бухгалтерия и учёт</t>
        </is>
      </c>
      <c r="E123" s="102" t="inlineStr">
        <is>
          <t>переключатель: время ИЛИ деньги</t>
        </is>
      </c>
      <c r="F123" s="103" t="n"/>
      <c r="G123" s="103" t="n"/>
      <c r="H123" s="103" t="n"/>
      <c r="I123" s="103" t="n"/>
      <c r="J123" s="103" t="n"/>
      <c r="K123" s="103" t="n"/>
      <c r="L123" s="103" t="n"/>
    </row>
    <row r="124">
      <c r="A124" s="14" t="inlineStr"/>
      <c r="B124" s="14" t="inlineStr"/>
      <c r="C124" s="14" t="inlineStr"/>
      <c r="D124" s="14" t="inlineStr">
        <is>
          <t>Не учитывать этот блок</t>
        </is>
      </c>
      <c r="E124" s="14" t="inlineStr">
        <is>
          <t>галочка</t>
        </is>
      </c>
      <c r="F124" s="15" t="inlineStr">
        <is>
          <t>checkbox</t>
        </is>
      </c>
      <c r="G124" s="106" t="inlineStr">
        <is>
          <t>авто</t>
        </is>
      </c>
      <c r="H124" s="14" t="inlineStr">
        <is>
          <t>снята</t>
        </is>
      </c>
      <c r="I124" s="14" t="inlineStr"/>
      <c r="J124" s="14" t="inlineStr">
        <is>
          <t>Form011</t>
        </is>
      </c>
      <c r="K124" s="15" t="inlineStr">
        <is>
          <t>use_Form011</t>
        </is>
      </c>
      <c r="L124" s="14" t="inlineStr"/>
    </row>
    <row r="125">
      <c r="A125" s="5" t="inlineStr"/>
      <c r="B125" s="5" t="inlineStr"/>
      <c r="C125" s="5" t="inlineStr"/>
      <c r="D125" s="5" t="inlineStr">
        <is>
          <t>Кто ведёт учёт</t>
        </is>
      </c>
      <c r="E125" s="5" t="inlineStr">
        <is>
          <t>переключатель</t>
        </is>
      </c>
      <c r="F125" s="15" t="inlineStr">
        <is>
          <t>radio</t>
        </is>
      </c>
      <c r="G125" s="61" t="inlineStr">
        <is>
          <t>100%</t>
        </is>
      </c>
      <c r="H125" s="5" t="inlineStr">
        <is>
          <t>Веду самостоятельно</t>
        </is>
      </c>
      <c r="I125" s="5" t="inlineStr"/>
      <c r="J125" s="5" t="inlineStr">
        <is>
          <t>Form011</t>
        </is>
      </c>
      <c r="K125" s="6" t="inlineStr">
        <is>
          <t>acc_mode</t>
        </is>
      </c>
      <c r="L125" s="5" t="inlineStr">
        <is>
          <t>2 варианта: Веду самостоятельно / Нанимаю специалиста</t>
        </is>
      </c>
    </row>
    <row r="126">
      <c r="A126" s="5" t="inlineStr"/>
      <c r="B126" s="5" t="inlineStr"/>
      <c r="C126" s="5" t="inlineStr"/>
      <c r="D126" s="5" t="inlineStr">
        <is>
          <t>Часов в квартал</t>
        </is>
      </c>
      <c r="E126" s="5" t="inlineStr">
        <is>
          <t>поле ввода</t>
        </is>
      </c>
      <c r="F126" s="6" t="inlineStr">
        <is>
          <t>input_number</t>
        </is>
      </c>
      <c r="G126" s="61" t="inlineStr">
        <is>
          <t>50%</t>
        </is>
      </c>
      <c r="H126" s="5" t="inlineStr">
        <is>
          <t>3</t>
        </is>
      </c>
      <c r="I126" s="5" t="inlineStr">
        <is>
          <t>ч/кв</t>
        </is>
      </c>
      <c r="J126" s="5" t="inlineStr">
        <is>
          <t>Form011</t>
        </is>
      </c>
      <c r="K126" s="6" t="inlineStr">
        <is>
          <t>acc_per_quarter</t>
        </is>
      </c>
      <c r="L126" s="5" t="inlineStr">
        <is>
          <t>видно при «Веду самостоятельно». Уходит в операционное ВРЕМЯ</t>
        </is>
      </c>
    </row>
    <row r="127">
      <c r="A127" s="5" t="inlineStr"/>
      <c r="B127" s="5" t="inlineStr"/>
      <c r="C127" s="5" t="inlineStr"/>
      <c r="D127" s="5" t="inlineStr">
        <is>
          <t>Стоимость специалиста</t>
        </is>
      </c>
      <c r="E127" s="5" t="inlineStr">
        <is>
          <t>поле ввода</t>
        </is>
      </c>
      <c r="F127" s="6" t="inlineStr">
        <is>
          <t>input_number</t>
        </is>
      </c>
      <c r="G127" s="61" t="inlineStr">
        <is>
          <t>50%</t>
        </is>
      </c>
      <c r="H127" s="5" t="inlineStr">
        <is>
          <t>10 000</t>
        </is>
      </c>
      <c r="I127" s="5" t="inlineStr">
        <is>
          <t>₽/мес</t>
        </is>
      </c>
      <c r="J127" s="5" t="inlineStr">
        <is>
          <t>Form011</t>
        </is>
      </c>
      <c r="K127" s="6" t="inlineStr">
        <is>
          <t>acc_cost_month</t>
        </is>
      </c>
      <c r="L127" s="5" t="inlineStr">
        <is>
          <t>видно при «Нанимаю специалиста». Уходит в ДЕНЬГИ, время = 0</t>
        </is>
      </c>
    </row>
    <row r="128">
      <c r="A128" s="101" t="inlineStr">
        <is>
          <t>15</t>
        </is>
      </c>
      <c r="B128" s="3" t="inlineStr">
        <is>
          <t>—</t>
        </is>
      </c>
      <c r="C128" s="3" t="inlineStr">
        <is>
          <t>5 · Действие</t>
        </is>
      </c>
      <c r="D128" s="3" t="inlineStr">
        <is>
          <t>Кнопка расчёта</t>
        </is>
      </c>
      <c r="E128" s="103" t="n"/>
      <c r="F128" s="103" t="n"/>
      <c r="G128" s="103" t="n"/>
      <c r="H128" s="103" t="n"/>
      <c r="I128" s="103" t="n"/>
      <c r="J128" s="103" t="n"/>
      <c r="K128" s="103" t="n"/>
      <c r="L128" s="103" t="n"/>
    </row>
    <row r="129">
      <c r="A129" s="8" t="inlineStr"/>
      <c r="B129" s="8" t="inlineStr"/>
      <c r="C129" s="8" t="inlineStr"/>
      <c r="D129" s="8" t="inlineStr">
        <is>
          <t>Рассчитать стоимость часа</t>
        </is>
      </c>
      <c r="E129" s="8" t="inlineStr">
        <is>
          <t>кнопка</t>
        </is>
      </c>
      <c r="F129" s="9" t="inlineStr">
        <is>
          <t>button_submit</t>
        </is>
      </c>
      <c r="G129" s="111" t="inlineStr">
        <is>
          <t>100%</t>
        </is>
      </c>
      <c r="H129" s="8" t="inlineStr">
        <is>
          <t>—</t>
        </is>
      </c>
      <c r="I129" s="8" t="inlineStr"/>
      <c r="J129" s="8" t="inlineStr">
        <is>
          <t>—</t>
        </is>
      </c>
      <c r="K129" s="9" t="inlineStr">
        <is>
          <t>—</t>
        </is>
      </c>
      <c r="L129" s="8" t="inlineStr">
        <is>
          <t>запускает анимацию 7 секунд с 7 стадиями</t>
        </is>
      </c>
    </row>
    <row r="130">
      <c r="A130" s="101" t="inlineStr">
        <is>
          <t>16</t>
        </is>
      </c>
      <c r="B130" s="3" t="inlineStr">
        <is>
          <t>Block16</t>
        </is>
      </c>
      <c r="C130" s="3" t="inlineStr">
        <is>
          <t>6 · Результат</t>
        </is>
      </c>
      <c r="D130" s="3" t="inlineStr">
        <is>
          <t>Ваша ставка</t>
        </is>
      </c>
      <c r="E130" s="103" t="n"/>
      <c r="F130" s="103" t="n"/>
      <c r="G130" s="103" t="n"/>
      <c r="H130" s="103" t="n"/>
      <c r="I130" s="103" t="n"/>
      <c r="J130" s="103" t="n"/>
      <c r="K130" s="103" t="n"/>
      <c r="L130" s="103" t="n"/>
    </row>
    <row r="131">
      <c r="A131" s="108" t="inlineStr"/>
      <c r="B131" s="108" t="inlineStr"/>
      <c r="C131" s="108" t="inlineStr"/>
      <c r="D131" s="108" t="inlineStr">
        <is>
          <t>Крупная цифра ставки</t>
        </is>
      </c>
      <c r="E131" s="108" t="inlineStr">
        <is>
          <t>вывод</t>
        </is>
      </c>
      <c r="F131" s="109" t="inlineStr">
        <is>
          <t>report_hero</t>
        </is>
      </c>
      <c r="G131" s="110" t="inlineStr">
        <is>
          <t>100%</t>
        </is>
      </c>
      <c r="H131" s="108" t="inlineStr">
        <is>
          <t>—</t>
        </is>
      </c>
      <c r="I131" s="108" t="inlineStr">
        <is>
          <t>₽/час</t>
        </is>
      </c>
      <c r="J131" s="108" t="inlineStr">
        <is>
          <t>—</t>
        </is>
      </c>
      <c r="K131" s="109" t="inlineStr">
        <is>
          <t>real_rate</t>
        </is>
      </c>
      <c r="L131" s="108" t="inlineStr"/>
    </row>
    <row r="132">
      <c r="A132" s="108" t="inlineStr"/>
      <c r="B132" s="108" t="inlineStr"/>
      <c r="C132" s="108" t="inlineStr"/>
      <c r="D132" s="108" t="inlineStr">
        <is>
          <t>Цена проекта · выручка в месяц · проектов в год</t>
        </is>
      </c>
      <c r="E132" s="108" t="inlineStr">
        <is>
          <t>вывод</t>
        </is>
      </c>
      <c r="F132" s="109" t="inlineStr">
        <is>
          <t>report_row</t>
        </is>
      </c>
      <c r="G132" s="110" t="inlineStr">
        <is>
          <t>100%</t>
        </is>
      </c>
      <c r="H132" s="108" t="inlineStr">
        <is>
          <t>—</t>
        </is>
      </c>
      <c r="I132" s="108" t="inlineStr"/>
      <c r="J132" s="108" t="inlineStr">
        <is>
          <t>—</t>
        </is>
      </c>
      <c r="K132" s="109" t="inlineStr">
        <is>
          <t>—</t>
        </is>
      </c>
      <c r="L132" s="108" t="inlineStr"/>
    </row>
    <row r="133">
      <c r="A133" s="101" t="inlineStr">
        <is>
          <t>17</t>
        </is>
      </c>
      <c r="B133" s="3" t="inlineStr">
        <is>
          <t>Block18</t>
        </is>
      </c>
      <c r="C133" s="3" t="inlineStr">
        <is>
          <t>6 · Результат</t>
        </is>
      </c>
      <c r="D133" s="3" t="inlineStr">
        <is>
          <t>Три кольцевые диаграммы</t>
        </is>
      </c>
      <c r="E133" s="103" t="n"/>
      <c r="F133" s="103" t="n"/>
      <c r="G133" s="103" t="n"/>
      <c r="H133" s="103" t="n"/>
      <c r="I133" s="103" t="n"/>
      <c r="J133" s="103" t="n"/>
      <c r="K133" s="103" t="n"/>
      <c r="L133" s="103" t="n"/>
    </row>
    <row r="134">
      <c r="A134" s="108" t="inlineStr"/>
      <c r="B134" s="108" t="inlineStr"/>
      <c r="C134" s="108" t="inlineStr"/>
      <c r="D134" s="108" t="inlineStr">
        <is>
          <t>Расчётная · Текущая · В ноль</t>
        </is>
      </c>
      <c r="E134" s="108" t="inlineStr">
        <is>
          <t>вывод</t>
        </is>
      </c>
      <c r="F134" s="109" t="inlineStr">
        <is>
          <t>chart_donut</t>
        </is>
      </c>
      <c r="G134" s="110" t="inlineStr">
        <is>
          <t>3 × 33%</t>
        </is>
      </c>
      <c r="H134" s="108" t="inlineStr">
        <is>
          <t>—</t>
        </is>
      </c>
      <c r="I134" s="108" t="inlineStr"/>
      <c r="J134" s="108" t="inlineStr">
        <is>
          <t>—</t>
        </is>
      </c>
      <c r="K134" s="109" t="inlineStr">
        <is>
          <t>—</t>
        </is>
      </c>
      <c r="L134" s="108" t="inlineStr">
        <is>
          <t>5 сегментов: доход, техника, расходы, налоги, банк</t>
        </is>
      </c>
    </row>
    <row r="135">
      <c r="A135" s="101" t="inlineStr">
        <is>
          <t>18</t>
        </is>
      </c>
      <c r="B135" s="3" t="inlineStr">
        <is>
          <t>Block17</t>
        </is>
      </c>
      <c r="C135" s="3" t="inlineStr">
        <is>
          <t>6 · Результат</t>
        </is>
      </c>
      <c r="D135" s="3" t="inlineStr">
        <is>
          <t>За какие роли вы заработали</t>
        </is>
      </c>
      <c r="E135" s="103" t="n"/>
      <c r="F135" s="103" t="n"/>
      <c r="G135" s="103" t="n"/>
      <c r="H135" s="103" t="n"/>
      <c r="I135" s="103" t="n"/>
      <c r="J135" s="103" t="n"/>
      <c r="K135" s="103" t="n"/>
      <c r="L135" s="103" t="n"/>
    </row>
    <row r="136">
      <c r="A136" s="108" t="inlineStr"/>
      <c r="B136" s="108" t="inlineStr"/>
      <c r="C136" s="108" t="inlineStr"/>
      <c r="D136" s="108" t="inlineStr">
        <is>
          <t>Таблица ролей</t>
        </is>
      </c>
      <c r="E136" s="108" t="inlineStr">
        <is>
          <t>вывод</t>
        </is>
      </c>
      <c r="F136" s="109" t="inlineStr">
        <is>
          <t>report_table</t>
        </is>
      </c>
      <c r="G136" s="110" t="inlineStr">
        <is>
          <t>100%</t>
        </is>
      </c>
      <c r="H136" s="108" t="inlineStr">
        <is>
          <t>—</t>
        </is>
      </c>
      <c r="I136" s="108" t="inlineStr"/>
      <c r="J136" s="108" t="inlineStr">
        <is>
          <t>—</t>
        </is>
      </c>
      <c r="K136" s="109" t="inlineStr">
        <is>
          <t>—</t>
        </is>
      </c>
      <c r="L136" s="108" t="inlineStr">
        <is>
          <t>фотограф, ретушёр, менеджер, маркетолог, бухгалтер, компенсация</t>
        </is>
      </c>
    </row>
    <row r="137">
      <c r="A137" s="101" t="inlineStr">
        <is>
          <t>19</t>
        </is>
      </c>
      <c r="B137" s="3" t="inlineStr">
        <is>
          <t>Block17</t>
        </is>
      </c>
      <c r="C137" s="3" t="inlineStr">
        <is>
          <t>6 · Результат</t>
        </is>
      </c>
      <c r="D137" s="3" t="inlineStr">
        <is>
          <t>Сколько вы теряете</t>
        </is>
      </c>
      <c r="E137" s="103" t="n"/>
      <c r="F137" s="103" t="n"/>
      <c r="G137" s="103" t="n"/>
      <c r="H137" s="103" t="n"/>
      <c r="I137" s="103" t="n"/>
      <c r="J137" s="103" t="n"/>
      <c r="K137" s="103" t="n"/>
      <c r="L137" s="103" t="n"/>
    </row>
    <row r="138">
      <c r="A138" s="108" t="inlineStr"/>
      <c r="B138" s="108" t="inlineStr"/>
      <c r="C138" s="108" t="inlineStr"/>
      <c r="D138" s="108" t="inlineStr">
        <is>
          <t>Недобор за год и с часа</t>
        </is>
      </c>
      <c r="E138" s="108" t="inlineStr">
        <is>
          <t>вывод</t>
        </is>
      </c>
      <c r="F138" s="109" t="inlineStr">
        <is>
          <t>report_warn</t>
        </is>
      </c>
      <c r="G138" s="110" t="inlineStr">
        <is>
          <t>100%</t>
        </is>
      </c>
      <c r="H138" s="108" t="inlineStr">
        <is>
          <t>—</t>
        </is>
      </c>
      <c r="I138" s="108" t="inlineStr">
        <is>
          <t>₽</t>
        </is>
      </c>
      <c r="J138" s="108" t="inlineStr">
        <is>
          <t>—</t>
        </is>
      </c>
      <c r="K138" s="109" t="inlineStr">
        <is>
          <t>—</t>
        </is>
      </c>
      <c r="L138" s="108" t="inlineStr">
        <is>
          <t>показывать только если заполнена current_rate</t>
        </is>
      </c>
    </row>
    <row r="139">
      <c r="A139" s="101" t="inlineStr">
        <is>
          <t>20</t>
        </is>
      </c>
      <c r="B139" s="3" t="inlineStr">
        <is>
          <t>—</t>
        </is>
      </c>
      <c r="C139" s="3" t="inlineStr">
        <is>
          <t>6 · Результат</t>
        </is>
      </c>
      <c r="D139" s="3" t="inlineStr">
        <is>
          <t>Ваша неделя</t>
        </is>
      </c>
      <c r="E139" s="103" t="n"/>
      <c r="F139" s="103" t="n"/>
      <c r="G139" s="103" t="n"/>
      <c r="H139" s="103" t="n"/>
      <c r="I139" s="103" t="n"/>
      <c r="J139" s="103" t="n"/>
      <c r="K139" s="103" t="n"/>
      <c r="L139" s="103" t="n"/>
    </row>
    <row r="140">
      <c r="A140" s="108" t="inlineStr"/>
      <c r="B140" s="108" t="inlineStr"/>
      <c r="C140" s="108" t="inlineStr"/>
      <c r="D140" s="108" t="inlineStr">
        <is>
          <t>Сетка 7 × 24</t>
        </is>
      </c>
      <c r="E140" s="108" t="inlineStr">
        <is>
          <t>вывод</t>
        </is>
      </c>
      <c r="F140" s="109" t="inlineStr">
        <is>
          <t>chart_week</t>
        </is>
      </c>
      <c r="G140" s="110" t="inlineStr">
        <is>
          <t>100%</t>
        </is>
      </c>
      <c r="H140" s="108" t="inlineStr">
        <is>
          <t>—</t>
        </is>
      </c>
      <c r="I140" s="108" t="inlineStr"/>
      <c r="J140" s="108" t="inlineStr">
        <is>
          <t>—</t>
        </is>
      </c>
      <c r="K140" s="109" t="inlineStr">
        <is>
          <t>—</t>
        </is>
      </c>
      <c r="L140" s="108" t="inlineStr">
        <is>
          <t>цветные блоки по видам работ, серое — отдых</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30" customWidth="1" min="3" max="3"/>
    <col width="17" customWidth="1" min="4" max="4"/>
    <col width="13" customWidth="1" min="5" max="5"/>
    <col width="40" customWidth="1" min="6" max="6"/>
    <col width="30" customWidth="1" min="7" max="7"/>
  </cols>
  <sheetData>
    <row r="1">
      <c r="A1" s="1" t="inlineStr">
        <is>
          <t>08b · UI-МАТРИЦА ОТЧЁТА — что видно бесплатно, что после оплаты</t>
        </is>
      </c>
    </row>
    <row r="2">
      <c r="A2" s="25" t="inlineStr">
        <is>
          <t>Зелёный — открыто всем. Жёлтый — под размытием до оплаты.</t>
        </is>
      </c>
    </row>
    <row r="4" ht="28" customHeight="1">
      <c r="A4" s="44" t="inlineStr">
        <is>
          <t>№</t>
        </is>
      </c>
      <c r="B4" s="44" t="inlineStr">
        <is>
          <t>Доступ</t>
        </is>
      </c>
      <c r="C4" s="44" t="inlineStr">
        <is>
          <t>Заголовок / элемент</t>
        </is>
      </c>
      <c r="D4" s="44" t="inlineStr">
        <is>
          <t>Тип</t>
        </is>
      </c>
      <c r="E4" s="44" t="inlineStr">
        <is>
          <t>Ширина</t>
        </is>
      </c>
      <c r="F4" s="44" t="inlineStr">
        <is>
          <t>Что показывает</t>
        </is>
      </c>
      <c r="G4" s="44" t="inlineStr">
        <is>
          <t>Параметры</t>
        </is>
      </c>
    </row>
    <row r="5">
      <c r="A5" s="3" t="inlineStr">
        <is>
          <t>ПРЕДВАРИТЕЛЬНЫЙ ОТЧЁТ — видят все</t>
        </is>
      </c>
    </row>
    <row r="6">
      <c r="A6" s="110" t="inlineStr">
        <is>
          <t>П1</t>
        </is>
      </c>
      <c r="B6" s="108" t="inlineStr">
        <is>
          <t>открыто</t>
        </is>
      </c>
      <c r="C6" s="5" t="inlineStr">
        <is>
          <t>Ваша расчётная ставка</t>
        </is>
      </c>
      <c r="D6" s="5" t="inlineStr">
        <is>
          <t>report_hero</t>
        </is>
      </c>
      <c r="E6" s="5" t="inlineStr">
        <is>
          <t>100%</t>
        </is>
      </c>
      <c r="F6" s="5" t="inlineStr">
        <is>
          <t>Крупная цифра ₽/час на зелёном градиенте</t>
        </is>
      </c>
      <c r="G6" s="6" t="inlineStr">
        <is>
          <t>real_rate</t>
        </is>
      </c>
    </row>
    <row r="7">
      <c r="A7" s="110" t="inlineStr">
        <is>
          <t>П2</t>
        </is>
      </c>
      <c r="B7" s="108" t="inlineStr">
        <is>
          <t>открыто</t>
        </is>
      </c>
      <c r="C7" s="5" t="inlineStr">
        <is>
          <t>За одну съёмку · выручка в месяц · съёмок в месяц</t>
        </is>
      </c>
      <c r="D7" s="5" t="inlineStr">
        <is>
          <t>report_row</t>
        </is>
      </c>
      <c r="E7" s="5" t="inlineStr">
        <is>
          <t>3 колонки</t>
        </is>
      </c>
      <c r="F7" s="5" t="inlineStr">
        <is>
          <t>Три показателя в строку под главной цифрой</t>
        </is>
      </c>
      <c r="G7" s="6" t="inlineStr">
        <is>
          <t>R/projects_year, R/12, projects_year/12</t>
        </is>
      </c>
    </row>
    <row r="8">
      <c r="A8" s="110" t="inlineStr">
        <is>
          <t>П3</t>
        </is>
      </c>
      <c r="B8" s="108" t="inlineStr">
        <is>
          <t>открыто</t>
        </is>
      </c>
      <c r="C8" s="5" t="inlineStr">
        <is>
          <t>Куда уходит каждый час съёмки</t>
        </is>
      </c>
      <c r="D8" s="5" t="inlineStr">
        <is>
          <t>chart_donut</t>
        </is>
      </c>
      <c r="E8" s="5" t="inlineStr">
        <is>
          <t>100%</t>
        </is>
      </c>
      <c r="F8" s="5" t="inlineStr">
        <is>
          <t>Одна кольцевая диаграмма, 11 сегментов, легенда справа двумя группами</t>
        </is>
      </c>
      <c r="G8" s="6" t="inlineStr">
        <is>
          <t>parts(d)</t>
        </is>
      </c>
    </row>
    <row r="9">
      <c r="A9" s="110" t="inlineStr">
        <is>
          <t>П4</t>
        </is>
      </c>
      <c r="B9" s="108" t="inlineStr">
        <is>
          <t>открыто</t>
        </is>
      </c>
      <c r="C9" s="5" t="inlineStr">
        <is>
          <t>А теперь сравните со своей зарплатой</t>
        </is>
      </c>
      <c r="D9" s="5" t="inlineStr">
        <is>
          <t>compare_box</t>
        </is>
      </c>
      <c r="E9" s="5" t="inlineStr">
        <is>
          <t>2 колонки</t>
        </is>
      </c>
      <c r="F9" s="5" t="inlineStr">
        <is>
          <t>Хотите получать / Получаете сейчас, полоса-индикатор, разница в месяц и за год</t>
        </is>
      </c>
      <c r="G9" s="6" t="inlineStr">
        <is>
          <t>target_income/12, leftC/12</t>
        </is>
      </c>
    </row>
    <row r="10">
      <c r="A10" s="110" t="inlineStr">
        <is>
          <t>П5</t>
        </is>
      </c>
      <c r="B10" s="108" t="inlineStr">
        <is>
          <t>открыто</t>
        </is>
      </c>
      <c r="C10" s="5" t="inlineStr">
        <is>
          <t>Блок оплаты</t>
        </is>
      </c>
      <c r="D10" s="5" t="inlineStr">
        <is>
          <t>paywall</t>
        </is>
      </c>
      <c r="E10" s="5" t="inlineStr">
        <is>
          <t>100%</t>
        </is>
      </c>
      <c r="F10" s="5" t="inlineStr">
        <is>
          <t>Иконка, заголовок, цена, две кнопки, способы оплаты, список содержимого</t>
        </is>
      </c>
      <c r="G10" s="6" t="inlineStr">
        <is>
          <t>PRICE_REF, PRICE_FULL</t>
        </is>
      </c>
    </row>
    <row r="12">
      <c r="A12" s="3" t="inlineStr">
        <is>
          <t>ПОЛНЫЙ ОТЧЁТ — после оплаты</t>
        </is>
      </c>
    </row>
    <row r="13">
      <c r="A13" s="124" t="inlineStr">
        <is>
          <t>О1</t>
        </is>
      </c>
      <c r="B13" s="113" t="inlineStr">
        <is>
          <t>закрыто</t>
        </is>
      </c>
      <c r="C13" s="5" t="inlineStr">
        <is>
          <t>Три кольцевые диаграммы</t>
        </is>
      </c>
      <c r="D13" s="5" t="inlineStr">
        <is>
          <t>chart_donut × 3</t>
        </is>
      </c>
      <c r="E13" s="5" t="inlineStr">
        <is>
          <t>3 колонки</t>
        </is>
      </c>
      <c r="F13" s="5" t="inlineStr">
        <is>
          <t>Расчётная · Текущая · Работа в ноль. Одинаковые сегменты и цвета</t>
        </is>
      </c>
      <c r="G13" s="6" t="inlineStr">
        <is>
          <t>parts, Pc, Pb</t>
        </is>
      </c>
    </row>
    <row r="14">
      <c r="A14" s="124" t="inlineStr">
        <is>
          <t>О2</t>
        </is>
      </c>
      <c r="B14" s="113" t="inlineStr">
        <is>
          <t>закрыто</t>
        </is>
      </c>
      <c r="C14" s="5" t="inlineStr">
        <is>
          <t>За какие роли вы это заработали</t>
        </is>
      </c>
      <c r="D14" s="5" t="inlineStr">
        <is>
          <t>report_table</t>
        </is>
      </c>
      <c r="E14" s="5" t="inlineStr">
        <is>
          <t>100%</t>
        </is>
      </c>
      <c r="F14" s="5" t="inlineStr">
        <is>
          <t>6 строк: фотограф, ретушёр, менеджер, маркетолог, бухгалтер, компенсация. Колонки: часов в год, часов на проект, ₽ в год, ₽ с часа съёмки</t>
        </is>
      </c>
      <c r="G14" s="6" t="inlineStr">
        <is>
          <t>hr × время роли</t>
        </is>
      </c>
    </row>
    <row r="15">
      <c r="A15" s="124" t="inlineStr">
        <is>
          <t>О3</t>
        </is>
      </c>
      <c r="B15" s="113" t="inlineStr">
        <is>
          <t>закрыто</t>
        </is>
      </c>
      <c r="C15" s="5" t="inlineStr">
        <is>
          <t>Чипы над таблицей</t>
        </is>
      </c>
      <c r="D15" s="5" t="inlineStr">
        <is>
          <t>chips</t>
        </is>
      </c>
      <c r="E15" s="5" t="inlineStr">
        <is>
          <t>авто</t>
        </is>
      </c>
      <c r="F15" s="5" t="inlineStr">
        <is>
          <t>Съёмка · Проект · Съёмочных часов в год · Занято в неделю</t>
        </is>
      </c>
      <c r="G15" s="6" t="inlineStr">
        <is>
          <t>S, project_time, shooting_time</t>
        </is>
      </c>
    </row>
    <row r="16">
      <c r="A16" s="124" t="inlineStr">
        <is>
          <t>О4</t>
        </is>
      </c>
      <c r="B16" s="113" t="inlineStr">
        <is>
          <t>закрыто</t>
        </is>
      </c>
      <c r="C16" s="5" t="inlineStr">
        <is>
          <t>Что это значит</t>
        </is>
      </c>
      <c r="D16" s="5" t="inlineStr">
        <is>
          <t>expl_list</t>
        </is>
      </c>
      <c r="E16" s="5" t="inlineStr">
        <is>
          <t>100%</t>
        </is>
      </c>
      <c r="F16" s="5" t="inlineStr">
        <is>
          <t>6 плашек с цветным маркером слева: вам заплатят, вы заработаете, отложите, заплатите, отдадите государству, отдадите банку</t>
        </is>
      </c>
      <c r="G16" s="6" t="inlineStr">
        <is>
          <t>CO[0,6,8,9,10]</t>
        </is>
      </c>
    </row>
    <row r="17">
      <c r="A17" s="124" t="inlineStr">
        <is>
          <t>О5</t>
        </is>
      </c>
      <c r="B17" s="113" t="inlineStr">
        <is>
          <t>закрыто</t>
        </is>
      </c>
      <c r="C17" s="5" t="inlineStr">
        <is>
          <t>Сколько вы теряете</t>
        </is>
      </c>
      <c r="D17" s="5" t="inlineStr">
        <is>
          <t>warn_box</t>
        </is>
      </c>
      <c r="E17" s="5" t="inlineStr">
        <is>
          <t>100%</t>
        </is>
      </c>
      <c r="F17" s="5" t="inlineStr">
        <is>
          <t>Красный блок: текущая ставка, остаётся на руки, крупная цифра недобора, недобор с часа, минимум без убытка</t>
        </is>
      </c>
      <c r="G17" s="6" t="inlineStr">
        <is>
          <t>miss, Rb</t>
        </is>
      </c>
    </row>
    <row r="18">
      <c r="A18" s="124" t="inlineStr">
        <is>
          <t>О6</t>
        </is>
      </c>
      <c r="B18" s="113" t="inlineStr">
        <is>
          <t>закрыто</t>
        </is>
      </c>
      <c r="C18" s="5" t="inlineStr">
        <is>
          <t>Ваша неделя</t>
        </is>
      </c>
      <c r="D18" s="5" t="inlineStr">
        <is>
          <t>chart_week</t>
        </is>
      </c>
      <c r="E18" s="5" t="inlineStr">
        <is>
          <t>100%</t>
        </is>
      </c>
      <c r="F18" s="5" t="inlineStr">
        <is>
          <t>Сетка 5 дней × 9 часов с 10:00 до 19:00. Обед серым. Легенда цветами диаграммы</t>
        </is>
      </c>
      <c r="G18" s="6" t="inlineStr">
        <is>
          <t>perDay, CO[0..5]</t>
        </is>
      </c>
    </row>
    <row r="20">
      <c r="A20" s="3" t="inlineStr">
        <is>
          <t>ПОСЛЕ ОПЛАТЫ</t>
        </is>
      </c>
    </row>
    <row r="21">
      <c r="A21" s="110" t="inlineStr">
        <is>
          <t>Б1</t>
        </is>
      </c>
      <c r="B21" s="108" t="inlineStr">
        <is>
          <t>открыто</t>
        </is>
      </c>
      <c r="C21" s="5" t="inlineStr">
        <is>
          <t>Спасибо за поддержку</t>
        </is>
      </c>
      <c r="D21" s="5" t="inlineStr">
        <is>
          <t>thanks_box</t>
        </is>
      </c>
      <c r="E21" s="5" t="inlineStr">
        <is>
          <t>100%</t>
        </is>
      </c>
      <c r="F21" s="5" t="inlineStr">
        <is>
          <t>Зелёный блок с галочкой, текст благодарности, кнопка «Скачать PDF»</t>
        </is>
      </c>
      <c r="G21" s="6" t="inlineStr">
        <is>
          <t>появляется при ?paid=1</t>
        </is>
      </c>
    </row>
    <row r="22">
      <c r="A22" s="110" t="inlineStr">
        <is>
          <t>Б2</t>
        </is>
      </c>
      <c r="B22" s="108" t="inlineStr">
        <is>
          <t>открыто</t>
        </is>
      </c>
      <c r="C22" s="5" t="inlineStr">
        <is>
          <t>Скачать PDF</t>
        </is>
      </c>
      <c r="D22" s="5" t="inlineStr">
        <is>
          <t>button_print</t>
        </is>
      </c>
      <c r="E22" s="5" t="inlineStr">
        <is>
          <t>420px</t>
        </is>
      </c>
      <c r="F22" s="5" t="inlineStr">
        <is>
          <t>Вызывает печать браузера. @media print скрывает форму и оставляет только отчёт</t>
        </is>
      </c>
      <c r="G22" s="6" t="inlineStr">
        <is>
          <t>window.print()</t>
        </is>
      </c>
    </row>
  </sheetData>
  <mergeCells count="5">
    <mergeCell ref="A1:G1"/>
    <mergeCell ref="A12:G12"/>
    <mergeCell ref="A20:G20"/>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0"/>
  <sheetViews>
    <sheetView workbookViewId="0">
      <pane ySplit="5" topLeftCell="A6" activePane="bottomLeft" state="frozen"/>
      <selection pane="bottomLeft" activeCell="A1" sqref="A1"/>
    </sheetView>
  </sheetViews>
  <sheetFormatPr baseColWidth="8" defaultRowHeight="15"/>
  <cols>
    <col width="7" customWidth="1" min="1" max="1"/>
    <col width="30" customWidth="1" min="2" max="2"/>
    <col width="15" customWidth="1" min="3" max="3"/>
    <col width="54" customWidth="1" min="4" max="4"/>
    <col width="40" customWidth="1" min="5" max="5"/>
  </cols>
  <sheetData>
    <row r="1">
      <c r="A1" s="144" t="inlineStr">
        <is>
          <t>08c · СТРУКТУРА ОТЧЁТА — что и где показывается</t>
        </is>
      </c>
    </row>
    <row r="2" ht="30" customHeight="1">
      <c r="A2" s="227" t="inlineStr">
        <is>
          <t>Порядок блоков сверху вниз, как в report.html. Колонка «Показатели» — какие цифры выводятся и по какой формуле. Колонка id — техническое имя контейнера в вёрстке, по нему цифра ищется в коде.</t>
        </is>
      </c>
    </row>
    <row r="4">
      <c r="A4" s="146" t="inlineStr">
        <is>
          <t>ШАПКА И ГЛАВНЫЙ ЭКРАН</t>
        </is>
      </c>
      <c r="B4" s="147" t="n"/>
      <c r="C4" s="147" t="n"/>
      <c r="D4" s="147" t="n"/>
      <c r="E4" s="147" t="n"/>
    </row>
    <row r="5">
      <c r="A5" s="232" t="inlineStr">
        <is>
          <t>№</t>
        </is>
      </c>
      <c r="B5" s="232" t="inlineStr">
        <is>
          <t>Блок</t>
        </is>
      </c>
      <c r="C5" s="232" t="inlineStr">
        <is>
          <t>Тип</t>
        </is>
      </c>
      <c r="D5" s="232" t="inlineStr">
        <is>
          <t>Показатели и формулы</t>
        </is>
      </c>
      <c r="E5" s="232" t="inlineStr">
        <is>
          <t>id в вёрстке</t>
        </is>
      </c>
    </row>
    <row r="6" ht="36" customHeight="1">
      <c r="A6" s="149" t="inlineStr">
        <is>
          <t>—</t>
        </is>
      </c>
      <c r="B6" s="149" t="inlineStr">
        <is>
          <t>Шапка</t>
        </is>
      </c>
      <c r="C6" s="233" t="inlineStr">
        <is>
          <t>header</t>
        </is>
      </c>
      <c r="D6" s="233" t="inlineStr">
        <is>
          <t>Заголовок, подзаголовок, дата расчёта. Логотип справа</t>
        </is>
      </c>
      <c r="E6" s="234" t="inlineStr">
        <is>
          <t>rMeta</t>
        </is>
      </c>
    </row>
    <row r="7" ht="96" customHeight="1">
      <c r="A7" s="149" t="inlineStr">
        <is>
          <t>—</t>
        </is>
      </c>
      <c r="B7" s="149" t="inlineStr">
        <is>
          <t>Зелёная плашка · ставка</t>
        </is>
      </c>
      <c r="C7" s="233" t="inlineStr">
        <is>
          <t>hero</t>
        </is>
      </c>
      <c r="D7" s="233" t="inlineStr">
        <is>
          <t>Крупно: ставка часа = revenue_full / shooting_time, округлена вверх до 500. В скобках точное значение.
Под ней строка: фактическая стоимость часа = target_income / (net_time + idle_time) = 747 ₽.
Три показателя в строку:
· Ваш доход на руки = target_income / 12
· Всего расходов = (investment + variable_costs + налоги + эквайринг) / 12
· Общая выручка = revenue_full / 12
ПРОВЕРКА: доход + расходы = выручка</t>
        </is>
      </c>
      <c r="E7" s="234" t="inlineStr">
        <is>
          <t>hRate, hRateEx,
hInc, hExp, hMon</t>
        </is>
      </c>
    </row>
    <row r="8" ht="22" customHeight="1">
      <c r="A8" s="149" t="inlineStr">
        <is>
          <t>—</t>
        </is>
      </c>
      <c r="B8" s="149" t="inlineStr">
        <is>
          <t>Кнопка PDF</t>
        </is>
      </c>
      <c r="C8" s="233" t="inlineStr">
        <is>
          <t>button</t>
        </is>
      </c>
      <c r="D8" s="233" t="inlineStr">
        <is>
          <t>Печать. Имя файла: ГГГГ-ММ-ДД Счётикс для фотографа</t>
        </is>
      </c>
      <c r="E8" s="234" t="inlineStr">
        <is>
          <t>dlpdf</t>
        </is>
      </c>
    </row>
    <row r="9" ht="36" customHeight="1">
      <c r="A9" s="149" t="inlineStr">
        <is>
          <t>—</t>
        </is>
      </c>
      <c r="B9" s="149" t="inlineStr">
        <is>
          <t>Условия труда по ТК</t>
        </is>
      </c>
      <c r="C9" s="233" t="inlineStr">
        <is>
          <t>cond</t>
        </is>
      </c>
      <c r="D9" s="233" t="inlineStr">
        <is>
          <t>5/2 · 28 дней отпуска · 8 часов — константы календаря</t>
        </is>
      </c>
      <c r="E9" s="234" t="inlineStr">
        <is>
          <t>condGrid</t>
        </is>
      </c>
    </row>
    <row r="10">
      <c r="A10" s="149" t="inlineStr">
        <is>
          <t>—</t>
        </is>
      </c>
      <c r="B10" s="149" t="inlineStr">
        <is>
          <t>Почему этому расчёту можно верить</t>
        </is>
      </c>
      <c r="C10" s="233" t="inlineStr">
        <is>
          <t>trust</t>
        </is>
      </c>
      <c r="D10" s="233" t="inlineStr">
        <is>
          <t>4 аргумента доверия: считали от вашего дохода · учли всё время · нормы ТК РФ · 7 налоговых режимов</t>
        </is>
      </c>
      <c r="E10" s="234" t="inlineStr">
        <is>
          <t>—</t>
        </is>
      </c>
    </row>
    <row r="11">
      <c r="A11" s="146" t="inlineStr">
        <is>
          <t>БЛОКИ ПОЛНОГО ОТЧЁТА</t>
        </is>
      </c>
      <c r="B11" s="147" t="n"/>
      <c r="C11" s="147" t="n"/>
      <c r="D11" s="147" t="n"/>
      <c r="E11" s="147" t="n"/>
    </row>
    <row r="12" ht="190" customHeight="1">
      <c r="A12" s="232" t="inlineStr">
        <is>
          <t>№</t>
        </is>
      </c>
      <c r="B12" s="232" t="inlineStr">
        <is>
          <t>Блок</t>
        </is>
      </c>
      <c r="C12" s="232" t="inlineStr">
        <is>
          <t>Тип</t>
        </is>
      </c>
      <c r="D12" s="232" t="inlineStr">
        <is>
          <t>Показатели и формулы</t>
        </is>
      </c>
      <c r="E12" s="232" t="inlineStr">
        <is>
          <t>id в вёрстке</t>
        </is>
      </c>
    </row>
    <row r="13" ht="62" customHeight="1">
      <c r="A13" s="149" t="inlineStr">
        <is>
          <t>01</t>
        </is>
      </c>
      <c r="B13" s="149" t="inlineStr">
        <is>
          <t>Как распределяется бюджет</t>
        </is>
      </c>
      <c r="C13" s="233" t="inlineStr">
        <is>
          <t>donut + легенда</t>
        </is>
      </c>
      <c r="D13" s="233" t="inlineStr">
        <is>
          <t>Кольцо: 15 сегментов, в центре ставка часа.
Под кольцом текст: остаётся вам / идёт на расходы.
ЛЕГЕНДА, три группы:
1. Ваш доход — 5 строк ролей: съёмка, обработка, клиент, продвижение, учёт
2. Не оплачивается — простой и форс-мажоры
3. Расходы и налоги — 9 строк: техника и ПО, обучение и сайт, рабочее место, реклама, подписки, аренда, банк, налоги, эквайринг
Каждая строка: ₽ с часа · % · ₽/мес. Нулевые строки скрываются.
ПРОВЕРКА: сумма всех строк = ставка часа</t>
        </is>
      </c>
      <c r="E13" s="234" t="inlineStr">
        <is>
          <t>dn1, dnSum, lg1</t>
        </is>
      </c>
    </row>
    <row r="14" ht="76" customHeight="1">
      <c r="A14" s="149" t="inlineStr">
        <is>
          <t>02</t>
        </is>
      </c>
      <c r="B14" s="149" t="inlineStr">
        <is>
          <t>Как распределяется ваше время</t>
        </is>
      </c>
      <c r="C14" s="233" t="inlineStr">
        <is>
          <t>сетка 5×8</t>
        </is>
      </c>
      <c r="D14" s="233" t="inlineStr">
        <is>
          <t>Рабочая неделя по слотам. Расшифровка по трём группам:
фотограф / владелец бизнеса / не оплачивается</t>
        </is>
      </c>
      <c r="E14" s="234" t="inlineStr">
        <is>
          <t>wk, wknote, drows</t>
        </is>
      </c>
    </row>
    <row r="15" ht="48" customHeight="1">
      <c r="A15" s="276" t="inlineStr">
        <is>
          <t>03</t>
        </is>
      </c>
      <c r="B15" s="276" t="inlineStr">
        <is>
          <t>Как считают обычно</t>
        </is>
      </c>
      <c r="C15" s="277" t="inlineStr">
        <is>
          <t>compare</t>
        </is>
      </c>
      <c r="D15" s="277" t="inlineStr">
        <is>
          <t>Формула: текущая ставка × часы съёмки в неделю × 4.
Кажется / останется на самом деле + разница</t>
        </is>
      </c>
      <c r="E15" s="278" t="inlineStr">
        <is>
          <t>calcLine, inNaive,
inReal, inNaiveTx</t>
        </is>
      </c>
      <c r="F15" s="279" t="n"/>
      <c r="G15" s="280" t="inlineStr">
        <is>
          <t>УДАЛЁН из HTML 06.08.2026: не даёт пользователю полезной информации</t>
        </is>
      </c>
    </row>
    <row r="16" ht="48" customHeight="1">
      <c r="A16" s="149" t="inlineStr">
        <is>
          <t>04</t>
        </is>
      </c>
      <c r="B16" s="149" t="inlineStr">
        <is>
          <t>Три сценария вашей работы</t>
        </is>
      </c>
      <c r="C16" s="233" t="inlineStr">
        <is>
          <t>3 кольца</t>
        </is>
      </c>
      <c r="D16" s="233" t="inlineStr">
        <is>
          <t>ИДЕАЛЬНЫЙ (расчётная ставка) · РЕАЛЬНЫЙ (текущая) · В НОЛЬ (безубыточность).
Для каждого: доход на руки, ставка часа, выручка в месяц.
Ниже блок «При съёмке в ноль» + примечание о логистике</t>
        </is>
      </c>
      <c r="E16" s="234" t="inlineStr">
        <is>
          <t>dns, bRate, bProj</t>
        </is>
      </c>
    </row>
    <row r="17" ht="34" customHeight="1">
      <c r="A17" s="149" t="inlineStr">
        <is>
          <t>05</t>
        </is>
      </c>
      <c r="B17" s="149" t="inlineStr">
        <is>
          <t>А если брать больше заказов</t>
        </is>
      </c>
      <c r="C17" s="233" t="inlineStr">
        <is>
          <t>scenario</t>
        </is>
      </c>
      <c r="D17" s="233" t="inlineStr">
        <is>
          <t>Съёмок в месяц, часов в день, рабочих дней, выходных при текущей ставке.
Жёлтая плашка-предупреждение</t>
        </is>
      </c>
      <c r="E17" s="234" t="inlineStr">
        <is>
          <t>scn</t>
        </is>
      </c>
    </row>
    <row r="18" ht="48" customHeight="1">
      <c r="A18" s="149" t="inlineStr">
        <is>
          <t>06</t>
        </is>
      </c>
      <c r="B18" s="149" t="inlineStr">
        <is>
          <t>Как формировать скидку</t>
        </is>
      </c>
      <c r="C18" s="233" t="inlineStr">
        <is>
          <t>4 карточки</t>
        </is>
      </c>
      <c r="D18" s="233" t="inlineStr">
        <is>
          <t>Базовая цена часа + скидки от 3, 4, 5 часов. Скидка = снижение доли накладных</t>
        </is>
      </c>
      <c r="E18" s="234" t="inlineStr">
        <is>
          <t>dmap</t>
        </is>
      </c>
    </row>
    <row r="19" ht="48" customHeight="1">
      <c r="A19" s="276" t="inlineStr">
        <is>
          <t>—</t>
        </is>
      </c>
      <c r="B19" s="276" t="inlineStr">
        <is>
          <t>Два запаса (рекомендация)</t>
        </is>
      </c>
      <c r="C19" s="277" t="inlineStr">
        <is>
          <t>2 ползунка</t>
        </is>
      </c>
      <c r="D19" s="277" t="inlineStr">
        <is>
          <t>Фонд развития (% выручки) и запас на скидку. Живой пересчёт, проверка лимита НПД.
В основной расчёт НЕ входит</t>
        </is>
      </c>
      <c r="E19" s="278" t="inlineStr">
        <is>
          <t>fundPct, discPct,
recTot, recWarn</t>
        </is>
      </c>
      <c r="F19" s="279" t="n"/>
      <c r="G19" s="280" t="inlineStr">
        <is>
          <t>ПЕРЕНЕСЁН в анкету, блок 15 «Запас прочности». Ползунки + галочки</t>
        </is>
      </c>
    </row>
    <row r="20" ht="48" customHeight="1">
      <c r="A20" s="149" t="inlineStr">
        <is>
          <t>07</t>
        </is>
      </c>
      <c r="B20" s="149" t="inlineStr">
        <is>
          <t>Ваш идеальный налоговый режим</t>
        </is>
      </c>
      <c r="C20" s="233" t="inlineStr">
        <is>
          <t>таблица</t>
        </is>
      </c>
      <c r="D20" s="233" t="inlineStr">
        <is>
          <t>7 режимов на ОДНОЙ реальной выручке. Колонки: налоги, нагрузка, на руки, в месяц.
Потолок НПД. Правило выбора Доходы vs Д−Р</t>
        </is>
      </c>
      <c r="E20" s="234" t="inlineStr">
        <is>
          <t>bestBox, npdBox,
txrows, txrule</t>
        </is>
      </c>
    </row>
    <row r="21" ht="76" customHeight="1">
      <c r="A21" s="276" t="inlineStr">
        <is>
          <t>08</t>
        </is>
      </c>
      <c r="B21" s="276" t="inlineStr">
        <is>
          <t>Сколько людей делают это в компании</t>
        </is>
      </c>
      <c r="C21" s="277" t="inlineStr">
        <is>
          <t>donut + список</t>
        </is>
      </c>
      <c r="D21" s="277" t="inlineStr">
        <is>
          <t>5 ролей: фотограф, маркетолог, продажи, бухгалтер, администратор.
Часы в неделю и % от загрузки</t>
        </is>
      </c>
      <c r="E21" s="278" t="inlineStr">
        <is>
          <t>nmDonut, nmList</t>
        </is>
      </c>
      <c r="F21" s="279" t="n"/>
      <c r="G21" s="280" t="inlineStr">
        <is>
          <t>УДАЛЁН из HTML 06.08.2026: не нужен</t>
        </is>
      </c>
    </row>
    <row r="22" ht="34" customHeight="1">
      <c r="A22" s="149" t="inlineStr">
        <is>
          <t>09</t>
        </is>
      </c>
      <c r="B22" s="149" t="inlineStr">
        <is>
          <t>Четыре цифры, которые стоит запомнить</t>
        </is>
      </c>
      <c r="C22" s="233" t="inlineStr">
        <is>
          <t>4 карточки</t>
        </is>
      </c>
      <c r="D22" s="233" t="inlineStr">
        <is>
          <t>· Час вашего времени = target_income / (net_time + idle_time)
· Оборудование и ПО = equip_only / цена съёмки, в съёмках
· Времени на одну съёмку = project_time
· Цена одного кадра = цена съёмки / (frames_out × shoot_duration)
Методика — лист 09b</t>
        </is>
      </c>
      <c r="E22" s="234" t="inlineStr">
        <is>
          <t>factGrid</t>
        </is>
      </c>
    </row>
    <row r="23" ht="48" customHeight="1">
      <c r="A23" s="149" t="inlineStr">
        <is>
          <t>—</t>
        </is>
      </c>
      <c r="B23" s="149" t="inlineStr">
        <is>
          <t>Заключение</t>
        </is>
      </c>
      <c r="C23" s="233" t="inlineStr">
        <is>
          <t>хук</t>
        </is>
      </c>
      <c r="D23" s="233" t="inlineStr">
        <is>
          <t>«Фотографы, вы офигели?» — подставляется расчётная ставка. Цифр в тексте больше нет</t>
        </is>
      </c>
      <c r="E23" s="234" t="inlineStr">
        <is>
          <t>finRate</t>
        </is>
      </c>
    </row>
    <row r="24" ht="22" customHeight="1">
      <c r="A24" s="149" t="inlineStr">
        <is>
          <t>10</t>
        </is>
      </c>
      <c r="B24" s="149" t="inlineStr">
        <is>
          <t>Объясняйте клиенту, из чего складывается цена</t>
        </is>
      </c>
      <c r="C24" s="233" t="inlineStr">
        <is>
          <t>текст + 4 карточки</t>
        </is>
      </c>
      <c r="D24" s="233" t="inlineStr">
        <is>
          <t>Цитата про «потому что» (эксперимент Лангер), текст про селлеров.
4 карточки «что клиент не видит»</t>
        </is>
      </c>
      <c r="E24" s="234" t="inlineStr">
        <is>
          <t>cstA, cstB,
cstC, cstD</t>
        </is>
      </c>
    </row>
    <row r="25" ht="22" customHeight="1">
      <c r="A25" s="149" t="inlineStr">
        <is>
          <t>CTA</t>
        </is>
      </c>
      <c r="B25" s="149" t="inlineStr">
        <is>
          <t>30 готовых постов</t>
        </is>
      </c>
      <c r="C25" s="233" t="inlineStr">
        <is>
          <t>плашка</t>
        </is>
      </c>
      <c r="D25" s="233" t="inlineStr">
        <is>
          <t>Контент-план. Ссылка-заглушка #plan</t>
        </is>
      </c>
      <c r="E25" s="234" t="inlineStr">
        <is>
          <t>ctaLink</t>
        </is>
      </c>
    </row>
    <row r="26" ht="22" customHeight="1">
      <c r="A26" s="149" t="inlineStr">
        <is>
          <t>PMK</t>
        </is>
      </c>
      <c r="B26" s="149" t="inlineStr">
        <is>
          <t>Что входит в каждую строку</t>
        </is>
      </c>
      <c r="C26" s="233" t="inlineStr">
        <is>
          <t>памятка</t>
        </is>
      </c>
      <c r="D26" s="233" t="inlineStr">
        <is>
          <t>Расшифровка по 6 видам работ, мелким текстом</t>
        </is>
      </c>
      <c r="E26" s="234" t="inlineStr">
        <is>
          <t>pmkText</t>
        </is>
      </c>
    </row>
    <row r="27">
      <c r="A27" s="149" t="inlineStr">
        <is>
          <t>—</t>
        </is>
      </c>
      <c r="B27" s="149" t="inlineStr">
        <is>
          <t>Подвал</t>
        </is>
      </c>
      <c r="C27" s="233" t="inlineStr">
        <is>
          <t>footer</t>
        </is>
      </c>
      <c r="D27" s="233" t="inlineStr">
        <is>
          <t>Знак сверху, «счётикс» под ним</t>
        </is>
      </c>
      <c r="E27" s="234" t="inlineStr">
        <is>
          <t>—</t>
        </is>
      </c>
    </row>
    <row r="29">
      <c r="A29" s="146" t="inlineStr">
        <is>
          <t>ЧТО ГДЕ ПРАВИТЬ</t>
        </is>
      </c>
      <c r="B29" s="147" t="n"/>
      <c r="C29" s="147" t="n"/>
      <c r="D29" s="147" t="n"/>
      <c r="E29" s="147" t="n"/>
    </row>
    <row r="30" ht="36" customHeight="1">
      <c r="A30" s="232" t="inlineStr">
        <is>
          <t>№</t>
        </is>
      </c>
      <c r="B30" s="232" t="inlineStr">
        <is>
          <t>Блок</t>
        </is>
      </c>
      <c r="C30" s="232" t="inlineStr">
        <is>
          <t>Тип</t>
        </is>
      </c>
      <c r="D30" s="232" t="inlineStr">
        <is>
          <t>Показатели и формулы</t>
        </is>
      </c>
      <c r="E30" s="232" t="inlineStr">
        <is>
          <t>id в вёрстке</t>
        </is>
      </c>
    </row>
    <row r="31" ht="22" customHeight="1">
      <c r="A31" s="149" t="inlineStr"/>
      <c r="B31" s="149" t="inlineStr">
        <is>
          <t>Текст надписи</t>
        </is>
      </c>
      <c r="C31" s="233" t="inlineStr">
        <is>
          <t>09_Тексты</t>
        </is>
      </c>
      <c r="D31" s="233" t="inlineStr">
        <is>
          <t>Найти по ключу data-t из вёрстки, править колонку «Текст»</t>
        </is>
      </c>
      <c r="E31" s="234" t="inlineStr">
        <is>
          <t>—</t>
        </is>
      </c>
    </row>
    <row r="32" ht="22" customHeight="1">
      <c r="A32" s="149" t="inlineStr"/>
      <c r="B32" s="149" t="inlineStr">
        <is>
          <t>Цифра или формула</t>
        </is>
      </c>
      <c r="C32" s="233" t="inlineStr">
        <is>
          <t>02_Параметры</t>
        </is>
      </c>
      <c r="D32" s="233" t="inlineStr">
        <is>
          <t>Колонка «Значение»</t>
        </is>
      </c>
      <c r="E32" s="234" t="inlineStr">
        <is>
          <t>—</t>
        </is>
      </c>
    </row>
    <row r="33" ht="22" customHeight="1">
      <c r="A33" s="149" t="inlineStr"/>
      <c r="B33" s="149" t="inlineStr">
        <is>
          <t>Методика блока 09</t>
        </is>
      </c>
      <c r="C33" s="233" t="inlineStr">
        <is>
          <t>09b_Методика</t>
        </is>
      </c>
      <c r="D33" s="233" t="inlineStr">
        <is>
          <t>Как посчитана каждая цифра</t>
        </is>
      </c>
      <c r="E33" s="234" t="inlineStr">
        <is>
          <t>—</t>
        </is>
      </c>
    </row>
    <row r="34" ht="22" customHeight="1">
      <c r="A34" s="149" t="inlineStr"/>
      <c r="B34" s="149" t="inlineStr">
        <is>
          <t>Цвет</t>
        </is>
      </c>
      <c r="C34" s="233" t="inlineStr">
        <is>
          <t>09c_Палитра</t>
        </is>
      </c>
      <c r="D34" s="233" t="inlineStr">
        <is>
          <t>68 токенов, единых для формы и отчёта</t>
        </is>
      </c>
      <c r="E34" s="234" t="inlineStr">
        <is>
          <t>—</t>
        </is>
      </c>
    </row>
    <row r="35">
      <c r="A35" s="149" t="inlineStr"/>
      <c r="B35" s="149" t="inlineStr">
        <is>
          <t>Логотип</t>
        </is>
      </c>
      <c r="C35" s="233" t="inlineStr">
        <is>
          <t>09d_Логотип</t>
        </is>
      </c>
      <c r="D35" s="233" t="inlineStr">
        <is>
          <t>Эталон знака, менять только там</t>
        </is>
      </c>
      <c r="E35" s="234" t="inlineStr">
        <is>
          <t>—</t>
        </is>
      </c>
    </row>
    <row r="37">
      <c r="A37" s="256" t="inlineStr">
        <is>
          <t>НОВЫЙ ПОРЯДОК БЛОКОВ — 06.08.2026, 17 блоков</t>
        </is>
      </c>
    </row>
    <row r="38">
      <c r="A38" t="inlineStr">
        <is>
          <t>—</t>
        </is>
      </c>
      <c r="B38" s="229" t="inlineStr">
        <is>
          <t>Шапка</t>
        </is>
      </c>
    </row>
    <row r="39">
      <c r="A39" t="inlineStr">
        <is>
          <t>—</t>
        </is>
      </c>
      <c r="B39" s="229" t="inlineStr">
        <is>
          <t>Плашка со ставкой</t>
        </is>
      </c>
    </row>
    <row r="40">
      <c r="A40" t="inlineStr">
        <is>
          <t>—</t>
        </is>
      </c>
      <c r="B40" s="229" t="inlineStr">
        <is>
          <t>Кнопка PDF</t>
        </is>
      </c>
    </row>
    <row r="41">
      <c r="A41" t="inlineStr">
        <is>
          <t>—</t>
        </is>
      </c>
      <c r="B41" s="229" t="inlineStr">
        <is>
          <t>Ваши условия труда по ТК РФ</t>
        </is>
      </c>
    </row>
    <row r="42">
      <c r="A42" t="inlineStr">
        <is>
          <t>—</t>
        </is>
      </c>
      <c r="B42" s="229" t="inlineStr">
        <is>
          <t>Из чего складывается ваша цена</t>
        </is>
      </c>
    </row>
    <row r="43">
      <c r="A43" t="inlineStr">
        <is>
          <t>01</t>
        </is>
      </c>
      <c r="B43" s="229" t="inlineStr">
        <is>
          <t>Как распределяется бюджет</t>
        </is>
      </c>
    </row>
    <row r="44">
      <c r="A44" t="inlineStr">
        <is>
          <t>02</t>
        </is>
      </c>
      <c r="B44" s="229" t="inlineStr">
        <is>
          <t>Как распределяется ваше время</t>
        </is>
      </c>
    </row>
    <row r="45">
      <c r="A45" t="inlineStr">
        <is>
          <t>03</t>
        </is>
      </c>
      <c r="B45" s="275" t="inlineStr">
        <is>
          <t>Ваш идеальный налоговый режим  ← было 07</t>
        </is>
      </c>
    </row>
    <row r="46">
      <c r="A46" t="inlineStr">
        <is>
          <t>04</t>
        </is>
      </c>
      <c r="B46" s="275" t="inlineStr">
        <is>
          <t>Как формировать скидку  ← было 06</t>
        </is>
      </c>
    </row>
    <row r="47">
      <c r="A47" t="inlineStr">
        <is>
          <t>05</t>
        </is>
      </c>
      <c r="B47" s="275" t="inlineStr">
        <is>
          <t>Три сценария вашей работы  ← было 04</t>
        </is>
      </c>
    </row>
    <row r="48">
      <c r="A48" t="inlineStr">
        <is>
          <t>06</t>
        </is>
      </c>
      <c r="B48" s="275" t="inlineStr">
        <is>
          <t>А если просто брать больше заказов  ← было 05</t>
        </is>
      </c>
    </row>
    <row r="49">
      <c r="A49" t="inlineStr">
        <is>
          <t>07</t>
        </is>
      </c>
      <c r="B49" s="275" t="inlineStr">
        <is>
          <t>Четыре цифры, которые стоит запомнить  ← было 09</t>
        </is>
      </c>
    </row>
    <row r="50">
      <c r="A50" t="inlineStr">
        <is>
          <t>—</t>
        </is>
      </c>
      <c r="B50" s="229" t="inlineStr">
        <is>
          <t>Хук: «Фотографы, вы офигели?»</t>
        </is>
      </c>
    </row>
    <row r="51">
      <c r="A51" t="inlineStr">
        <is>
          <t>08</t>
        </is>
      </c>
      <c r="B51" s="275" t="inlineStr">
        <is>
          <t>Объясняйте клиенту  ← было 10</t>
        </is>
      </c>
    </row>
    <row r="52">
      <c r="A52" t="inlineStr">
        <is>
          <t>—</t>
        </is>
      </c>
      <c r="B52" s="229" t="inlineStr">
        <is>
          <t>30 готовых постов</t>
        </is>
      </c>
    </row>
    <row r="53">
      <c r="A53" t="inlineStr">
        <is>
          <t>—</t>
        </is>
      </c>
      <c r="B53" s="229" t="inlineStr">
        <is>
          <t>Памятка</t>
        </is>
      </c>
    </row>
    <row r="54">
      <c r="A54" t="inlineStr">
        <is>
          <t>—</t>
        </is>
      </c>
      <c r="B54" s="229" t="inlineStr">
        <is>
          <t>Подвал</t>
        </is>
      </c>
    </row>
    <row r="56">
      <c r="A56" s="256" t="inlineStr">
        <is>
          <t>ПОРЯДОК НА 06.08.2026 — 18 блоков</t>
        </is>
      </c>
    </row>
    <row r="57">
      <c r="A57" t="inlineStr">
        <is>
          <t>—</t>
        </is>
      </c>
      <c r="B57" s="229" t="inlineStr">
        <is>
          <t>Шапка</t>
        </is>
      </c>
    </row>
    <row r="58">
      <c r="A58" t="inlineStr">
        <is>
          <t>—</t>
        </is>
      </c>
      <c r="B58" s="229" t="inlineStr">
        <is>
          <t>Плашка со ставкой</t>
        </is>
      </c>
    </row>
    <row r="59">
      <c r="A59" t="inlineStr">
        <is>
          <t>—</t>
        </is>
      </c>
      <c r="B59" s="229" t="inlineStr">
        <is>
          <t>Кнопка PDF</t>
        </is>
      </c>
    </row>
    <row r="60">
      <c r="A60" t="inlineStr">
        <is>
          <t>—</t>
        </is>
      </c>
      <c r="B60" s="229" t="inlineStr">
        <is>
          <t>Ваши условия труда по ТК РФ</t>
        </is>
      </c>
    </row>
    <row r="61">
      <c r="A61" t="inlineStr">
        <is>
          <t>—</t>
        </is>
      </c>
      <c r="B61" s="275" t="inlineStr">
        <is>
          <t>Логистика: дорога в расчёт не входит  ← НОВЫЙ</t>
        </is>
      </c>
    </row>
    <row r="62">
      <c r="A62" t="inlineStr">
        <is>
          <t>—</t>
        </is>
      </c>
      <c r="B62" s="229" t="inlineStr">
        <is>
          <t>Из чего складывается ваша цена</t>
        </is>
      </c>
    </row>
    <row r="63">
      <c r="A63" t="inlineStr">
        <is>
          <t>01</t>
        </is>
      </c>
      <c r="B63" s="229" t="inlineStr">
        <is>
          <t>Как распределяется бюджет</t>
        </is>
      </c>
    </row>
    <row r="64">
      <c r="A64" t="inlineStr">
        <is>
          <t>02</t>
        </is>
      </c>
      <c r="B64" s="229" t="inlineStr">
        <is>
          <t>Как распределяется ваше время</t>
        </is>
      </c>
    </row>
    <row r="65">
      <c r="A65" t="inlineStr">
        <is>
          <t>03</t>
        </is>
      </c>
      <c r="B65" s="275" t="inlineStr">
        <is>
          <t>Как формировать скидку  ← поднят</t>
        </is>
      </c>
    </row>
    <row r="66">
      <c r="A66" t="inlineStr">
        <is>
          <t>04</t>
        </is>
      </c>
      <c r="B66" s="229" t="inlineStr">
        <is>
          <t>Ваш идеальный налоговый режим</t>
        </is>
      </c>
    </row>
    <row r="67">
      <c r="A67" t="inlineStr">
        <is>
          <t>05</t>
        </is>
      </c>
      <c r="B67" s="229" t="inlineStr">
        <is>
          <t>Три сценария вашей работы</t>
        </is>
      </c>
    </row>
    <row r="68">
      <c r="A68" t="inlineStr">
        <is>
          <t>06</t>
        </is>
      </c>
      <c r="B68" s="229" t="inlineStr">
        <is>
          <t>А если просто брать больше заказов</t>
        </is>
      </c>
    </row>
    <row r="69">
      <c r="A69" t="inlineStr">
        <is>
          <t>07</t>
        </is>
      </c>
      <c r="B69" s="229" t="inlineStr">
        <is>
          <t>Четыре цифры, которые стоит запомнить</t>
        </is>
      </c>
    </row>
    <row r="70">
      <c r="A70" t="inlineStr">
        <is>
          <t>—</t>
        </is>
      </c>
      <c r="B70" s="229" t="inlineStr">
        <is>
          <t>Хук</t>
        </is>
      </c>
    </row>
    <row r="71">
      <c r="A71" t="inlineStr">
        <is>
          <t>08</t>
        </is>
      </c>
      <c r="B71" s="229" t="inlineStr">
        <is>
          <t>Объясняйте клиенту</t>
        </is>
      </c>
    </row>
    <row r="72">
      <c r="A72" t="inlineStr">
        <is>
          <t>—</t>
        </is>
      </c>
      <c r="B72" s="229" t="inlineStr">
        <is>
          <t>30 постов</t>
        </is>
      </c>
    </row>
    <row r="73">
      <c r="A73" t="inlineStr">
        <is>
          <t>—</t>
        </is>
      </c>
      <c r="B73" s="229" t="inlineStr">
        <is>
          <t>Памятка</t>
        </is>
      </c>
    </row>
    <row r="74">
      <c r="A74" t="inlineStr">
        <is>
          <t>—</t>
        </is>
      </c>
      <c r="B74" s="229" t="inlineStr">
        <is>
          <t>Подвал</t>
        </is>
      </c>
    </row>
    <row r="76">
      <c r="A76" s="256" t="inlineStr">
        <is>
          <t>ДОБАВЛЕНО 06.08.2026 — два блока в конец, перед подвалом</t>
        </is>
      </c>
    </row>
    <row r="77">
      <c r="A77" t="inlineStr">
        <is>
          <t>—</t>
        </is>
      </c>
      <c r="B77" s="275" t="inlineStr">
        <is>
          <t>Справочник: что означает каждое понятие</t>
        </is>
      </c>
      <c r="C77" s="229" t="inlineStr">
        <is>
          <t>4 раздела, 17 определений. Источник — лист 01_Глоссарий, выжимка только по тому, что есть в отчёте</t>
        </is>
      </c>
    </row>
    <row r="78">
      <c r="A78" t="inlineStr">
        <is>
          <t>—</t>
        </is>
      </c>
      <c r="B78" s="275" t="inlineStr">
        <is>
          <t>Все цифры расчёта в одной таблице</t>
        </is>
      </c>
      <c r="C78" s="229" t="inlineStr">
        <is>
          <t>6 разделов, 39 строк: время, проект, доход, расходы, налоги, ставки. Три колонки: название, значение, пояснение</t>
        </is>
      </c>
    </row>
    <row r="80">
      <c r="A80" s="250" t="inlineStr">
        <is>
          <t>ПРАВКА 06.08.2026: справочник понятий занял место памятки «Что входит в каждую строку расчёта» и её оформление (.pmknote — серая подложка, строки .pi2, без колонок). Итого 19 блоков: … 30 постов · справочник · таблица цифр · подвал</t>
        </is>
      </c>
    </row>
  </sheetData>
  <mergeCells count="5">
    <mergeCell ref="A80:G80"/>
    <mergeCell ref="A56:G56"/>
    <mergeCell ref="A2:E2"/>
    <mergeCell ref="A76:G76"/>
    <mergeCell ref="A37:G3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49"/>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96" customWidth="1" min="3" max="3"/>
  </cols>
  <sheetData>
    <row r="1">
      <c r="A1" s="144" t="inlineStr">
        <is>
          <t>09 · ТЕКСТЫ — все надписи формы и отчёта</t>
        </is>
      </c>
    </row>
    <row r="2" ht="46" customHeight="1">
      <c r="A2" s="227" t="inlineStr">
        <is>
          <t>Правьте только колонку «Текст». Колонка «Где находится» показывает поверхность: Форма (шапка / вопросы / подсказки / краткий результат / оплата / опрос / подписка / превью) или Полный отчёт. Красным помечено то, что в вёрстке больше не используется — это архив, не удаляем. После правок: python3 sync_texts.py apply-all</t>
        </is>
      </c>
    </row>
    <row r="4">
      <c r="A4" s="4" t="inlineStr">
        <is>
          <t>Ключ</t>
        </is>
      </c>
      <c r="B4" s="4" t="inlineStr">
        <is>
          <t>Где находится</t>
        </is>
      </c>
      <c r="C4" s="4" t="inlineStr">
        <is>
          <t>Текст</t>
        </is>
      </c>
    </row>
    <row r="5">
      <c r="A5" s="3" t="inlineStr">
        <is>
          <t>Заголовок страницы</t>
        </is>
      </c>
    </row>
    <row r="6">
      <c r="A6" s="27" t="inlineStr">
        <is>
          <t>h1_01</t>
        </is>
      </c>
      <c r="B6" s="112" t="inlineStr">
        <is>
          <t>Форма · шапка</t>
        </is>
      </c>
      <c r="C6" s="113" t="inlineStr">
        <is>
          <t>Сколько на самом деле стоит ваш час</t>
        </is>
      </c>
      <c r="H6" s="297" t="inlineStr">
        <is>
          <t>УДАЛЕНО из HTML: шапка анкеты приведена к отчёту, ключ заменён на rh_01 / rh_02 / rh_03 10.08.2026</t>
        </is>
      </c>
    </row>
    <row r="7">
      <c r="A7" s="3" t="inlineStr">
        <is>
          <t>Подзаголовок</t>
        </is>
      </c>
    </row>
    <row r="8">
      <c r="A8" s="27" t="inlineStr">
        <is>
          <t>sub_01</t>
        </is>
      </c>
      <c r="B8" s="112" t="inlineStr">
        <is>
          <t>Форма · шапка</t>
        </is>
      </c>
      <c r="C8" s="113" t="inlineStr">
        <is>
          <t>Калькулятор для фотографов и видеографов. Считает ставку, которая покроет не только съёмку, но и обработку, продвижение, технику и налоги.</t>
        </is>
      </c>
      <c r="H8" s="297" t="inlineStr">
        <is>
          <t>УДАЛЕНО из HTML: шапка анкеты приведена к отчёту, ключ заменён на rh_01 / rh_02 / rh_03 10.08.2026</t>
        </is>
      </c>
    </row>
    <row r="9">
      <c r="A9" s="3" t="inlineStr">
        <is>
          <t>Заголовок блока</t>
        </is>
      </c>
    </row>
    <row r="10">
      <c r="A10" s="27" t="inlineStr">
        <is>
          <t>h2_01</t>
        </is>
      </c>
      <c r="B10" s="112" t="inlineStr">
        <is>
          <t>Форма · вопросы анкеты</t>
        </is>
      </c>
      <c r="C10" s="113" t="inlineStr">
        <is>
          <t>Ваш желаемый доход</t>
        </is>
      </c>
    </row>
    <row r="11">
      <c r="A11" s="3" t="inlineStr">
        <is>
          <t>Вопрос</t>
        </is>
      </c>
    </row>
    <row r="12">
      <c r="A12" s="27" t="inlineStr">
        <is>
          <t>q_01</t>
        </is>
      </c>
      <c r="B12" s="112" t="inlineStr">
        <is>
          <t>Форма · вопросы анкеты</t>
        </is>
      </c>
      <c r="C12" s="113" t="inlineStr">
        <is>
          <t>Сколько вы хотите получать на руки каждый месяц?</t>
        </is>
      </c>
    </row>
    <row r="13">
      <c r="A13" s="3" t="inlineStr">
        <is>
          <t>Пояснение к вопросу</t>
        </is>
      </c>
    </row>
    <row r="14">
      <c r="A14" s="27" t="inlineStr">
        <is>
          <t>qd_01</t>
        </is>
      </c>
      <c r="B14" s="112" t="inlineStr">
        <is>
          <t>Форма · вопросы анкеты</t>
        </is>
      </c>
      <c r="C14" s="113" t="inlineStr">
        <is>
          <t>Это сумма, которая остаётся вам после всех расходов и налогов. От неё считается всё остальное.</t>
        </is>
      </c>
    </row>
    <row r="15">
      <c r="A15" s="3" t="inlineStr">
        <is>
          <t>Единица измерения</t>
        </is>
      </c>
    </row>
    <row r="16">
      <c r="A16" s="27" t="inlineStr">
        <is>
          <t>un_01</t>
        </is>
      </c>
      <c r="B16" s="112" t="inlineStr">
        <is>
          <t>Форма · вопросы анкеты</t>
        </is>
      </c>
      <c r="C16" s="113" t="inlineStr">
        <is>
          <t>₽/мес</t>
        </is>
      </c>
    </row>
    <row r="17">
      <c r="A17" s="3" t="inlineStr">
        <is>
          <t>Заголовок блока</t>
        </is>
      </c>
    </row>
    <row r="18">
      <c r="A18" s="27" t="inlineStr">
        <is>
          <t>h2_02</t>
        </is>
      </c>
      <c r="B18" s="112" t="inlineStr">
        <is>
          <t>Форма · вопросы анкеты</t>
        </is>
      </c>
      <c r="C18" s="113" t="inlineStr">
        <is>
          <t>Ваш налоговый режим</t>
        </is>
      </c>
    </row>
    <row r="19">
      <c r="A19" s="3" t="inlineStr">
        <is>
          <t>Вопрос</t>
        </is>
      </c>
    </row>
    <row r="20">
      <c r="A20" s="27" t="inlineStr">
        <is>
          <t>q_02</t>
        </is>
      </c>
      <c r="B20" s="112" t="inlineStr">
        <is>
          <t>Форма · вопросы анкеты</t>
        </is>
      </c>
      <c r="C20" s="113" t="inlineStr">
        <is>
          <t>На каком режиме налогообложения вы работаете?</t>
        </is>
      </c>
    </row>
    <row r="21">
      <c r="A21" s="3" t="inlineStr">
        <is>
          <t>Пояснение к вопросу</t>
        </is>
      </c>
    </row>
    <row r="22">
      <c r="A22" s="27" t="inlineStr">
        <is>
          <t>qd_02</t>
        </is>
      </c>
      <c r="B22" s="112" t="inlineStr">
        <is>
          <t>Форма · вопросы анкеты</t>
        </is>
      </c>
      <c r="C22" s="113" t="inlineStr">
        <is>
          <t>Выберите свой режим налогообложения или воспользуйтесь автоматическим подбором.</t>
        </is>
      </c>
    </row>
    <row r="23">
      <c r="A23" s="27" t="inlineStr">
        <is>
          <t>q_02b</t>
        </is>
      </c>
      <c r="B23" t="inlineStr">
        <is>
          <t>Форма · вопросы</t>
        </is>
      </c>
      <c r="C23" t="inlineStr">
        <is>
          <t>С кем вы чаще работаете?</t>
        </is>
      </c>
    </row>
    <row r="24">
      <c r="A24" s="27" t="inlineStr">
        <is>
          <t>qd_02b</t>
        </is>
      </c>
      <c r="B24" s="112" t="inlineStr">
        <is>
          <t>Форма · вопросы</t>
        </is>
      </c>
      <c r="C24" s="113" t="inlineStr">
        <is>
          <t>Если работаете и с частными лицами, и с компаниями — НПД посчитаем по усреднённой ставке 5%.</t>
        </is>
      </c>
    </row>
    <row r="25">
      <c r="A25" s="3" t="inlineStr">
        <is>
          <t>Вопрос</t>
        </is>
      </c>
    </row>
    <row r="26">
      <c r="A26" s="27" t="inlineStr">
        <is>
          <t>q_03</t>
        </is>
      </c>
      <c r="B26" s="112" t="inlineStr">
        <is>
          <t>Форма · вопросы анкеты</t>
        </is>
      </c>
      <c r="C26" s="113" t="inlineStr">
        <is>
          <t>Сколько вы берёте за час съёмки сейчас?</t>
        </is>
      </c>
      <c r="H26" s="297" t="inlineStr">
        <is>
          <t>УДАЛЕНО из HTML: вопрос убран, остались заголовок и подзаголовок блока 03 — 10.08.2026</t>
        </is>
      </c>
    </row>
    <row r="27">
      <c r="A27" s="3" t="inlineStr">
        <is>
          <t>Пояснение к вопросу</t>
        </is>
      </c>
    </row>
    <row r="28">
      <c r="A28" s="27" t="inlineStr">
        <is>
          <t>qd_03</t>
        </is>
      </c>
      <c r="B28" s="112" t="inlineStr">
        <is>
          <t>Форма · вопросы анкеты</t>
        </is>
      </c>
      <c r="C28" s="113" t="inlineStr">
        <is>
          <t>Нужно, чтобы показать разницу между вашей текущей и расчётной ставкой. Можно оставить пустым.</t>
        </is>
      </c>
      <c r="H28" s="297" t="inlineStr">
        <is>
          <t>УДАЛЕНО из HTML: вопрос убран, остались заголовок и подзаголовок блока 03 — 10.08.2026</t>
        </is>
      </c>
    </row>
    <row r="29">
      <c r="A29" s="3" t="inlineStr">
        <is>
          <t>Единица измерения</t>
        </is>
      </c>
    </row>
    <row r="30">
      <c r="A30" s="27" t="inlineStr">
        <is>
          <t>un_02</t>
        </is>
      </c>
      <c r="B30" s="112" t="inlineStr">
        <is>
          <t>Форма · вопросы анкеты</t>
        </is>
      </c>
      <c r="C30" s="113" t="inlineStr">
        <is>
          <t>₽/час</t>
        </is>
      </c>
    </row>
    <row r="31">
      <c r="A31" s="3" t="inlineStr">
        <is>
          <t>Заголовок блока</t>
        </is>
      </c>
    </row>
    <row r="32">
      <c r="A32" s="27" t="inlineStr">
        <is>
          <t>h2_03</t>
        </is>
      </c>
      <c r="B32" s="112" t="inlineStr">
        <is>
          <t>Форма · вопросы анкеты</t>
        </is>
      </c>
      <c r="C32" s="113" t="inlineStr">
        <is>
          <t>Как мы считаем:</t>
        </is>
      </c>
    </row>
    <row r="33">
      <c r="A33" s="3" t="inlineStr">
        <is>
          <t>Надпись карточки</t>
        </is>
      </c>
    </row>
    <row r="34">
      <c r="A34" s="27" t="inlineStr">
        <is>
          <t>tp_01</t>
        </is>
      </c>
      <c r="B34" s="112" t="inlineStr">
        <is>
          <t>Форма · вопросы анкеты</t>
        </is>
      </c>
      <c r="C34" s="113" t="inlineStr">
        <is>
          <t>Человеческие условия</t>
        </is>
      </c>
    </row>
    <row r="35">
      <c r="A35" s="3" t="inlineStr">
        <is>
          <t>Мелкий текст карточки</t>
        </is>
      </c>
    </row>
    <row r="36">
      <c r="A36" s="27" t="inlineStr">
        <is>
          <t>sm_01</t>
        </is>
      </c>
      <c r="B36" s="112" t="inlineStr">
        <is>
          <t>Форма · вопросы анкеты</t>
        </is>
      </c>
      <c r="C36" s="113" t="inlineStr">
        <is>
          <t>Официальные нормы труда и отдыха, установленные государством.</t>
        </is>
      </c>
    </row>
    <row r="37">
      <c r="A37" s="3" t="inlineStr">
        <is>
          <t>Надпись карточки</t>
        </is>
      </c>
    </row>
    <row r="38">
      <c r="A38" s="27" t="inlineStr">
        <is>
          <t>tp_02</t>
        </is>
      </c>
      <c r="B38" s="112" t="inlineStr">
        <is>
          <t>Форма · вопросы анкеты</t>
        </is>
      </c>
      <c r="C38" s="113" t="inlineStr">
        <is>
          <t>Право на отдых</t>
        </is>
      </c>
    </row>
    <row r="39">
      <c r="A39" s="3" t="inlineStr">
        <is>
          <t>Мелкий текст карточки</t>
        </is>
      </c>
    </row>
    <row r="40">
      <c r="A40" s="27" t="inlineStr">
        <is>
          <t>sm_02</t>
        </is>
      </c>
      <c r="B40" s="112" t="inlineStr">
        <is>
          <t>Форма · вопросы анкеты</t>
        </is>
      </c>
      <c r="C40" s="113" t="inlineStr">
        <is>
          <t>И один больничный — чтобы спокойно восстановиться без страха потерять доход.</t>
        </is>
      </c>
    </row>
    <row r="41">
      <c r="A41" s="3" t="inlineStr">
        <is>
          <t>Надпись карточки</t>
        </is>
      </c>
    </row>
    <row r="42">
      <c r="A42" s="27" t="inlineStr">
        <is>
          <t>tp_03</t>
        </is>
      </c>
      <c r="B42" s="112" t="inlineStr">
        <is>
          <t>Форма · вопросы анкеты</t>
        </is>
      </c>
      <c r="C42" s="113" t="inlineStr">
        <is>
          <t>Комфортный распорядок</t>
        </is>
      </c>
    </row>
    <row r="43">
      <c r="A43" s="3" t="inlineStr">
        <is>
          <t>Мелкий текст карточки</t>
        </is>
      </c>
    </row>
    <row r="44">
      <c r="A44" s="27" t="inlineStr">
        <is>
          <t>sm_03</t>
        </is>
      </c>
      <c r="B44" s="112" t="inlineStr">
        <is>
          <t>Форма · вопросы анкеты</t>
        </is>
      </c>
      <c r="C44" s="113" t="inlineStr">
        <is>
          <t>И 8-часовой рабочий день — норма труда, установленная законом.</t>
        </is>
      </c>
    </row>
    <row r="45">
      <c r="A45" s="3" t="inlineStr">
        <is>
          <t>Заголовок блока</t>
        </is>
      </c>
    </row>
    <row r="46">
      <c r="A46" s="27" t="inlineStr">
        <is>
          <t>h2_04</t>
        </is>
      </c>
      <c r="B46" s="112" t="inlineStr">
        <is>
          <t>Форма · вопросы анкеты</t>
        </is>
      </c>
      <c r="C46" s="113" t="inlineStr">
        <is>
          <t>Посчитаем ваше время</t>
        </is>
      </c>
      <c r="H46" s="297" t="inlineStr">
        <is>
          <t>УДАЛЕНО из HTML: блок 04 разбит на пять карточек, вопросы стали заголовками — 10.08.2026</t>
        </is>
      </c>
    </row>
    <row r="47">
      <c r="A47" s="3" t="inlineStr">
        <is>
          <t>Пояснение под заголовком</t>
        </is>
      </c>
    </row>
    <row r="48">
      <c r="A48" s="27" t="inlineStr">
        <is>
          <t>hint_01</t>
        </is>
      </c>
      <c r="B48" s="112" t="inlineStr">
        <is>
          <t>Форма · вопросы анкеты</t>
        </is>
      </c>
      <c r="C48" s="113" t="inlineStr">
        <is>
          <t>Ваш минимальный выезд. От него считается базовая ставка часа, а всё, что длиннее, — скидка за объём</t>
        </is>
      </c>
      <c r="H48" s="297" t="inlineStr">
        <is>
          <t>УДАЛЕНО из HTML: блок 04 разбит на пять карточек, вопросы стали заголовками — 10.08.2026</t>
        </is>
      </c>
    </row>
    <row r="49">
      <c r="A49" s="3" t="inlineStr">
        <is>
          <t>Вопрос</t>
        </is>
      </c>
    </row>
    <row r="50">
      <c r="A50" s="27" t="inlineStr">
        <is>
          <t>q_04</t>
        </is>
      </c>
      <c r="B50" s="112" t="inlineStr">
        <is>
          <t>Форма · вопросы анкеты</t>
        </is>
      </c>
      <c r="C50" s="113" t="inlineStr">
        <is>
          <t>Какая у вас минимальная продолжительность съёмки?</t>
        </is>
      </c>
      <c r="H50" s="297" t="inlineStr">
        <is>
          <t>УДАЛЕНО из HTML: блок 04 разбит на пять карточек, вопросы стали заголовками — 10.08.2026</t>
        </is>
      </c>
    </row>
    <row r="51">
      <c r="A51" s="3" t="inlineStr">
        <is>
          <t>Пояснение к вопросу</t>
        </is>
      </c>
    </row>
    <row r="52">
      <c r="A52" s="27" t="inlineStr">
        <is>
          <t>qd_04</t>
        </is>
      </c>
      <c r="B52" s="112" t="inlineStr">
        <is>
          <t>Форма · вопросы анкеты</t>
        </is>
      </c>
      <c r="C52" s="113" t="inlineStr">
        <is>
          <t>Укажите минимальное количество съёмочных часов, ради которых вы готовы выезжать на заказ.</t>
        </is>
      </c>
    </row>
    <row r="53">
      <c r="A53" s="3" t="inlineStr">
        <is>
          <t>Единица измерения</t>
        </is>
      </c>
    </row>
    <row r="54">
      <c r="A54" s="27" t="inlineStr">
        <is>
          <t>un_03</t>
        </is>
      </c>
      <c r="B54" s="112" t="inlineStr">
        <is>
          <t>Форма · вопросы анкеты</t>
        </is>
      </c>
      <c r="C54" s="113" t="inlineStr">
        <is>
          <t>часов</t>
        </is>
      </c>
    </row>
    <row r="55">
      <c r="A55" s="3" t="inlineStr">
        <is>
          <t>Пояснение к вопросу</t>
        </is>
      </c>
    </row>
    <row r="56">
      <c r="A56" s="27" t="inlineStr">
        <is>
          <t>qd_05</t>
        </is>
      </c>
      <c r="B56" s="112" t="inlineStr">
        <is>
          <t>Форма · вопросы анкеты</t>
        </is>
      </c>
      <c r="C56" s="113" t="inlineStr">
        <is>
          <t>Часть времени всегда уходит впустую: клиент перенёс, погода подвела, пришлось ехать повторно.</t>
        </is>
      </c>
    </row>
    <row r="57">
      <c r="A57" s="3" t="inlineStr">
        <is>
          <t>Заголовок блока</t>
        </is>
      </c>
    </row>
    <row r="58">
      <c r="A58" s="27" t="inlineStr">
        <is>
          <t>h2_05</t>
        </is>
      </c>
      <c r="B58" s="112" t="inlineStr">
        <is>
          <t>Форма · вопросы анкеты</t>
        </is>
      </c>
      <c r="C58" s="113" t="inlineStr">
        <is>
          <t>Как устроена ваша работа</t>
        </is>
      </c>
      <c r="H58" s="297" t="inlineStr">
        <is>
          <t>ОБЪЕДИНЕНО: блок 05 слит с блоком 04, заголовок взят у него 10.08.2026</t>
        </is>
      </c>
    </row>
    <row r="59">
      <c r="A59" s="3" t="inlineStr">
        <is>
          <t>Вопрос</t>
        </is>
      </c>
    </row>
    <row r="60">
      <c r="A60" s="27" t="inlineStr">
        <is>
          <t>q_05</t>
        </is>
      </c>
      <c r="B60" s="112" t="inlineStr">
        <is>
          <t>Форма · вопросы анкеты</t>
        </is>
      </c>
      <c r="C60" s="113" t="inlineStr">
        <is>
          <t>Сколько часов вы тратите на обработку одного часа отснятого материала?</t>
        </is>
      </c>
      <c r="H60" s="297" t="inlineStr">
        <is>
          <t>УДАЛЕНО из HTML: блок 04 разбит на пять карточек, вопросы стали заголовками — 10.08.2026</t>
        </is>
      </c>
    </row>
    <row r="61">
      <c r="A61" s="3" t="inlineStr">
        <is>
          <t>Пояснение к вопросу</t>
        </is>
      </c>
    </row>
    <row r="62">
      <c r="A62" s="27" t="inlineStr">
        <is>
          <t>qd_06</t>
        </is>
      </c>
      <c r="B62" s="112" t="inlineStr">
        <is>
          <t>Форма · вопросы анкеты</t>
        </is>
      </c>
      <c r="C62" s="113"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row>
    <row r="63">
      <c r="A63" s="3" t="inlineStr">
        <is>
          <t>Единица измерения</t>
        </is>
      </c>
    </row>
    <row r="64">
      <c r="A64" s="27" t="inlineStr">
        <is>
          <t>un_04</t>
        </is>
      </c>
      <c r="B64" s="112" t="inlineStr">
        <is>
          <t>Форма · вопросы анкеты</t>
        </is>
      </c>
      <c r="C64" s="113" t="inlineStr">
        <is>
          <t>часа</t>
        </is>
      </c>
    </row>
    <row r="65">
      <c r="A65" s="3" t="inlineStr">
        <is>
          <t>Вопрос</t>
        </is>
      </c>
    </row>
    <row r="66">
      <c r="A66" s="27" t="inlineStr">
        <is>
          <t>q_06</t>
        </is>
      </c>
      <c r="B66" s="112" t="inlineStr">
        <is>
          <t>Форма · вопросы анкеты</t>
        </is>
      </c>
      <c r="C66" s="113" t="inlineStr">
        <is>
          <t>Сколько времени уходит на общение с клиентом по одному заказу?</t>
        </is>
      </c>
      <c r="H66" s="297" t="inlineStr">
        <is>
          <t>УДАЛЕНО из HTML: блок 04 разбит на пять карточек, вопросы стали заголовками — 10.08.2026</t>
        </is>
      </c>
    </row>
    <row r="67">
      <c r="A67" s="3" t="inlineStr">
        <is>
          <t>Пояснение к вопросу</t>
        </is>
      </c>
    </row>
    <row r="68">
      <c r="A68" s="27" t="inlineStr">
        <is>
          <t>qd_07</t>
        </is>
      </c>
      <c r="B68" s="112" t="inlineStr">
        <is>
          <t>Форма · вопросы анкеты</t>
        </is>
      </c>
      <c r="C68" s="113" t="inlineStr">
        <is>
          <t>Укажите, сколько времени в среднем вы тратите на общение с клиентом и организацию одного уже подтверждённого проекта.</t>
        </is>
      </c>
    </row>
    <row r="69">
      <c r="A69" s="3" t="inlineStr">
        <is>
          <t>Единица измерения</t>
        </is>
      </c>
    </row>
    <row r="70">
      <c r="A70" s="27" t="inlineStr">
        <is>
          <t>un_05</t>
        </is>
      </c>
      <c r="B70" s="112" t="inlineStr">
        <is>
          <t>Форма · вопросы анкеты</t>
        </is>
      </c>
      <c r="C70" s="113" t="inlineStr">
        <is>
          <t>часа</t>
        </is>
      </c>
    </row>
    <row r="71">
      <c r="A71" s="3" t="inlineStr">
        <is>
          <t>Вопрос</t>
        </is>
      </c>
    </row>
    <row r="72">
      <c r="A72" s="27" t="inlineStr">
        <is>
          <t>q_07</t>
        </is>
      </c>
      <c r="B72" s="112" t="inlineStr">
        <is>
          <t>Форма · вопросы анкеты</t>
        </is>
      </c>
      <c r="C72" s="113" t="inlineStr">
        <is>
          <t>Сколько часов в день вы тратите на продвижение?</t>
        </is>
      </c>
      <c r="H72" s="297" t="inlineStr">
        <is>
          <t>УДАЛЕНО из HTML: блок 04 разбит на пять карточек, вопросы стали заголовками — 10.08.2026</t>
        </is>
      </c>
    </row>
    <row r="73">
      <c r="A73" s="3" t="inlineStr">
        <is>
          <t>Пояснение к вопросу</t>
        </is>
      </c>
    </row>
    <row r="74">
      <c r="A74" s="27" t="inlineStr">
        <is>
          <t>qd_08</t>
        </is>
      </c>
      <c r="B74" s="112" t="inlineStr">
        <is>
          <t>Форма · вопросы анкеты</t>
        </is>
      </c>
      <c r="C74" s="113" t="inlineStr">
        <is>
          <t>Укажите, сколько времени в среднем вы тратите на поиск новых клиентов и продвижение своих услуг.</t>
        </is>
      </c>
    </row>
    <row r="75">
      <c r="A75" s="3" t="inlineStr">
        <is>
          <t>Единица измерения</t>
        </is>
      </c>
    </row>
    <row r="76">
      <c r="A76" s="27" t="inlineStr">
        <is>
          <t>un_06</t>
        </is>
      </c>
      <c r="B76" s="112" t="inlineStr">
        <is>
          <t>Форма · вопросы анкеты</t>
        </is>
      </c>
      <c r="C76" s="113" t="inlineStr">
        <is>
          <t>ч/день</t>
        </is>
      </c>
    </row>
    <row r="77">
      <c r="A77" s="3" t="inlineStr">
        <is>
          <t>Заголовок блока</t>
        </is>
      </c>
    </row>
    <row r="78">
      <c r="A78" s="27" t="inlineStr">
        <is>
          <t>h2_06</t>
        </is>
      </c>
      <c r="B78" s="112" t="inlineStr">
        <is>
          <t>Форма · вопросы анкеты</t>
        </is>
      </c>
      <c r="C78" s="113" t="inlineStr">
        <is>
          <t>Съёмочная техника</t>
        </is>
      </c>
    </row>
    <row r="79">
      <c r="A79" s="3" t="inlineStr">
        <is>
          <t>Пояснение под заголовком</t>
        </is>
      </c>
    </row>
    <row r="80">
      <c r="A80" s="27" t="inlineStr">
        <is>
          <t>hint_02</t>
        </is>
      </c>
      <c r="B80" s="112" t="inlineStr">
        <is>
          <t>Форма · вопросы анкеты</t>
        </is>
      </c>
      <c r="C80" s="113"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
Не включайте сюда специфическое оборудование, которое требуется под задачи конкретного заказчика. Его стоимость лучше сразу закладывать в смету как дополнительную аренду.</t>
        </is>
      </c>
    </row>
    <row r="81">
      <c r="A81" s="3" t="inlineStr">
        <is>
          <t>Заголовок колонки</t>
        </is>
      </c>
    </row>
    <row r="82">
      <c r="A82" s="27" t="inlineStr">
        <is>
          <t>th_01</t>
        </is>
      </c>
      <c r="B82" s="112" t="inlineStr">
        <is>
          <t>Форма · вопросы анкеты</t>
        </is>
      </c>
      <c r="C82" s="113" t="inlineStr">
        <is>
          <t>Позиция</t>
        </is>
      </c>
    </row>
    <row r="83">
      <c r="A83" s="27" t="inlineStr">
        <is>
          <t>th_02</t>
        </is>
      </c>
      <c r="B83" t="inlineStr">
        <is>
          <t>Форма · вопросы</t>
        </is>
      </c>
      <c r="C83" t="inlineStr">
        <is>
          <t>Стоимость</t>
        </is>
      </c>
    </row>
    <row r="84">
      <c r="A84" s="27" t="inlineStr">
        <is>
          <t>th_03</t>
        </is>
      </c>
      <c r="B84" s="112" t="inlineStr">
        <is>
          <t>Форма · вопросы</t>
        </is>
      </c>
      <c r="C84" s="113" t="inlineStr">
        <is>
          <t>Срок службы</t>
        </is>
      </c>
    </row>
    <row r="85">
      <c r="A85" s="3" t="inlineStr">
        <is>
          <t>Кнопка добавления</t>
        </is>
      </c>
    </row>
    <row r="86">
      <c r="A86" s="27" t="inlineStr">
        <is>
          <t>add_01</t>
        </is>
      </c>
      <c r="B86" s="112" t="inlineStr">
        <is>
          <t>Форма · вопросы анкеты</t>
        </is>
      </c>
      <c r="C86" s="113" t="inlineStr">
        <is>
          <t>+ Добавить позицию</t>
        </is>
      </c>
    </row>
    <row r="87">
      <c r="A87" s="3" t="inlineStr">
        <is>
          <t>Заголовок блока</t>
        </is>
      </c>
    </row>
    <row r="88">
      <c r="A88" s="27" t="inlineStr">
        <is>
          <t>h2_07</t>
        </is>
      </c>
      <c r="B88" s="112" t="inlineStr">
        <is>
          <t>Форма · вопросы анкеты</t>
        </is>
      </c>
      <c r="C88" s="113" t="inlineStr">
        <is>
          <t>Офисная техника</t>
        </is>
      </c>
    </row>
    <row r="89">
      <c r="A89" s="3" t="inlineStr">
        <is>
          <t>Пояснение под заголовком</t>
        </is>
      </c>
    </row>
    <row r="90">
      <c r="A90" s="27" t="inlineStr">
        <is>
          <t>hint_03</t>
        </is>
      </c>
      <c r="B90" s="112" t="inlineStr">
        <is>
          <t>Форма · вопросы анкеты</t>
        </is>
      </c>
      <c r="C90" s="113"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row>
    <row r="91">
      <c r="A91" s="3" t="inlineStr">
        <is>
          <t>Заголовок колонки</t>
        </is>
      </c>
    </row>
    <row r="92">
      <c r="A92" s="27" t="inlineStr">
        <is>
          <t>th_04</t>
        </is>
      </c>
      <c r="B92" s="112" t="inlineStr">
        <is>
          <t>Форма · вопросы анкеты</t>
        </is>
      </c>
      <c r="C92" s="113" t="inlineStr">
        <is>
          <t>Позиция</t>
        </is>
      </c>
    </row>
    <row r="93">
      <c r="A93" s="27" t="inlineStr">
        <is>
          <t>th_05</t>
        </is>
      </c>
      <c r="B93" t="inlineStr">
        <is>
          <t>Форма · вопросы</t>
        </is>
      </c>
      <c r="C93" t="inlineStr">
        <is>
          <t>Стоимость</t>
        </is>
      </c>
    </row>
    <row r="94">
      <c r="A94" s="27" t="inlineStr">
        <is>
          <t>th_06</t>
        </is>
      </c>
      <c r="B94" s="112" t="inlineStr">
        <is>
          <t>Форма · вопросы анкеты</t>
        </is>
      </c>
      <c r="C94" s="113" t="inlineStr">
        <is>
          <t>Срок службы</t>
        </is>
      </c>
    </row>
    <row r="95">
      <c r="A95" s="3" t="inlineStr">
        <is>
          <t>Кнопка добавления</t>
        </is>
      </c>
    </row>
    <row r="96">
      <c r="A96" s="27" t="inlineStr">
        <is>
          <t>add_02</t>
        </is>
      </c>
      <c r="B96" s="112" t="inlineStr">
        <is>
          <t>Форма · вопросы анкеты</t>
        </is>
      </c>
      <c r="C96" s="113" t="inlineStr">
        <is>
          <t>+ Добавить позицию</t>
        </is>
      </c>
    </row>
    <row r="97">
      <c r="A97" s="3" t="inlineStr">
        <is>
          <t>Заголовок блока</t>
        </is>
      </c>
    </row>
    <row r="98">
      <c r="A98" s="27" t="inlineStr">
        <is>
          <t>h2_08</t>
        </is>
      </c>
      <c r="B98" s="112" t="inlineStr">
        <is>
          <t>Форма · вопросы анкеты</t>
        </is>
      </c>
      <c r="C98" s="113" t="inlineStr">
        <is>
          <t>Программное обеспечение</t>
        </is>
      </c>
    </row>
    <row r="99">
      <c r="A99" s="3" t="inlineStr">
        <is>
          <t>Подзаголовок секции</t>
        </is>
      </c>
    </row>
    <row r="100">
      <c r="A100" s="27" t="inlineStr">
        <is>
          <t>sh_01</t>
        </is>
      </c>
      <c r="B100" s="112" t="inlineStr">
        <is>
          <t>Форма · вопросы анкеты</t>
        </is>
      </c>
      <c r="C100" s="113" t="inlineStr">
        <is>
          <t>Подписки</t>
        </is>
      </c>
    </row>
    <row r="101">
      <c r="A101" s="3" t="inlineStr">
        <is>
          <t>Пояснение к секции</t>
        </is>
      </c>
    </row>
    <row r="102">
      <c r="A102" s="27" t="inlineStr">
        <is>
          <t>shd_01</t>
        </is>
      </c>
      <c r="B102" s="112" t="inlineStr">
        <is>
          <t>Форма · вопросы анкеты</t>
        </is>
      </c>
      <c r="C102" s="113" t="inlineStr">
        <is>
          <t>Лицензии и сервисы, за которые вы регулярно платите.</t>
        </is>
      </c>
    </row>
    <row r="103">
      <c r="A103" s="3" t="inlineStr">
        <is>
          <t>Заголовок колонки</t>
        </is>
      </c>
    </row>
    <row r="104">
      <c r="A104" s="27" t="inlineStr">
        <is>
          <t>th_07</t>
        </is>
      </c>
      <c r="B104" s="112" t="inlineStr">
        <is>
          <t>Форма · вопросы анкеты</t>
        </is>
      </c>
      <c r="C104" s="113" t="inlineStr">
        <is>
          <t>ПозицияСтоимость
Период
+ Добавить подписку</t>
        </is>
      </c>
    </row>
    <row r="105">
      <c r="A105" s="27" t="inlineStr">
        <is>
          <t>th_08</t>
        </is>
      </c>
      <c r="B105" t="inlineStr">
        <is>
          <t>Форма · вопросы</t>
        </is>
      </c>
      <c r="C105" t="inlineStr">
        <is>
          <t>Стоимость</t>
        </is>
      </c>
    </row>
    <row r="106">
      <c r="A106" s="27" t="inlineStr">
        <is>
          <t>th_09</t>
        </is>
      </c>
      <c r="B106" s="112" t="inlineStr">
        <is>
          <t>Форма · вопросы анкеты</t>
        </is>
      </c>
      <c r="C106" s="113" t="inlineStr">
        <is>
          <t>Период</t>
        </is>
      </c>
    </row>
    <row r="107">
      <c r="A107" s="3" t="inlineStr">
        <is>
          <t>Кнопка добавления</t>
        </is>
      </c>
    </row>
    <row r="108">
      <c r="A108" s="27" t="inlineStr">
        <is>
          <t>add_03</t>
        </is>
      </c>
      <c r="B108" s="112" t="inlineStr">
        <is>
          <t>Форма · вопросы анкеты</t>
        </is>
      </c>
      <c r="C108" s="113" t="inlineStr">
        <is>
          <t>+ Добавить подписку</t>
        </is>
      </c>
    </row>
    <row r="109">
      <c r="A109" s="3" t="inlineStr">
        <is>
          <t>Подзаголовок секции</t>
        </is>
      </c>
    </row>
    <row r="110">
      <c r="A110" s="27" t="inlineStr">
        <is>
          <t>sh_02</t>
        </is>
      </c>
      <c r="B110" s="112" t="inlineStr">
        <is>
          <t>Форма · вопросы анкеты</t>
        </is>
      </c>
      <c r="C110" s="113" t="inlineStr">
        <is>
          <t>Разовые покупки</t>
        </is>
      </c>
    </row>
    <row r="111">
      <c r="A111" s="3" t="inlineStr">
        <is>
          <t>Пояснение к секции</t>
        </is>
      </c>
    </row>
    <row r="112">
      <c r="A112" s="27" t="inlineStr">
        <is>
          <t>shd_02</t>
        </is>
      </c>
      <c r="B112" s="112" t="inlineStr">
        <is>
          <t>Форма · вопросы анкеты</t>
        </is>
      </c>
      <c r="C112" s="113" t="inlineStr">
        <is>
          <t>Программы и лицензии, которые вы оплачивали один раз и используете длительное время.</t>
        </is>
      </c>
    </row>
    <row r="113">
      <c r="A113" s="3" t="inlineStr">
        <is>
          <t>Заголовок колонки</t>
        </is>
      </c>
    </row>
    <row r="114">
      <c r="A114" s="27" t="inlineStr">
        <is>
          <t>th_10</t>
        </is>
      </c>
      <c r="B114" s="112" t="inlineStr">
        <is>
          <t>Форма · вопросы анкеты</t>
        </is>
      </c>
      <c r="C114" s="113" t="inlineStr">
        <is>
          <t>ПозицияСтоимость
Срок службы
+ Добавить программу</t>
        </is>
      </c>
    </row>
    <row r="115">
      <c r="A115" s="27" t="inlineStr">
        <is>
          <t>th_11</t>
        </is>
      </c>
      <c r="B115" t="inlineStr">
        <is>
          <t>Форма · вопросы</t>
        </is>
      </c>
      <c r="C115" t="inlineStr">
        <is>
          <t>Стоимость</t>
        </is>
      </c>
    </row>
    <row r="116">
      <c r="A116" s="27" t="inlineStr">
        <is>
          <t>th_12</t>
        </is>
      </c>
      <c r="B116" s="112" t="inlineStr">
        <is>
          <t>Форма · вопросы анкеты</t>
        </is>
      </c>
      <c r="C116" s="113" t="inlineStr">
        <is>
          <t>Срок службы</t>
        </is>
      </c>
    </row>
    <row r="117">
      <c r="A117" s="3" t="inlineStr">
        <is>
          <t>Кнопка добавления</t>
        </is>
      </c>
    </row>
    <row r="118">
      <c r="A118" s="27" t="inlineStr">
        <is>
          <t>add_04</t>
        </is>
      </c>
      <c r="B118" s="112" t="inlineStr">
        <is>
          <t>Форма · вопросы анкеты</t>
        </is>
      </c>
      <c r="C118" s="113" t="inlineStr">
        <is>
          <t>+ Добавить программу</t>
        </is>
      </c>
    </row>
    <row r="119">
      <c r="A119" s="3" t="inlineStr">
        <is>
          <t>Заголовок блока</t>
        </is>
      </c>
    </row>
    <row r="120">
      <c r="A120" s="27" t="inlineStr">
        <is>
          <t>h2_09</t>
        </is>
      </c>
      <c r="B120" s="112" t="inlineStr">
        <is>
          <t>Форма · вопросы анкеты</t>
        </is>
      </c>
      <c r="C120" s="113" t="inlineStr">
        <is>
          <t>Рабочее место</t>
        </is>
      </c>
    </row>
    <row r="121">
      <c r="A121" s="3" t="inlineStr">
        <is>
          <t>Пояснение под заголовком</t>
        </is>
      </c>
    </row>
    <row r="122">
      <c r="A122" s="27" t="inlineStr">
        <is>
          <t>hint_04</t>
        </is>
      </c>
      <c r="B122" s="112" t="inlineStr">
        <is>
          <t>Форма · вопросы анкеты</t>
        </is>
      </c>
      <c r="C122" s="113"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row>
    <row r="123">
      <c r="A123" s="3" t="inlineStr">
        <is>
          <t>Вопрос</t>
        </is>
      </c>
    </row>
    <row r="124">
      <c r="A124" s="27" t="inlineStr">
        <is>
          <t>q_08</t>
        </is>
      </c>
      <c r="B124" s="112" t="inlineStr">
        <is>
          <t>Форма · вопросы анкеты</t>
        </is>
      </c>
      <c r="C124" s="113" t="inlineStr">
        <is>
          <t>Сколько вы платите за жильё в месяц?</t>
        </is>
      </c>
    </row>
    <row r="125">
      <c r="A125" s="3" t="inlineStr">
        <is>
          <t>Пояснение к вопросу</t>
        </is>
      </c>
    </row>
    <row r="126">
      <c r="A126" s="27" t="inlineStr">
        <is>
          <t>qd_09</t>
        </is>
      </c>
      <c r="B126" s="112" t="inlineStr">
        <is>
          <t>Форма · вопросы анкеты</t>
        </is>
      </c>
      <c r="C126" s="113" t="inlineStr">
        <is>
          <t>Аренда или ипотека.</t>
        </is>
      </c>
    </row>
    <row r="127">
      <c r="A127" s="3" t="inlineStr">
        <is>
          <t>Галочка своего жилья</t>
        </is>
      </c>
    </row>
    <row r="128">
      <c r="A128" s="27" t="inlineStr">
        <is>
          <t>own_01</t>
        </is>
      </c>
      <c r="B128" s="112" t="inlineStr">
        <is>
          <t>Форма · вопросы анкеты</t>
        </is>
      </c>
      <c r="C128" s="113" t="inlineStr">
        <is>
          <t>Живу в своём, ипотеки нет</t>
        </is>
      </c>
    </row>
    <row r="129">
      <c r="A129" s="3" t="inlineStr">
        <is>
          <t>Единица измерения</t>
        </is>
      </c>
    </row>
    <row r="130">
      <c r="A130" s="27" t="inlineStr">
        <is>
          <t>un_07</t>
        </is>
      </c>
      <c r="B130" s="112" t="inlineStr">
        <is>
          <t>Форма · вопросы анкеты</t>
        </is>
      </c>
      <c r="C130" s="113" t="inlineStr">
        <is>
          <t>₽/мес</t>
        </is>
      </c>
    </row>
    <row r="131">
      <c r="A131" s="3" t="inlineStr">
        <is>
          <t>Вопрос</t>
        </is>
      </c>
    </row>
    <row r="132">
      <c r="A132" s="27" t="inlineStr">
        <is>
          <t>q_09</t>
        </is>
      </c>
      <c r="B132" s="112" t="inlineStr">
        <is>
          <t>Форма · вопросы анкеты</t>
        </is>
      </c>
      <c r="C132" s="113" t="inlineStr">
        <is>
          <t>Коммунальные платежи, интернет и связь</t>
        </is>
      </c>
    </row>
    <row r="133">
      <c r="A133" s="3" t="inlineStr">
        <is>
          <t>Пояснение к вопросу</t>
        </is>
      </c>
    </row>
    <row r="134">
      <c r="A134" s="27" t="inlineStr">
        <is>
          <t>qd_10</t>
        </is>
      </c>
      <c r="B134" s="112" t="inlineStr">
        <is>
          <t>Форма · вопросы анкеты</t>
        </is>
      </c>
      <c r="C134" s="113" t="inlineStr">
        <is>
          <t>Если вы работаете из дома, коммунальные платежи, интернет и связь учитываются пропорционально площади, которую занимает рабочая зона.</t>
        </is>
      </c>
    </row>
    <row r="135">
      <c r="A135" s="3" t="inlineStr">
        <is>
          <t>Единица измерения</t>
        </is>
      </c>
    </row>
    <row r="136">
      <c r="A136" s="27" t="inlineStr">
        <is>
          <t>un_08</t>
        </is>
      </c>
      <c r="B136" s="112" t="inlineStr">
        <is>
          <t>Форма · вопросы анкеты</t>
        </is>
      </c>
      <c r="C136" s="113" t="inlineStr">
        <is>
          <t>₽/мес</t>
        </is>
      </c>
    </row>
    <row r="137">
      <c r="A137" s="3" t="inlineStr">
        <is>
          <t>Вопрос</t>
        </is>
      </c>
    </row>
    <row r="138">
      <c r="A138" s="27" t="inlineStr">
        <is>
          <t>q_10</t>
        </is>
      </c>
      <c r="B138" s="112" t="inlineStr">
        <is>
          <t>Форма · вопросы анкеты</t>
        </is>
      </c>
      <c r="C138" s="113" t="inlineStr">
        <is>
          <t>Общая площадь вашего жилья</t>
        </is>
      </c>
    </row>
    <row r="139">
      <c r="A139" s="3" t="inlineStr">
        <is>
          <t>Единица измерения</t>
        </is>
      </c>
    </row>
    <row r="140">
      <c r="A140" s="27" t="inlineStr">
        <is>
          <t>un_09</t>
        </is>
      </c>
      <c r="B140" s="112" t="inlineStr">
        <is>
          <t>Форма · вопросы анкеты</t>
        </is>
      </c>
      <c r="C140" s="113" t="inlineStr">
        <is>
          <t>м²</t>
        </is>
      </c>
    </row>
    <row r="141">
      <c r="A141" s="3" t="inlineStr">
        <is>
          <t>Вопрос</t>
        </is>
      </c>
    </row>
    <row r="142">
      <c r="A142" s="27" t="inlineStr">
        <is>
          <t>q_11</t>
        </is>
      </c>
      <c r="B142" s="112" t="inlineStr">
        <is>
          <t>Форма · вопросы анкеты</t>
        </is>
      </c>
      <c r="C142" s="113" t="inlineStr">
        <is>
          <t>Сколько метров выделено под вашу рабочую зону?</t>
        </is>
      </c>
    </row>
    <row r="143">
      <c r="A143" s="3" t="inlineStr">
        <is>
          <t>Пояснение к вопросу</t>
        </is>
      </c>
    </row>
    <row r="144">
      <c r="A144" s="27" t="inlineStr">
        <is>
          <t>qd_11</t>
        </is>
      </c>
      <c r="B144" s="112" t="inlineStr">
        <is>
          <t>Форма · вопросы анкеты</t>
        </is>
      </c>
      <c r="C144" s="113" t="n"/>
    </row>
    <row r="145">
      <c r="A145" s="3" t="inlineStr">
        <is>
          <t>Единица измерения</t>
        </is>
      </c>
    </row>
    <row r="146">
      <c r="A146" s="27" t="inlineStr">
        <is>
          <t>un_10</t>
        </is>
      </c>
      <c r="B146" s="112" t="inlineStr">
        <is>
          <t>Форма · вопросы анкеты</t>
        </is>
      </c>
      <c r="C146" s="113" t="inlineStr">
        <is>
          <t>м²</t>
        </is>
      </c>
    </row>
    <row r="147">
      <c r="A147" s="3" t="inlineStr">
        <is>
          <t>Вопрос</t>
        </is>
      </c>
    </row>
    <row r="148">
      <c r="A148" s="27" t="inlineStr">
        <is>
          <t>q_12</t>
        </is>
      </c>
      <c r="B148" s="112" t="inlineStr">
        <is>
          <t>Форма · вопросы анкеты</t>
        </is>
      </c>
      <c r="C148" s="113" t="inlineStr">
        <is>
          <t>Стоимость аренды помещения</t>
        </is>
      </c>
    </row>
    <row r="149">
      <c r="A149" s="3" t="inlineStr">
        <is>
          <t>Пояснение к вопросу</t>
        </is>
      </c>
    </row>
    <row r="150">
      <c r="A150" s="27" t="inlineStr">
        <is>
          <t>qd_12</t>
        </is>
      </c>
      <c r="B150" s="112" t="inlineStr">
        <is>
          <t>Форма · вопросы анкеты</t>
        </is>
      </c>
      <c r="C150" s="113" t="inlineStr">
        <is>
          <t>Студия, кабинет или место в коворкинге.</t>
        </is>
      </c>
    </row>
    <row r="151">
      <c r="A151" s="3" t="inlineStr">
        <is>
          <t>Единица измерения</t>
        </is>
      </c>
    </row>
    <row r="152">
      <c r="A152" s="27" t="inlineStr">
        <is>
          <t>un_11</t>
        </is>
      </c>
      <c r="B152" s="112" t="inlineStr">
        <is>
          <t>Форма · вопросы анкеты</t>
        </is>
      </c>
      <c r="C152" s="113" t="inlineStr">
        <is>
          <t>₽/мес</t>
        </is>
      </c>
    </row>
    <row r="153">
      <c r="A153" s="3" t="inlineStr">
        <is>
          <t>Вопрос</t>
        </is>
      </c>
    </row>
    <row r="154">
      <c r="A154" s="27" t="inlineStr">
        <is>
          <t>q_13</t>
        </is>
      </c>
      <c r="B154" s="112" t="inlineStr">
        <is>
          <t>Форма · вопросы анкеты</t>
        </is>
      </c>
      <c r="C154" s="113" t="inlineStr">
        <is>
          <t>Коммунальные платежи, интернет и связь</t>
        </is>
      </c>
    </row>
    <row r="155">
      <c r="A155" s="3" t="inlineStr">
        <is>
          <t>Единица измерения</t>
        </is>
      </c>
    </row>
    <row r="156">
      <c r="A156" s="27" t="inlineStr">
        <is>
          <t>un_12</t>
        </is>
      </c>
      <c r="B156" s="112" t="inlineStr">
        <is>
          <t>Форма · вопросы анкеты</t>
        </is>
      </c>
      <c r="C156" s="113" t="inlineStr">
        <is>
          <t>₽/мес</t>
        </is>
      </c>
    </row>
    <row r="157">
      <c r="A157" s="3" t="inlineStr">
        <is>
          <t>Подзаголовок секции</t>
        </is>
      </c>
    </row>
    <row r="158">
      <c r="A158" s="27" t="inlineStr">
        <is>
          <t>sh_03</t>
        </is>
      </c>
      <c r="B158" s="112" t="inlineStr">
        <is>
          <t>Форма · вопросы анкеты</t>
        </is>
      </c>
      <c r="C158" s="113" t="inlineStr">
        <is>
          <t>Обустройство рабочего места</t>
        </is>
      </c>
    </row>
    <row r="159">
      <c r="A159" s="3" t="inlineStr">
        <is>
          <t>Пояснение к секции</t>
        </is>
      </c>
    </row>
    <row r="160">
      <c r="A160" s="27" t="inlineStr">
        <is>
          <t>shd_03</t>
        </is>
      </c>
      <c r="B160" s="112" t="inlineStr">
        <is>
          <t>Форма · вопросы анкеты</t>
        </is>
      </c>
      <c r="C160" s="113" t="inlineStr">
        <is>
          <t>Укажите разовые вложения в создание и обустройство рабочего места.
Если вы делали всё самостоятельно, рекомендуем использовать в расчёте сумму, которую пришлось бы заплатить наёмным специалистам за аналогичную работу, и общую стоимость закупленных материалов.</t>
        </is>
      </c>
    </row>
    <row r="161">
      <c r="A161" s="3" t="inlineStr">
        <is>
          <t>Заголовок колонки</t>
        </is>
      </c>
    </row>
    <row r="162">
      <c r="A162" s="27" t="inlineStr">
        <is>
          <t>th_13</t>
        </is>
      </c>
      <c r="B162" s="112" t="inlineStr">
        <is>
          <t>Форма · вопросы анкеты</t>
        </is>
      </c>
      <c r="C162" s="113" t="inlineStr">
        <is>
          <t>ПозицияСтоимость
Срок службы
+ Добавить позицию</t>
        </is>
      </c>
    </row>
    <row r="163">
      <c r="A163" s="27" t="inlineStr">
        <is>
          <t>th_14</t>
        </is>
      </c>
      <c r="B163" t="inlineStr">
        <is>
          <t>Форма · вопросы</t>
        </is>
      </c>
      <c r="C163" t="inlineStr">
        <is>
          <t>Стоимость</t>
        </is>
      </c>
    </row>
    <row r="164">
      <c r="A164" s="27" t="inlineStr">
        <is>
          <t>th_15</t>
        </is>
      </c>
      <c r="B164" s="112" t="inlineStr">
        <is>
          <t>Форма · вопросы анкеты</t>
        </is>
      </c>
      <c r="C164" s="113" t="inlineStr">
        <is>
          <t>Срок службы</t>
        </is>
      </c>
    </row>
    <row r="165">
      <c r="A165" s="3" t="inlineStr">
        <is>
          <t>Кнопка добавления</t>
        </is>
      </c>
    </row>
    <row r="166">
      <c r="A166" s="27" t="inlineStr">
        <is>
          <t>add_05</t>
        </is>
      </c>
      <c r="B166" s="112" t="inlineStr">
        <is>
          <t>Форма · вопросы анкеты</t>
        </is>
      </c>
      <c r="C166" s="113" t="inlineStr">
        <is>
          <t>+ Добавить позицию</t>
        </is>
      </c>
    </row>
    <row r="167">
      <c r="A167" s="3" t="inlineStr">
        <is>
          <t>Заголовок блока</t>
        </is>
      </c>
    </row>
    <row r="168">
      <c r="A168" s="27" t="inlineStr">
        <is>
          <t>h2_10</t>
        </is>
      </c>
      <c r="B168" s="112" t="inlineStr">
        <is>
          <t>Форма · вопросы анкеты</t>
        </is>
      </c>
      <c r="C168" s="113" t="inlineStr">
        <is>
          <t>Обучение и курсы</t>
        </is>
      </c>
    </row>
    <row r="169">
      <c r="A169" s="3" t="inlineStr">
        <is>
          <t>Пояснение под заголовком</t>
        </is>
      </c>
    </row>
    <row r="170">
      <c r="A170" s="27" t="inlineStr">
        <is>
          <t>hint_05</t>
        </is>
      </c>
      <c r="B170" s="112" t="inlineStr">
        <is>
          <t>Форма · вопросы анкеты</t>
        </is>
      </c>
      <c r="C170" s="113" t="inlineStr">
        <is>
          <t>Опишите, сколько времени и денег вы вложили, чтобы получить профессию</t>
        </is>
      </c>
    </row>
    <row r="171">
      <c r="A171" s="3" t="inlineStr">
        <is>
          <t>Пояснение к секции</t>
        </is>
      </c>
    </row>
    <row r="172">
      <c r="A172" s="27" t="inlineStr">
        <is>
          <t>shd_04</t>
        </is>
      </c>
      <c r="B172" s="112" t="inlineStr">
        <is>
          <t>Форма · вопросы анкеты</t>
        </is>
      </c>
      <c r="C172" s="113"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row>
    <row r="173">
      <c r="A173" s="3" t="inlineStr">
        <is>
          <t>Заголовок колонки</t>
        </is>
      </c>
    </row>
    <row r="174">
      <c r="A174" s="27" t="inlineStr">
        <is>
          <t>th_16</t>
        </is>
      </c>
      <c r="B174" s="112" t="inlineStr">
        <is>
          <t>Форма · вопросы анкеты</t>
        </is>
      </c>
      <c r="C174" s="113" t="inlineStr">
        <is>
          <t>ОбучениеСтоимость
Месяцев учились
+ Добавить обучение</t>
        </is>
      </c>
    </row>
    <row r="175">
      <c r="A175" s="27" t="inlineStr">
        <is>
          <t>th_17</t>
        </is>
      </c>
      <c r="B175" t="inlineStr">
        <is>
          <t>Форма · вопросы</t>
        </is>
      </c>
      <c r="C175" t="inlineStr">
        <is>
          <t>Стоимость</t>
        </is>
      </c>
    </row>
    <row r="176">
      <c r="A176" s="27" t="inlineStr">
        <is>
          <t>th_18</t>
        </is>
      </c>
      <c r="B176" s="112" t="inlineStr">
        <is>
          <t>Форма · вопросы анкеты</t>
        </is>
      </c>
      <c r="C176" s="113" t="inlineStr">
        <is>
          <t>Месяцев учились</t>
        </is>
      </c>
    </row>
    <row r="177">
      <c r="A177" s="3" t="inlineStr">
        <is>
          <t>Кнопка добавления</t>
        </is>
      </c>
    </row>
    <row r="178">
      <c r="A178" s="27" t="inlineStr">
        <is>
          <t>add_06</t>
        </is>
      </c>
      <c r="B178" s="112" t="inlineStr">
        <is>
          <t>Форма · вопросы анкеты</t>
        </is>
      </c>
      <c r="C178" s="113" t="inlineStr">
        <is>
          <t>+ Добавить обучение</t>
        </is>
      </c>
    </row>
    <row r="179">
      <c r="A179" s="3" t="inlineStr">
        <is>
          <t>Вопрос</t>
        </is>
      </c>
    </row>
    <row r="180">
      <c r="A180" s="27" t="inlineStr">
        <is>
          <t>q_14</t>
        </is>
      </c>
      <c r="B180" s="112" t="inlineStr">
        <is>
          <t>Форма · вопросы анкеты</t>
        </is>
      </c>
      <c r="C180" s="113" t="inlineStr">
        <is>
          <t>За сколько лет вы хотите окупить вложения в обучение?</t>
        </is>
      </c>
    </row>
    <row r="181">
      <c r="A181" s="3" t="inlineStr">
        <is>
          <t>Пояснение к вопросу</t>
        </is>
      </c>
    </row>
    <row r="182">
      <c r="A182" s="27" t="inlineStr">
        <is>
          <t>qd_13</t>
        </is>
      </c>
      <c r="B182" s="112" t="inlineStr">
        <is>
          <t>Форма · вопросы анкеты</t>
        </is>
      </c>
      <c r="C182" s="113" t="inlineStr">
        <is>
          <t>Стоимость обучения будет равномерно распределена на выбранный срок. Обычно для расчёта берут период от 5 до 10 лет.</t>
        </is>
      </c>
    </row>
    <row r="183">
      <c r="A183" s="3" t="inlineStr">
        <is>
          <t>Единица измерения</t>
        </is>
      </c>
    </row>
    <row r="184">
      <c r="A184" s="27" t="inlineStr">
        <is>
          <t>un_13</t>
        </is>
      </c>
      <c r="B184" s="112" t="inlineStr">
        <is>
          <t>Форма · вопросы анкеты</t>
        </is>
      </c>
      <c r="C184" s="113" t="inlineStr">
        <is>
          <t>лет</t>
        </is>
      </c>
    </row>
    <row r="185">
      <c r="A185" s="3" t="inlineStr">
        <is>
          <t>Заголовок блока</t>
        </is>
      </c>
    </row>
    <row r="186">
      <c r="A186" s="27" t="inlineStr">
        <is>
          <t>h2_11</t>
        </is>
      </c>
      <c r="B186" s="112" t="inlineStr">
        <is>
          <t>Форма · вопросы анкеты</t>
        </is>
      </c>
      <c r="C186" s="113" t="inlineStr">
        <is>
          <t>Создание сайта</t>
        </is>
      </c>
    </row>
    <row r="187">
      <c r="A187" s="3" t="inlineStr">
        <is>
          <t>Пояснение под заголовком</t>
        </is>
      </c>
    </row>
    <row r="188">
      <c r="A188" s="27" t="inlineStr">
        <is>
          <t>hint_06</t>
        </is>
      </c>
      <c r="B188" s="112" t="inlineStr">
        <is>
          <t>Форма · вопросы анкеты</t>
        </is>
      </c>
      <c r="C188" s="113" t="n"/>
    </row>
    <row r="189">
      <c r="A189" s="3" t="inlineStr">
        <is>
          <t>Вопрос</t>
        </is>
      </c>
    </row>
    <row r="190">
      <c r="A190" s="27" t="inlineStr">
        <is>
          <t>q_15</t>
        </is>
      </c>
      <c r="B190" s="112" t="inlineStr">
        <is>
          <t>Форма · вопросы анкеты</t>
        </is>
      </c>
      <c r="C190" s="113" t="inlineStr">
        <is>
          <t>Сколько вы заплатили за создание сайта?</t>
        </is>
      </c>
    </row>
    <row r="191">
      <c r="A191" s="3" t="inlineStr">
        <is>
          <t>Пояснение к вопросу</t>
        </is>
      </c>
    </row>
    <row r="192">
      <c r="A192" s="27" t="inlineStr">
        <is>
          <t>qd_14</t>
        </is>
      </c>
      <c r="B192" s="112" t="inlineStr">
        <is>
          <t>Форма · вопросы анкеты</t>
        </is>
      </c>
      <c r="C192" s="113" t="n"/>
    </row>
    <row r="193">
      <c r="A193" s="3" t="inlineStr">
        <is>
          <t>Вопрос</t>
        </is>
      </c>
    </row>
    <row r="194">
      <c r="A194" s="27" t="inlineStr">
        <is>
          <t>q_16</t>
        </is>
      </c>
      <c r="B194" s="112" t="inlineStr">
        <is>
          <t>Форма · вопросы анкеты</t>
        </is>
      </c>
      <c r="C194" s="113" t="inlineStr">
        <is>
          <t>Сколько времени вы потратили на создание сайта?</t>
        </is>
      </c>
    </row>
    <row r="195">
      <c r="A195" s="3" t="inlineStr">
        <is>
          <t>Пояснение к вопросу</t>
        </is>
      </c>
    </row>
    <row r="196">
      <c r="A196" s="27" t="inlineStr">
        <is>
          <t>qd_15</t>
        </is>
      </c>
      <c r="B196" s="112" t="inlineStr">
        <is>
          <t>Форма · вопросы анкеты</t>
        </is>
      </c>
      <c r="C196" s="113" t="n"/>
    </row>
    <row r="197">
      <c r="A197" s="3" t="inlineStr">
        <is>
          <t>Единица измерения</t>
        </is>
      </c>
    </row>
    <row r="198">
      <c r="A198" s="27" t="inlineStr">
        <is>
          <t>un_14</t>
        </is>
      </c>
      <c r="B198" s="112" t="inlineStr">
        <is>
          <t>Форма · вопросы анкеты</t>
        </is>
      </c>
      <c r="C198" s="113" t="inlineStr">
        <is>
          <t>часов</t>
        </is>
      </c>
    </row>
    <row r="199">
      <c r="A199" s="3" t="inlineStr">
        <is>
          <t>Вопрос</t>
        </is>
      </c>
    </row>
    <row r="200">
      <c r="A200" s="27" t="inlineStr">
        <is>
          <t>q_17</t>
        </is>
      </c>
      <c r="B200" s="112" t="inlineStr">
        <is>
          <t>Форма · вопросы анкеты</t>
        </is>
      </c>
      <c r="C200" s="113" t="inlineStr">
        <is>
          <t>За сколько лет окупить вложения в сайт?</t>
        </is>
      </c>
    </row>
    <row r="201">
      <c r="A201" s="3" t="inlineStr">
        <is>
          <t>Пояснение к вопросу</t>
        </is>
      </c>
    </row>
    <row r="202">
      <c r="A202" s="27" t="inlineStr">
        <is>
          <t>qd_16</t>
        </is>
      </c>
      <c r="B202" s="112" t="inlineStr">
        <is>
          <t>Форма · вопросы анкеты</t>
        </is>
      </c>
      <c r="C202" s="113" t="inlineStr">
        <is>
          <t>Через этот срок сайт устареет и потребует переделки.</t>
        </is>
      </c>
    </row>
    <row r="203">
      <c r="A203" s="3" t="inlineStr">
        <is>
          <t>Единица измерения</t>
        </is>
      </c>
    </row>
    <row r="204">
      <c r="A204" s="27" t="inlineStr">
        <is>
          <t>un_15</t>
        </is>
      </c>
      <c r="B204" s="112" t="inlineStr">
        <is>
          <t>Форма · вопросы анкеты</t>
        </is>
      </c>
      <c r="C204" s="113" t="inlineStr">
        <is>
          <t>лет</t>
        </is>
      </c>
    </row>
    <row r="205">
      <c r="A205" s="3" t="inlineStr">
        <is>
          <t>Заголовок блока</t>
        </is>
      </c>
    </row>
    <row r="206">
      <c r="A206" s="27" t="inlineStr">
        <is>
          <t>h2_12</t>
        </is>
      </c>
      <c r="B206" s="112" t="inlineStr">
        <is>
          <t>Форма · вопросы анкеты</t>
        </is>
      </c>
      <c r="C206" s="113" t="inlineStr">
        <is>
          <t>Реклама и продвижение</t>
        </is>
      </c>
    </row>
    <row r="207">
      <c r="A207" s="3" t="inlineStr">
        <is>
          <t>Пояснение под заголовком</t>
        </is>
      </c>
    </row>
    <row r="208">
      <c r="A208" s="27" t="inlineStr">
        <is>
          <t>hint_07</t>
        </is>
      </c>
      <c r="B208" s="112" t="inlineStr">
        <is>
          <t>Форма · вопросы анкеты</t>
        </is>
      </c>
      <c r="C208" s="113" t="inlineStr">
        <is>
          <t>Деньги, которые вы регулярно тратите на поиск и привлечение клиентов</t>
        </is>
      </c>
    </row>
    <row r="209">
      <c r="A209" s="3" t="inlineStr">
        <is>
          <t>Заголовок колонки</t>
        </is>
      </c>
    </row>
    <row r="210">
      <c r="A210" s="27" t="inlineStr">
        <is>
          <t>th_19</t>
        </is>
      </c>
      <c r="B210" s="112" t="inlineStr">
        <is>
          <t>Форма · вопросы анкеты</t>
        </is>
      </c>
      <c r="C210" s="113" t="inlineStr">
        <is>
          <t>КаналСтоимость
Период
+ Добавить канал</t>
        </is>
      </c>
    </row>
    <row r="211">
      <c r="A211" s="27" t="inlineStr">
        <is>
          <t>th_20</t>
        </is>
      </c>
      <c r="B211" t="inlineStr">
        <is>
          <t>Форма · вопросы</t>
        </is>
      </c>
      <c r="C211" t="inlineStr">
        <is>
          <t>Стоимость</t>
        </is>
      </c>
    </row>
    <row r="212">
      <c r="A212" s="27" t="inlineStr">
        <is>
          <t>th_21</t>
        </is>
      </c>
      <c r="B212" s="112" t="inlineStr">
        <is>
          <t>Форма · вопросы анкеты</t>
        </is>
      </c>
      <c r="C212" s="113" t="inlineStr">
        <is>
          <t>Период</t>
        </is>
      </c>
    </row>
    <row r="213">
      <c r="A213" s="3" t="inlineStr">
        <is>
          <t>Кнопка добавления</t>
        </is>
      </c>
    </row>
    <row r="214">
      <c r="A214" s="27" t="inlineStr">
        <is>
          <t>add_07</t>
        </is>
      </c>
      <c r="B214" s="112" t="inlineStr">
        <is>
          <t>Форма · вопросы анкеты</t>
        </is>
      </c>
      <c r="C214" s="113" t="inlineStr">
        <is>
          <t>+ Добавить канал</t>
        </is>
      </c>
    </row>
    <row r="215">
      <c r="A215" s="3" t="inlineStr">
        <is>
          <t>Заголовок блока</t>
        </is>
      </c>
    </row>
    <row r="216">
      <c r="A216" s="27" t="inlineStr">
        <is>
          <t>h2_13</t>
        </is>
      </c>
      <c r="B216" s="112" t="inlineStr">
        <is>
          <t>Форма · вопросы анкеты</t>
        </is>
      </c>
      <c r="C216" s="113" t="inlineStr">
        <is>
          <t>Банковское обслуживание</t>
        </is>
      </c>
    </row>
    <row r="217">
      <c r="A217" s="3" t="inlineStr">
        <is>
          <t>Подзаголовок секции</t>
        </is>
      </c>
    </row>
    <row r="218">
      <c r="A218" s="27" t="inlineStr">
        <is>
          <t>sh_04</t>
        </is>
      </c>
      <c r="B218" s="112" t="inlineStr">
        <is>
          <t>Форма · вопросы анкеты</t>
        </is>
      </c>
      <c r="C218" s="113" t="inlineStr">
        <is>
          <t>Регулярные платежи</t>
        </is>
      </c>
    </row>
    <row r="219">
      <c r="A219" s="3" t="inlineStr">
        <is>
          <t>Пояснение к секции</t>
        </is>
      </c>
    </row>
    <row r="220">
      <c r="A220" s="27" t="inlineStr">
        <is>
          <t>shd_05</t>
        </is>
      </c>
      <c r="B220" s="112" t="inlineStr">
        <is>
          <t>Форма · вопросы анкеты</t>
        </is>
      </c>
      <c r="C220" s="113" t="inlineStr">
        <is>
          <t>Платежи за банковское обслуживание и услуги, которые оплачиваются в фиксированной сумме.</t>
        </is>
      </c>
    </row>
    <row r="221">
      <c r="A221" s="3" t="inlineStr">
        <is>
          <t>Заголовок колонки</t>
        </is>
      </c>
    </row>
    <row r="222">
      <c r="A222" s="27" t="inlineStr">
        <is>
          <t>th_22</t>
        </is>
      </c>
      <c r="B222" s="112" t="inlineStr">
        <is>
          <t>Форма · вопросы анкеты</t>
        </is>
      </c>
      <c r="C222" s="113" t="inlineStr">
        <is>
          <t>ПозицияСтоимость
Период
+ Добавить платёж</t>
        </is>
      </c>
    </row>
    <row r="223">
      <c r="A223" s="27" t="inlineStr">
        <is>
          <t>th_23</t>
        </is>
      </c>
      <c r="B223" t="inlineStr">
        <is>
          <t>Форма · вопросы</t>
        </is>
      </c>
      <c r="C223" t="inlineStr">
        <is>
          <t>Стоимость</t>
        </is>
      </c>
    </row>
    <row r="224">
      <c r="A224" s="27" t="inlineStr">
        <is>
          <t>th_24</t>
        </is>
      </c>
      <c r="B224" s="112" t="inlineStr">
        <is>
          <t>Форма · вопросы анкеты</t>
        </is>
      </c>
      <c r="C224" s="113" t="inlineStr">
        <is>
          <t>Период</t>
        </is>
      </c>
    </row>
    <row r="225">
      <c r="A225" s="3" t="inlineStr">
        <is>
          <t>Кнопка добавления</t>
        </is>
      </c>
    </row>
    <row r="226">
      <c r="A226" s="27" t="inlineStr">
        <is>
          <t>add_08</t>
        </is>
      </c>
      <c r="B226" s="112" t="inlineStr">
        <is>
          <t>Форма · вопросы анкеты</t>
        </is>
      </c>
      <c r="C226" s="113" t="inlineStr">
        <is>
          <t>+ Добавить платёж</t>
        </is>
      </c>
    </row>
    <row r="227">
      <c r="A227" s="3" t="inlineStr">
        <is>
          <t>Подзаголовок секции</t>
        </is>
      </c>
    </row>
    <row r="228">
      <c r="A228" s="27" t="inlineStr">
        <is>
          <t>sh_05</t>
        </is>
      </c>
      <c r="B228" s="112" t="inlineStr">
        <is>
          <t>Форма · вопросы анкеты</t>
        </is>
      </c>
      <c r="C228" s="113" t="inlineStr">
        <is>
          <t>Комиссии банка</t>
        </is>
      </c>
    </row>
    <row r="229">
      <c r="A229" s="3" t="inlineStr">
        <is>
          <t>Вопрос</t>
        </is>
      </c>
    </row>
    <row r="230">
      <c r="A230" s="27" t="inlineStr">
        <is>
          <t>q_18</t>
        </is>
      </c>
      <c r="B230" s="112" t="inlineStr">
        <is>
          <t>Форма · вопросы анкеты</t>
        </is>
      </c>
      <c r="C230" s="113" t="inlineStr">
        <is>
          <t>Эквайринг</t>
        </is>
      </c>
    </row>
    <row r="231">
      <c r="A231" s="3" t="inlineStr">
        <is>
          <t>Пояснение к секции</t>
        </is>
      </c>
    </row>
    <row r="232">
      <c r="A232" s="27" t="inlineStr">
        <is>
          <t>shd_06</t>
        </is>
      </c>
      <c r="B232" s="112" t="inlineStr">
        <is>
          <t>Форма · вопросы анкеты</t>
        </is>
      </c>
      <c r="C232" s="113" t="inlineStr">
        <is>
          <t>Плата, которую взимает банк в виде процента от суммы произведённой операции.</t>
        </is>
      </c>
    </row>
    <row r="233">
      <c r="A233" s="3" t="inlineStr">
        <is>
          <t>Вопрос</t>
        </is>
      </c>
    </row>
    <row r="234">
      <c r="A234" s="27" t="inlineStr">
        <is>
          <t>q_19</t>
        </is>
      </c>
      <c r="B234" s="112" t="inlineStr">
        <is>
          <t>Форма · вопросы анкеты</t>
        </is>
      </c>
      <c r="C234" s="113" t="inlineStr">
        <is>
          <t>Какая доля оплат проходит через эквайринг?</t>
        </is>
      </c>
    </row>
    <row r="235">
      <c r="A235" s="3" t="inlineStr">
        <is>
          <t>Пояснение к вопросу</t>
        </is>
      </c>
    </row>
    <row r="236">
      <c r="A236" s="27" t="inlineStr">
        <is>
          <t>qd_18</t>
        </is>
      </c>
      <c r="B236" s="112" t="inlineStr">
        <is>
          <t>Форма · вопросы анкеты</t>
        </is>
      </c>
      <c r="C236" s="113" t="n"/>
    </row>
    <row r="237">
      <c r="A237" s="3" t="inlineStr">
        <is>
          <t>Заголовок блока</t>
        </is>
      </c>
    </row>
    <row r="238">
      <c r="A238" s="27" t="inlineStr">
        <is>
          <t>h2_14</t>
        </is>
      </c>
      <c r="B238" s="112" t="inlineStr">
        <is>
          <t>Форма · вопросы анкеты</t>
        </is>
      </c>
      <c r="C238" s="113" t="inlineStr">
        <is>
          <t>Бухгалтерия и учёт</t>
        </is>
      </c>
    </row>
    <row r="239">
      <c r="A239" s="3" t="inlineStr">
        <is>
          <t>Пояснение под заголовком</t>
        </is>
      </c>
    </row>
    <row r="240">
      <c r="A240" s="27" t="inlineStr">
        <is>
          <t>hint_08</t>
        </is>
      </c>
      <c r="B240" s="112" t="inlineStr">
        <is>
          <t>Форма · вопросы анкеты</t>
        </is>
      </c>
      <c r="C240" s="113" t="n"/>
    </row>
    <row r="241">
      <c r="A241" s="3" t="inlineStr">
        <is>
          <t>Вопрос</t>
        </is>
      </c>
    </row>
    <row r="242">
      <c r="A242" s="27" t="inlineStr">
        <is>
          <t>q_20</t>
        </is>
      </c>
      <c r="B242" s="112" t="inlineStr">
        <is>
          <t>Форма · вопросы анкеты</t>
        </is>
      </c>
      <c r="C242" s="113" t="inlineStr">
        <is>
          <t>Сколько часов в квартал уходит на отчётность?</t>
        </is>
      </c>
    </row>
    <row r="243">
      <c r="A243" s="3" t="inlineStr">
        <is>
          <t>Пояснение к вопросу</t>
        </is>
      </c>
    </row>
    <row r="244">
      <c r="A244" s="27" t="inlineStr">
        <is>
          <t>qd_19</t>
        </is>
      </c>
      <c r="B244" s="112" t="inlineStr">
        <is>
          <t>Форма · вопросы анкеты</t>
        </is>
      </c>
      <c r="C244" s="113" t="inlineStr">
        <is>
          <t>Вот что мы заложили как основные этапы ведения учёта и бухгалтерии
1. Учёт доходов и расходов:
— фиксация доходов и расходов;
— ведение книги учёта;
— сверка операций с банковской выпиской.
2. Налоги и взносы:
— расчёт налогов;
— уплата налогов и страховых взносов;
— контроль сроков обязательных платежей.
3. Подготовка отчётности:
— подготовка и отправка деклараций;
— подготовка другой обязательной отчётности;
— контроль сроков сдачи.
4. Взаимодействие с налоговой:
— сверка с налоговой инспекцией;
— проверка начислений и задолженности;
— ответы на требования и уведомления.</t>
        </is>
      </c>
    </row>
    <row r="245">
      <c r="A245" s="3" t="inlineStr">
        <is>
          <t>Единица измерения</t>
        </is>
      </c>
    </row>
    <row r="246">
      <c r="A246" s="27" t="inlineStr">
        <is>
          <t>un_16</t>
        </is>
      </c>
      <c r="B246" s="112" t="inlineStr">
        <is>
          <t>Форма · вопросы анкеты</t>
        </is>
      </c>
      <c r="C246" s="113" t="inlineStr">
        <is>
          <t>часа</t>
        </is>
      </c>
    </row>
    <row r="247">
      <c r="A247" s="3" t="inlineStr">
        <is>
          <t>Вопрос</t>
        </is>
      </c>
    </row>
    <row r="248">
      <c r="A248" s="27" t="inlineStr">
        <is>
          <t>q_21</t>
        </is>
      </c>
      <c r="B248" s="112" t="inlineStr">
        <is>
          <t>Форма · вопросы анкеты</t>
        </is>
      </c>
      <c r="C248" s="113" t="inlineStr">
        <is>
          <t>Сколько стоит ведение учёта?</t>
        </is>
      </c>
    </row>
    <row r="249">
      <c r="A249" s="3" t="inlineStr">
        <is>
          <t>Единица измерения</t>
        </is>
      </c>
    </row>
    <row r="250">
      <c r="A250" s="27" t="inlineStr">
        <is>
          <t>un_17</t>
        </is>
      </c>
      <c r="B250" s="112" t="inlineStr">
        <is>
          <t>Форма · вопросы анкеты</t>
        </is>
      </c>
      <c r="C250" s="113" t="inlineStr">
        <is>
          <t>₽/мес</t>
        </is>
      </c>
    </row>
    <row r="251">
      <c r="A251" s="3" t="inlineStr">
        <is>
          <t>lb</t>
        </is>
      </c>
      <c r="B251" t="inlineStr">
        <is>
          <t>Форма</t>
        </is>
      </c>
      <c r="H251" s="297" t="inlineStr">
        <is>
          <t>НЕ ИСПОЛЬЗУЕТСЯ в текущей вёрстке; текст был утерян при объединении ячеек</t>
        </is>
      </c>
    </row>
    <row r="252">
      <c r="A252" s="27" t="inlineStr">
        <is>
          <t>lb_01</t>
        </is>
      </c>
      <c r="B252" s="112" t="inlineStr">
        <is>
          <t>Форма · краткий результат</t>
        </is>
      </c>
      <c r="C252" s="113" t="inlineStr">
        <is>
          <t>Ваша расчётная ставка</t>
        </is>
      </c>
      <c r="H252" s="297" t="inlineStr">
        <is>
          <t>УДАЛЕНО из HTML: блок предварительного отчёта убран из анкеты 10.08.2026</t>
        </is>
      </c>
    </row>
    <row r="253">
      <c r="A253" s="3" t="inlineStr">
        <is>
          <t>Подпись под цифрой</t>
        </is>
      </c>
    </row>
    <row r="254">
      <c r="A254" s="27" t="inlineStr">
        <is>
          <t>k_01</t>
        </is>
      </c>
      <c r="B254" s="112" t="inlineStr">
        <is>
          <t>Форма · краткий результат</t>
        </is>
      </c>
      <c r="C254" s="113" t="inlineStr">
        <is>
          <t>за одну съёмку</t>
        </is>
      </c>
      <c r="H254" s="297" t="inlineStr">
        <is>
          <t>УДАЛЕНО из HTML: блок предварительного отчёта убран из анкеты 10.08.2026</t>
        </is>
      </c>
    </row>
    <row r="255">
      <c r="A255" s="27" t="inlineStr">
        <is>
          <t>k_02</t>
        </is>
      </c>
      <c r="B255" t="inlineStr">
        <is>
          <t>Форма · краткий результат</t>
        </is>
      </c>
      <c r="C255" t="inlineStr">
        <is>
          <t>выручка в месяц</t>
        </is>
      </c>
      <c r="H255" s="297" t="inlineStr">
        <is>
          <t>УДАЛЕНО из HTML: блок предварительного отчёта убран из анкеты 10.08.2026</t>
        </is>
      </c>
    </row>
    <row r="256">
      <c r="A256" s="27" t="inlineStr">
        <is>
          <t>k_03</t>
        </is>
      </c>
      <c r="B256" s="112" t="inlineStr">
        <is>
          <t>Форма · краткий результат</t>
        </is>
      </c>
      <c r="C256" s="113" t="inlineStr">
        <is>
          <t>съёмок в месяц</t>
        </is>
      </c>
      <c r="H256" s="297" t="inlineStr">
        <is>
          <t>УДАЛЕНО из HTML: блок предварительного отчёта убран из анкеты 10.08.2026</t>
        </is>
      </c>
    </row>
    <row r="257">
      <c r="A257" s="3" t="inlineStr">
        <is>
          <t>Заголовок блока</t>
        </is>
      </c>
    </row>
    <row r="258">
      <c r="A258" s="27" t="inlineStr">
        <is>
          <t>h2_15</t>
        </is>
      </c>
      <c r="B258" s="112" t="inlineStr">
        <is>
          <t>Форма · краткий результат</t>
        </is>
      </c>
      <c r="C258" s="113" t="inlineStr">
        <is>
          <t>Куда уходит каждый час съёмки</t>
        </is>
      </c>
      <c r="H258" s="297" t="inlineStr">
        <is>
          <t>УДАЛЕНО из HTML: перенесено из анкеты в части/предварительный_отчёт.html 10.08.2026</t>
        </is>
      </c>
    </row>
    <row r="259">
      <c r="A259" s="3" t="inlineStr">
        <is>
          <t>Пояснение под заголовком</t>
        </is>
      </c>
    </row>
    <row r="260">
      <c r="A260" s="27" t="inlineStr">
        <is>
          <t>hint_09</t>
        </is>
      </c>
      <c r="B260" s="112" t="inlineStr">
        <is>
          <t>Форма · краткий результат</t>
        </is>
      </c>
      <c r="C260" s="113" t="inlineStr">
        <is>
          <t>Вам платят за час на площадке, но эти деньги покрывают всю работу вокруг него</t>
        </is>
      </c>
      <c r="H260" s="297" t="inlineStr">
        <is>
          <t>УДАЛЕНО из HTML: перенесено из анкеты в части/предварительный_отчёт.html 10.08.2026</t>
        </is>
      </c>
    </row>
    <row r="261">
      <c r="A261" s="3" t="inlineStr">
        <is>
          <t>Заголовок</t>
        </is>
      </c>
    </row>
    <row r="262">
      <c r="A262" s="27" t="inlineStr">
        <is>
          <t>h3_01</t>
        </is>
      </c>
      <c r="B262" t="inlineStr">
        <is>
          <t>Форма · подписка</t>
        </is>
      </c>
      <c r="C262" t="inlineStr">
        <is>
          <t>Спасибо за поддержку!</t>
        </is>
      </c>
      <c r="H262" s="297" t="inlineStr">
        <is>
          <t>УДАЛЕНО из HTML: блок предварительного отчёта убран из анкеты 10.08.2026</t>
        </is>
      </c>
    </row>
    <row r="263">
      <c r="A263" s="27" t="inlineStr">
        <is>
          <t>h3_02</t>
        </is>
      </c>
      <c r="B263" s="112" t="inlineStr">
        <is>
          <t>Форма · блок оплаты (paywall)</t>
        </is>
      </c>
      <c r="C263" s="113" t="inlineStr">
        <is>
          <t>Скачать детальный отчёт
Готовые цифры, которые можно применить уже завтра: что ставить в прайс, сколько съёмок брать и где проходит ваша нижняя граница.</t>
        </is>
      </c>
      <c r="H263" s="297" t="inlineStr">
        <is>
          <t>УДАЛЕНО из HTML: перенесено из анкеты в части/предварительный_отчёт.html 10.08.2026</t>
        </is>
      </c>
    </row>
    <row r="264">
      <c r="A264" s="3" t="inlineStr">
        <is>
          <t>Описание блока оплаты</t>
        </is>
      </c>
    </row>
    <row r="265">
      <c r="A265" s="27" t="inlineStr">
        <is>
          <t>pd_01</t>
        </is>
      </c>
      <c r="B265" s="112" t="inlineStr">
        <is>
          <t>Форма · блок оплаты (paywall)</t>
        </is>
      </c>
      <c r="C265" s="113" t="inlineStr">
        <is>
          <t>Готовые цифры, которые можно применить уже завтра: что ставить в прайс, сколько съёмок брать и где проходит ваша нижняя граница.</t>
        </is>
      </c>
      <c r="H265" s="297" t="inlineStr">
        <is>
          <t>УДАЛЕНО из HTML: перенесено из анкеты в части/предварительный_отчёт.html 10.08.2026</t>
        </is>
      </c>
    </row>
    <row r="266">
      <c r="A266" s="3" t="inlineStr">
        <is>
          <t>Кнопка в ценнике</t>
        </is>
      </c>
    </row>
    <row r="267">
      <c r="A267" s="27" t="inlineStr">
        <is>
          <t>pl_01</t>
        </is>
      </c>
      <c r="B267" s="112" t="inlineStr">
        <is>
          <t>Форма · блок оплаты (paywall)</t>
        </is>
      </c>
      <c r="C267" s="113" t="inlineStr">
        <is>
          <t>Поблагодарить и скачать</t>
        </is>
      </c>
      <c r="H267" s="297" t="inlineStr">
        <is>
          <t>УДАЛЕНО из HTML: перенесено из анкеты в части/предварительный_отчёт.html 10.08.2026</t>
        </is>
      </c>
    </row>
    <row r="268">
      <c r="A268" s="3" t="inlineStr">
        <is>
          <t>Заголовок секции</t>
        </is>
      </c>
    </row>
    <row r="269">
      <c r="A269" s="27" t="inlineStr">
        <is>
          <t>st_01</t>
        </is>
      </c>
      <c r="B269" s="112" t="inlineStr">
        <is>
          <t>Форма · блок оплаты (paywall)</t>
        </is>
      </c>
      <c r="C269" s="113" t="inlineStr">
        <is>
          <t>Что вы узнаете из отчёта</t>
        </is>
      </c>
      <c r="H269" s="297" t="inlineStr">
        <is>
          <t>УДАЛЕНО из HTML: перенесено из анкеты в части/предварительный_отчёт.html 10.08.2026</t>
        </is>
      </c>
    </row>
    <row r="270">
      <c r="A270" s="3" t="inlineStr">
        <is>
          <t>Описание секции</t>
        </is>
      </c>
    </row>
    <row r="271">
      <c r="A271" s="27" t="inlineStr">
        <is>
          <t>sd_01</t>
        </is>
      </c>
      <c r="B271" s="112" t="inlineStr">
        <is>
          <t>Форма · блок оплаты (paywall)</t>
        </is>
      </c>
      <c r="C271" s="113" t="inlineStr">
        <is>
          <t>Три вещи, которые меняют разговор о цене: понятный план на месяц, обоснованные скидки и граница, ниже которой нельзя.</t>
        </is>
      </c>
      <c r="H271" s="297" t="inlineStr">
        <is>
          <t>УДАЛЕНО из HTML: перенесено из анкеты в части/предварительный_отчёт.html 10.08.2026</t>
        </is>
      </c>
    </row>
    <row r="272">
      <c r="A272" s="3" t="inlineStr">
        <is>
          <t>Заголовок преимущества</t>
        </is>
      </c>
    </row>
    <row r="273">
      <c r="A273" s="27" t="inlineStr">
        <is>
          <t>an_01</t>
        </is>
      </c>
      <c r="B273" s="112" t="inlineStr">
        <is>
          <t>Форма · блок оплаты (paywall)</t>
        </is>
      </c>
      <c r="C273" s="113" t="inlineStr">
        <is>
          <t>Детальный графикна месяц</t>
        </is>
      </c>
      <c r="H273" s="297" t="inlineStr">
        <is>
          <t>УДАЛЕНО из HTML: перенесено из анкеты в части/предварительный_отчёт.html 10.08.2026</t>
        </is>
      </c>
    </row>
    <row r="274">
      <c r="A274" s="3" t="inlineStr">
        <is>
          <t>Описание преимущества</t>
        </is>
      </c>
    </row>
    <row r="275">
      <c r="A275" s="27" t="inlineStr">
        <is>
          <t>ax_01</t>
        </is>
      </c>
      <c r="B275" s="112" t="inlineStr">
        <is>
          <t>Форма · блок оплаты (paywall)</t>
        </is>
      </c>
      <c r="C275" s="113" t="inlineStr">
        <is>
          <t>Сколько съёмок брать и как расставить их по дням, чтобы успевать обрабатывать и не выгорать</t>
        </is>
      </c>
      <c r="H275" s="297" t="inlineStr">
        <is>
          <t>УДАЛЕНО из HTML: перенесено из анкеты в части/предварительный_отчёт.html 10.08.2026</t>
        </is>
      </c>
    </row>
    <row r="276">
      <c r="A276" s="3" t="inlineStr">
        <is>
          <t>Заголовок преимущества</t>
        </is>
      </c>
    </row>
    <row r="277">
      <c r="A277" s="27" t="inlineStr">
        <is>
          <t>an_02</t>
        </is>
      </c>
      <c r="B277" s="112" t="inlineStr">
        <is>
          <t>Форма · блок оплаты (paywall)</t>
        </is>
      </c>
      <c r="C277" s="113" t="inlineStr">
        <is>
          <t>Скидкиза объём</t>
        </is>
      </c>
      <c r="H277" s="297" t="inlineStr">
        <is>
          <t>УДАЛЕНО из HTML: перенесено из анкеты в части/предварительный_отчёт.html 10.08.2026</t>
        </is>
      </c>
    </row>
    <row r="278">
      <c r="A278" s="3" t="inlineStr">
        <is>
          <t>Описание преимущества</t>
        </is>
      </c>
    </row>
    <row r="279">
      <c r="A279" s="27" t="inlineStr">
        <is>
          <t>ax_02</t>
        </is>
      </c>
      <c r="B279" s="112" t="inlineStr">
        <is>
          <t>Форма · блок оплаты (paywall)</t>
        </is>
      </c>
      <c r="C279" s="113" t="inlineStr">
        <is>
          <t>Сколько уступить постоянному клиенту за длинную съёмку — за счёт накладных, а не вашего дохода</t>
        </is>
      </c>
      <c r="H279" s="297" t="inlineStr">
        <is>
          <t>УДАЛЕНО из HTML: перенесено из анкеты в части/предварительный_отчёт.html 10.08.2026</t>
        </is>
      </c>
    </row>
    <row r="280">
      <c r="A280" s="3" t="inlineStr">
        <is>
          <t>Заголовок преимущества</t>
        </is>
      </c>
    </row>
    <row r="281">
      <c r="A281" s="27" t="inlineStr">
        <is>
          <t>an_03</t>
        </is>
      </c>
      <c r="B281" s="112" t="inlineStr">
        <is>
          <t>Форма · блок оплаты (paywall)</t>
        </is>
      </c>
      <c r="C281" s="113" t="inlineStr">
        <is>
          <t>Минимальнаяцена часа</t>
        </is>
      </c>
      <c r="H281" s="297" t="inlineStr">
        <is>
          <t>УДАЛЕНО из HTML: перенесено из анкеты в части/предварительный_отчёт.html 10.08.2026</t>
        </is>
      </c>
    </row>
    <row r="282">
      <c r="A282" s="3" t="inlineStr">
        <is>
          <t>Описание преимущества</t>
        </is>
      </c>
    </row>
    <row r="283">
      <c r="A283" s="27" t="inlineStr">
        <is>
          <t>ax_03</t>
        </is>
      </c>
      <c r="B283" s="112" t="inlineStr">
        <is>
          <t>Форма · блок оплаты (paywall)</t>
        </is>
      </c>
      <c r="C283" s="113" t="inlineStr">
        <is>
          <t>Точка безубыточности: ниже неё вы работаете себе в убыток. Спокойный ответ на просьбу о скидке</t>
        </is>
      </c>
      <c r="H283" s="297" t="inlineStr">
        <is>
          <t>УДАЛЕНО из HTML: перенесено из анкеты в части/предварительный_отчёт.html 10.08.2026</t>
        </is>
      </c>
    </row>
    <row r="284">
      <c r="A284" s="3" t="inlineStr">
        <is>
          <t>Заголовок блока о нас</t>
        </is>
      </c>
    </row>
    <row r="285">
      <c r="A285" s="27" t="inlineStr">
        <is>
          <t>nh_01</t>
        </is>
      </c>
      <c r="B285" s="112" t="inlineStr">
        <is>
          <t>Форма · блок оплаты (paywall)</t>
        </is>
      </c>
      <c r="C285" s="113" t="inlineStr">
        <is>
          <t>Зачем мы это сделали</t>
        </is>
      </c>
      <c r="H285" s="297" t="inlineStr">
        <is>
          <t>УДАЛЕНО из HTML: перенесено из анкеты в части/предварительный_отчёт.html 10.08.2026</t>
        </is>
      </c>
    </row>
    <row r="286">
      <c r="A286" s="3" t="inlineStr">
        <is>
          <t>Текст блока о нас</t>
        </is>
      </c>
    </row>
    <row r="287">
      <c r="A287" s="27" t="inlineStr">
        <is>
          <t>note_01</t>
        </is>
      </c>
      <c r="B287" s="112" t="inlineStr">
        <is>
          <t>Форма · блок оплаты (paywall)</t>
        </is>
      </c>
      <c r="C287" s="113" t="inlineStr">
        <is>
          <t>Мы сами работаем на себя и знаем, как это бывает: берёшь заказ, вроде бы неплохие деньги, а к концу месяца их нет. Потому что за кадром остались часы обработки, переписка, продвижение и техника, которая изнашивается. Этот калькулятор считает то, что обычно не считают, — и показывает честную цену вашего времени.</t>
        </is>
      </c>
      <c r="H287" s="297" t="inlineStr">
        <is>
          <t>УДАЛЕНО из HTML: перенесено из анкеты в части/предварительный_отчёт.html 10.08.2026</t>
        </is>
      </c>
    </row>
    <row r="288">
      <c r="A288" s="3" t="inlineStr">
        <is>
          <t>Заголовок блока о нас</t>
        </is>
      </c>
    </row>
    <row r="289">
      <c r="A289" s="27" t="inlineStr">
        <is>
          <t>nh_02</t>
        </is>
      </c>
      <c r="B289" s="112" t="inlineStr">
        <is>
          <t>Форма · блок оплаты (paywall)</t>
        </is>
      </c>
      <c r="C289" s="113" t="inlineStr">
        <is>
          <t>Что даёт ваша поддержка</t>
        </is>
      </c>
      <c r="H289" s="297" t="inlineStr">
        <is>
          <t>УДАЛЕНО из HTML: перенесено из анкеты в части/предварительный_отчёт.html 10.08.2026</t>
        </is>
      </c>
    </row>
    <row r="290">
      <c r="A290" s="3" t="inlineStr">
        <is>
          <t>Текст блока о нас</t>
        </is>
      </c>
    </row>
    <row r="291">
      <c r="A291" s="27" t="inlineStr">
        <is>
          <t>note_02</t>
        </is>
      </c>
      <c r="B291" s="112" t="inlineStr">
        <is>
          <t>Форма · блок оплаты (paywall)</t>
        </is>
      </c>
      <c r="C291" s="113" t="inlineStr">
        <is>
          <t>Калькулятор бесплатный и таким останется. Каждая оплата для нас — сигнал, что он действительно нужен и мы делаем полезное дело. Она же защищает сервис от ботов и даёт возможность развивать его дальше: добавлять расчёты, форматы и профессии. Спасибо, что поддерживаете.</t>
        </is>
      </c>
      <c r="H291" s="297" t="inlineStr">
        <is>
          <t>УДАЛЕНО из HTML: перенесено из анкеты в части/предварительный_отчёт.html 10.08.2026</t>
        </is>
      </c>
    </row>
    <row r="292">
      <c r="A292" s="3" t="inlineStr">
        <is>
          <t>Опрос: заголовок</t>
        </is>
      </c>
    </row>
    <row r="293">
      <c r="A293" s="27" t="inlineStr">
        <is>
          <t>ph_01</t>
        </is>
      </c>
      <c r="B293" t="inlineStr">
        <is>
          <t>Форма · опрос</t>
        </is>
      </c>
      <c r="C293" t="inlineStr">
        <is>
          <t>Расскажите, что вам нужно ещё</t>
        </is>
      </c>
      <c r="H293" s="297" t="inlineStr">
        <is>
          <t>УДАЛЕНО из HTML: перенесено из анкеты в части/предварительный_отчёт.html 10.08.2026</t>
        </is>
      </c>
    </row>
    <row r="294">
      <c r="A294" s="27" t="inlineStr">
        <is>
          <t>ph_02</t>
        </is>
      </c>
      <c r="B294" s="112" t="inlineStr">
        <is>
          <t>Форма · опрос</t>
        </is>
      </c>
      <c r="C294" s="113" t="inlineStr">
        <is>
          <t>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c r="H294" s="297" t="inlineStr">
        <is>
          <t>УДАЛЕНО из HTML: перенесено из анкеты в части/предварительный_отчёт.html 10.08.2026</t>
        </is>
      </c>
    </row>
    <row r="295">
      <c r="A295" s="3" t="inlineStr">
        <is>
          <t>Опрос: пункт</t>
        </is>
      </c>
    </row>
    <row r="296">
      <c r="A296" s="27" t="inlineStr">
        <is>
          <t>pi_01</t>
        </is>
      </c>
      <c r="B296" s="228" t="inlineStr">
        <is>
          <t>НЕ ИСПОЛЬЗУЕТСЯ</t>
        </is>
      </c>
      <c r="C296" s="143" t="inlineStr">
        <is>
          <t>УДАЛЕНО из HTML: Калькулятор личного бюджета</t>
        </is>
      </c>
    </row>
    <row r="297">
      <c r="A297" s="27" t="inlineStr">
        <is>
          <t>pi_01d</t>
        </is>
      </c>
      <c r="B297" s="228" t="inlineStr">
        <is>
          <t>НЕ ИСПОЛЬЗУЕТСЯ</t>
        </is>
      </c>
      <c r="C297" s="143" t="inlineStr">
        <is>
          <t>УДАЛЕНО из HTML: сколько нужно зарабатывать, чтобы жить, а не выживать</t>
        </is>
      </c>
    </row>
    <row r="298">
      <c r="A298" s="27" t="inlineStr">
        <is>
          <t>pi_02</t>
        </is>
      </c>
      <c r="B298" s="228" t="inlineStr">
        <is>
          <t>НЕ ИСПОЛЬЗУЕТСЯ</t>
        </is>
      </c>
      <c r="C298" s="143" t="inlineStr">
        <is>
          <t>УДАЛЕНО из HTML: Прайс и счета прямо здесь</t>
        </is>
      </c>
    </row>
    <row r="299">
      <c r="A299" s="27" t="inlineStr">
        <is>
          <t>pi_02d</t>
        </is>
      </c>
      <c r="B299" s="228" t="inlineStr">
        <is>
          <t>НЕ ИСПОЛЬЗУЕТСЯ</t>
        </is>
      </c>
      <c r="C299" s="143" t="inlineStr">
        <is>
          <t>УДАЛЕНО из HTML: сформировать прайс-лист и выставить счёт клиенту</t>
        </is>
      </c>
    </row>
    <row r="300">
      <c r="A300" s="27" t="inlineStr">
        <is>
          <t>pi_03</t>
        </is>
      </c>
      <c r="B300" s="228" t="inlineStr">
        <is>
          <t>НЕ ИСПОЛЬЗУЕТСЯ</t>
        </is>
      </c>
      <c r="C300" s="143" t="inlineStr">
        <is>
          <t>УДАЛЕНО из HTML: Приложение на телефон</t>
        </is>
      </c>
    </row>
    <row r="301">
      <c r="A301" s="27" t="inlineStr">
        <is>
          <t>pi_03d</t>
        </is>
      </c>
      <c r="B301" s="228" t="inlineStr">
        <is>
          <t>НЕ ИСПОЛЬЗУЕТСЯ</t>
        </is>
      </c>
      <c r="C301" s="143" t="inlineStr">
        <is>
          <t>УДАЛЕНО из HTML: чтобы посчитать цену прямо на переговорах</t>
        </is>
      </c>
    </row>
    <row r="302">
      <c r="A302" s="27" t="inlineStr">
        <is>
          <t>pi_04</t>
        </is>
      </c>
      <c r="B302" s="228" t="inlineStr">
        <is>
          <t>НЕ ИСПОЛЬЗУЕТСЯ</t>
        </is>
      </c>
      <c r="C302" s="143" t="inlineStr">
        <is>
          <t>УДАЛЕНО из HTML: Своя идея</t>
        </is>
      </c>
    </row>
    <row r="303">
      <c r="A303" s="27" t="inlineStr">
        <is>
          <t>pi_04d</t>
        </is>
      </c>
      <c r="B303" s="228" t="inlineStr">
        <is>
          <t>НЕ ИСПОЛЬЗУЕТСЯ</t>
        </is>
      </c>
      <c r="C303" s="143" t="inlineStr">
        <is>
          <t>УДАЛЕНО из HTML: напишите, чего не хватает именно вам</t>
        </is>
      </c>
    </row>
    <row r="304">
      <c r="A304" s="27" t="inlineStr">
        <is>
          <t>pi_btn</t>
        </is>
      </c>
      <c r="B304" t="inlineStr">
        <is>
          <t>Форма · подписка</t>
        </is>
      </c>
      <c r="C304" t="inlineStr">
        <is>
          <t>Отправить</t>
        </is>
      </c>
      <c r="H304" s="297" t="inlineStr">
        <is>
          <t>УДАЛЕНО из HTML: перенесено из анкеты в части/предварительный_отчёт.html 10.08.2026</t>
        </is>
      </c>
    </row>
    <row r="305">
      <c r="A305" s="27" t="inlineStr">
        <is>
          <t>pi_ok</t>
        </is>
      </c>
      <c r="B305" s="228" t="inlineStr">
        <is>
          <t>НЕ ИСПОЛЬЗУЕТСЯ</t>
        </is>
      </c>
      <c r="C305" s="143" t="inlineStr">
        <is>
          <t>УДАЛЕНО из HTML: —</t>
        </is>
      </c>
    </row>
    <row r="306">
      <c r="A306" s="3" t="inlineStr">
        <is>
          <t>Подпись над отчётом</t>
        </is>
      </c>
    </row>
    <row r="307">
      <c r="A307" s="27" t="inlineStr">
        <is>
          <t>lt_01</t>
        </is>
      </c>
      <c r="B307" s="228" t="inlineStr">
        <is>
          <t>НЕ ИСПОЛЬЗУЕТСЯ</t>
        </is>
      </c>
      <c r="C307" s="143" t="inlineStr">
        <is>
          <t>УДАЛЕНО из HTML: —</t>
        </is>
      </c>
    </row>
    <row r="308">
      <c r="A308" s="3" t="inlineStr">
        <is>
          <t>Заголовок блока</t>
        </is>
      </c>
    </row>
    <row r="309">
      <c r="A309" s="27" t="inlineStr">
        <is>
          <t>h2_16</t>
        </is>
      </c>
      <c r="B309" s="112" t="inlineStr">
        <is>
          <t>Форма · размытое превью отчёта</t>
        </is>
      </c>
      <c r="C309" s="113" t="inlineStr">
        <is>
          <t>Куда уходит каждый час</t>
        </is>
      </c>
      <c r="H309" s="297" t="inlineStr">
        <is>
          <t>УДАЛЕНО из HTML: блок предварительного отчёта убран из анкеты 10.08.2026</t>
        </is>
      </c>
    </row>
    <row r="310">
      <c r="A310" s="3" t="inlineStr">
        <is>
          <t>Пояснение под заголовком</t>
        </is>
      </c>
    </row>
    <row r="311">
      <c r="A311" s="27" t="inlineStr">
        <is>
          <t>hint_10</t>
        </is>
      </c>
      <c r="B311" s="112" t="inlineStr">
        <is>
          <t>Форма · размытое превью отчёта</t>
        </is>
      </c>
      <c r="C311" s="113" t="inlineStr">
        <is>
          <t>Сколько нужно брать, сколько берёте сейчас и минимум без убытка</t>
        </is>
      </c>
      <c r="H311" s="297" t="inlineStr">
        <is>
          <t>УДАЛЕНО из HTML: блок предварительного отчёта убран из анкеты 10.08.2026</t>
        </is>
      </c>
    </row>
    <row r="312">
      <c r="A312" s="3" t="inlineStr">
        <is>
          <t>Заголовок блока</t>
        </is>
      </c>
    </row>
    <row r="313">
      <c r="A313" s="27" t="inlineStr">
        <is>
          <t>h2_17</t>
        </is>
      </c>
      <c r="B313" s="112" t="inlineStr">
        <is>
          <t>Форма · размытое превью отчёта</t>
        </is>
      </c>
      <c r="C313" s="113" t="inlineStr">
        <is>
          <t>За какие роли вы это заработали</t>
        </is>
      </c>
      <c r="H313" s="297" t="inlineStr">
        <is>
          <t>УДАЛЕНО из HTML: блок предварительного отчёта убран из анкеты 10.08.2026</t>
        </is>
      </c>
    </row>
    <row r="314">
      <c r="A314" s="3" t="inlineStr">
        <is>
          <t>Пояснение под заголовком</t>
        </is>
      </c>
    </row>
    <row r="315">
      <c r="A315" s="27" t="inlineStr">
        <is>
          <t>hint_11</t>
        </is>
      </c>
      <c r="B315" s="112" t="inlineStr">
        <is>
          <t>Форма · размытое превью отчёта</t>
        </is>
      </c>
      <c r="C315" s="113" t="inlineStr">
        <is>
          <t>Фотографом вы работаете меньше всего — основное время уходит на остальное</t>
        </is>
      </c>
      <c r="H315" s="297" t="inlineStr">
        <is>
          <t>УДАЛЕНО из HTML: блок предварительного отчёта убран из анкеты 10.08.2026</t>
        </is>
      </c>
    </row>
    <row r="316">
      <c r="A316" s="3" t="inlineStr">
        <is>
          <t>Заголовок колонки</t>
        </is>
      </c>
    </row>
    <row r="317">
      <c r="A317" s="27" t="inlineStr">
        <is>
          <t>th_25</t>
        </is>
      </c>
      <c r="B317" s="112" t="inlineStr">
        <is>
          <t>Форма · размытое превью отчёта</t>
        </is>
      </c>
      <c r="C317" s="113" t="inlineStr">
        <is>
          <t>РольЧасов в год
Часов на проект₽ в год₽ с часа съёмки</t>
        </is>
      </c>
      <c r="H317" s="297" t="inlineStr">
        <is>
          <t>УДАЛЕНО из HTML: блок предварительного отчёта убран из анкеты 10.08.2026</t>
        </is>
      </c>
    </row>
    <row r="318">
      <c r="A318" s="27" t="inlineStr">
        <is>
          <t>th_26</t>
        </is>
      </c>
      <c r="B318" t="inlineStr">
        <is>
          <t>Форма · вопросы</t>
        </is>
      </c>
      <c r="C318" t="inlineStr">
        <is>
          <t>Часов в год</t>
        </is>
      </c>
      <c r="H318" s="297" t="inlineStr">
        <is>
          <t>УДАЛЕНО из HTML: блок предварительного отчёта убран из анкеты 10.08.2026</t>
        </is>
      </c>
    </row>
    <row r="319">
      <c r="A319" s="27" t="inlineStr">
        <is>
          <t>th_27</t>
        </is>
      </c>
      <c r="B319" s="112" t="inlineStr">
        <is>
          <t>Форма · размытое превью отчёта</t>
        </is>
      </c>
      <c r="C319" s="113" t="inlineStr">
        <is>
          <t>Часов на проект</t>
        </is>
      </c>
      <c r="H319" s="297" t="inlineStr">
        <is>
          <t>УДАЛЕНО из HTML: блок предварительного отчёта убран из анкеты 10.08.2026</t>
        </is>
      </c>
    </row>
    <row r="320">
      <c r="A320" s="3" t="inlineStr">
        <is>
          <t>Заголовок блока</t>
        </is>
      </c>
    </row>
    <row r="321">
      <c r="A321" s="27" t="inlineStr">
        <is>
          <t>h2_18</t>
        </is>
      </c>
      <c r="B321" t="inlineStr">
        <is>
          <t>Форма · краткий результат</t>
        </is>
      </c>
      <c r="C321" t="inlineStr">
        <is>
          <t>Что это значит</t>
        </is>
      </c>
      <c r="H321" s="297" t="inlineStr">
        <is>
          <t>УДАЛЕНО из HTML: блок предварительного отчёта убран из анкеты 10.08.2026</t>
        </is>
      </c>
    </row>
    <row r="322">
      <c r="A322" s="27" t="inlineStr">
        <is>
          <t>h2_19b</t>
        </is>
      </c>
      <c r="B322" s="112" t="inlineStr">
        <is>
          <t>Форма · размытое превью отчёта</t>
        </is>
      </c>
      <c r="C322" s="113" t="inlineStr">
        <is>
          <t>Сетка цен по объёму</t>
        </is>
      </c>
      <c r="H322" s="297" t="inlineStr">
        <is>
          <t>УДАЛЕНО из HTML: блок предварительного отчёта убран из анкеты 10.08.2026</t>
        </is>
      </c>
    </row>
    <row r="323">
      <c r="A323" s="3" t="inlineStr">
        <is>
          <t>Пояснение под заголовком</t>
        </is>
      </c>
    </row>
    <row r="324">
      <c r="A324" s="27" t="inlineStr">
        <is>
          <t>hint_19b</t>
        </is>
      </c>
      <c r="B324" s="112" t="inlineStr">
        <is>
          <t>Форма · размытое превью отчёта</t>
        </is>
      </c>
      <c r="C324" s="113" t="inlineStr">
        <is>
          <t>Чем длиннее съёмка, тем дешевле час — но не за счёт вашего дохода, а за счёт накладных</t>
        </is>
      </c>
      <c r="H324" s="297" t="inlineStr">
        <is>
          <t>УДАЛЕНО из HTML: блок предварительного отчёта убран из анкеты 10.08.2026</t>
        </is>
      </c>
    </row>
    <row r="325">
      <c r="A325" s="3" t="inlineStr">
        <is>
          <t>Заголовок колонки</t>
        </is>
      </c>
    </row>
    <row r="326">
      <c r="A326" s="27" t="inlineStr">
        <is>
          <t>th_01</t>
        </is>
      </c>
      <c r="B326" s="112" t="inlineStr">
        <is>
          <t>Форма · вопросы анкеты</t>
        </is>
      </c>
      <c r="C326" s="113" t="inlineStr">
        <is>
          <t>Длительность съёмкиЦена съёмки
Цена часаСкидка от базовой
Почему цена часа падает</t>
        </is>
      </c>
    </row>
    <row r="327">
      <c r="A327" s="27" t="inlineStr">
        <is>
          <t>th_02</t>
        </is>
      </c>
      <c r="B327" s="112" t="inlineStr">
        <is>
          <t>Форма · вопросы</t>
        </is>
      </c>
      <c r="C327" s="113" t="inlineStr">
        <is>
          <t>Стоимость</t>
        </is>
      </c>
    </row>
    <row r="328">
      <c r="A328" s="27" t="inlineStr">
        <is>
          <t>th_03</t>
        </is>
      </c>
      <c r="B328" t="inlineStr">
        <is>
          <t>Форма · вопросы</t>
        </is>
      </c>
      <c r="C328" t="inlineStr">
        <is>
          <t>Срок службы</t>
        </is>
      </c>
    </row>
    <row r="329">
      <c r="A329" s="27" t="inlineStr">
        <is>
          <t>th_04</t>
        </is>
      </c>
      <c r="B329" s="112" t="inlineStr">
        <is>
          <t>Форма · вопросы анкеты</t>
        </is>
      </c>
      <c r="C329" s="113" t="inlineStr">
        <is>
          <t>ПозицияСтоимость
Срок службы
+ Добавить позицию</t>
        </is>
      </c>
    </row>
    <row r="330">
      <c r="A330" s="3" t="inlineStr">
        <is>
          <t>Заголовок блока</t>
        </is>
      </c>
    </row>
    <row r="331">
      <c r="A331" s="27" t="inlineStr">
        <is>
          <t>h2_19</t>
        </is>
      </c>
      <c r="B331" s="112" t="inlineStr">
        <is>
          <t>Форма · размытое превью отчёта</t>
        </is>
      </c>
      <c r="C331" s="113" t="inlineStr">
        <is>
          <t>Ваша неделя</t>
        </is>
      </c>
      <c r="H331" s="297" t="inlineStr">
        <is>
          <t>УДАЛЕНО из HTML: блок предварительного отчёта убран из анкеты 10.08.2026</t>
        </is>
      </c>
    </row>
    <row r="332">
      <c r="A332" s="3" t="inlineStr">
        <is>
          <t>Пояснение под заголовком</t>
        </is>
      </c>
    </row>
    <row r="333">
      <c r="A333" s="27" t="inlineStr">
        <is>
          <t>hint_12</t>
        </is>
      </c>
      <c r="B333" t="inlineStr">
        <is>
          <t>Форма · подсказки</t>
        </is>
      </c>
      <c r="C333" t="inlineStr">
        <is>
          <t>Пять рабочих дней, с 10:00 до 19:00. Каждый квадрат — один час</t>
        </is>
      </c>
      <c r="H333" s="297" t="inlineStr">
        <is>
          <t>УДАЛЕНО из HTML: блок предварительного отчёта убран из анкеты 10.08.2026</t>
        </is>
      </c>
    </row>
    <row r="334">
      <c r="C334" s="229" t="n"/>
    </row>
    <row r="335">
      <c r="A335" s="3" t="inlineStr">
        <is>
          <t>Ценник и подписка (новое)</t>
        </is>
      </c>
    </row>
    <row r="336">
      <c r="A336" s="27" t="inlineStr">
        <is>
          <t>why_01</t>
        </is>
      </c>
      <c r="B336" s="112" t="inlineStr">
        <is>
          <t>Форма · блок оплаты (paywall)</t>
        </is>
      </c>
      <c r="C336" s="113" t="inlineStr">
        <is>
          <t>Цена по вашей реферальной ссылке — для тех, кто пришёл от друга или из нашего блога</t>
        </is>
      </c>
      <c r="H336" s="297" t="inlineStr">
        <is>
          <t>УДАЛЕНО из HTML: перенесено из анкеты в части/предварительный_отчёт.html 10.08.2026</t>
        </is>
      </c>
    </row>
    <row r="337">
      <c r="A337" s="27" t="inlineStr">
        <is>
          <t>s2_01</t>
        </is>
      </c>
      <c r="B337" s="112" t="inlineStr">
        <is>
          <t>Форма · подписка на email</t>
        </is>
      </c>
      <c r="C337" s="113" t="inlineStr">
        <is>
          <t>Хотите получать рассылку?</t>
        </is>
      </c>
      <c r="H337" s="297" t="inlineStr">
        <is>
          <t>УДАЛЕНО из HTML: перенесено из анкеты в части/предварительный_отчёт.html 10.08.2026</t>
        </is>
      </c>
    </row>
    <row r="338">
      <c r="A338" s="27" t="inlineStr">
        <is>
          <t>s2_02</t>
        </is>
      </c>
      <c r="B338" s="112" t="inlineStr">
        <is>
          <t>Форма · подписка на email</t>
        </is>
      </c>
      <c r="C338" s="113" t="inlineStr">
        <is>
          <t>Напишем, когда выйдет то, что вы отметили. Без спама, отписка в один клик.</t>
        </is>
      </c>
      <c r="H338" s="297" t="inlineStr">
        <is>
          <t>УДАЛЕНО из HTML: перенесено из анкеты в части/предварительный_отчёт.html 10.08.2026</t>
        </is>
      </c>
    </row>
    <row r="339">
      <c r="A339" s="27" t="inlineStr">
        <is>
          <t>s2_btn</t>
        </is>
      </c>
      <c r="B339" s="112" t="inlineStr">
        <is>
          <t>Форма · подписка на email</t>
        </is>
      </c>
      <c r="C339" s="113" t="inlineStr">
        <is>
          <t>Подписаться</t>
        </is>
      </c>
      <c r="H339" s="297" t="inlineStr">
        <is>
          <t>УДАЛЕНО из HTML: перенесено из анкеты в части/предварительный_отчёт.html 10.08.2026</t>
        </is>
      </c>
    </row>
    <row r="340">
      <c r="A340" s="27" t="inlineStr">
        <is>
          <t>s2_ok</t>
        </is>
      </c>
      <c r="B340" s="112" t="inlineStr">
        <is>
          <t>Форма · подписка на email</t>
        </is>
      </c>
      <c r="C340" s="113" t="inlineStr">
        <is>
          <t>Готово! Спасибо, что остаётесь с нами.</t>
        </is>
      </c>
      <c r="H340" s="297" t="inlineStr">
        <is>
          <t>УДАЛЕНО из HTML: перенесено из анкеты в части/предварительный_отчёт.html 10.08.2026</t>
        </is>
      </c>
    </row>
    <row r="341">
      <c r="A341" s="27" t="inlineStr">
        <is>
          <t>pi_ph</t>
        </is>
      </c>
      <c r="B341" t="inlineStr">
        <is>
          <t>Форма · подписка</t>
        </is>
      </c>
      <c r="H341" s="297" t="inlineStr">
        <is>
          <t>НЕ ИСПОЛЬЗУЕТСЯ в текущей вёрстке; текст был утерян при объединении ячеек</t>
        </is>
      </c>
    </row>
    <row r="342">
      <c r="C342" s="229" t="n"/>
    </row>
    <row r="343">
      <c r="A343" s="3" t="inlineStr">
        <is>
          <t>Логотип</t>
        </is>
      </c>
    </row>
    <row r="344">
      <c r="A344" s="27" t="inlineStr">
        <is>
          <t>bt_01</t>
        </is>
      </c>
      <c r="B344" s="112" t="inlineStr">
        <is>
          <t>Форма · шапка</t>
        </is>
      </c>
      <c r="C344" s="113" t="inlineStr">
        <is>
          <t>счётикс</t>
        </is>
      </c>
      <c r="H344" s="297" t="inlineStr">
        <is>
          <t>УДАЛЕНО из HTML: слово «счётикс» в знаке выводится без ключа — как в отчёте, 10.08.2026</t>
        </is>
      </c>
    </row>
    <row r="345">
      <c r="A345" s="27" t="inlineStr">
        <is>
          <t>bs_01</t>
        </is>
      </c>
      <c r="B345" s="228" t="inlineStr">
        <is>
          <t>НЕ ИСПОЛЬЗУЕТСЯ</t>
        </is>
      </c>
      <c r="C345" s="143" t="inlineStr">
        <is>
          <t>УДАЛЕНО из HTML: —</t>
        </is>
      </c>
    </row>
    <row r="346">
      <c r="A346" s="27" t="inlineStr">
        <is>
          <t>redo_01</t>
        </is>
      </c>
      <c r="B346" s="112" t="inlineStr">
        <is>
          <t>Форма · краткий результат</t>
        </is>
      </c>
      <c r="C346" s="113" t="inlineStr">
        <is>
          <t>Изменить введённые данные</t>
        </is>
      </c>
      <c r="H346" s="297" t="inlineStr">
        <is>
          <t>УДАЛЕНО из HTML: перенесено из анкеты в части/предварительный_отчёт.html 10.08.2026</t>
        </is>
      </c>
    </row>
    <row r="347">
      <c r="A347" s="27" t="inlineStr">
        <is>
          <t>own_02</t>
        </is>
      </c>
      <c r="B347" t="inlineStr">
        <is>
          <t>Форма · подсказки</t>
        </is>
      </c>
      <c r="C347"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row>
    <row r="348">
      <c r="C348" s="229" t="n"/>
    </row>
    <row r="349">
      <c r="A349" s="3" t="inlineStr">
        <is>
          <t>ПОЛНЫЙ ОТЧЁТ (report.html)</t>
        </is>
      </c>
    </row>
    <row r="350">
      <c r="A350" s="27" t="inlineStr">
        <is>
          <t>rh_01</t>
        </is>
      </c>
      <c r="B350" s="112" t="inlineStr">
        <is>
          <t>Форма и отчёт · шапка</t>
        </is>
      </c>
      <c r="C350" s="113" t="inlineStr">
        <is>
          <t>Юнит-экономика фотографа</t>
        </is>
      </c>
    </row>
    <row r="351">
      <c r="A351" s="27" t="inlineStr">
        <is>
          <t>rh_02</t>
        </is>
      </c>
      <c r="B351" s="112" t="inlineStr">
        <is>
          <t>Форма и отчёт · шапка</t>
        </is>
      </c>
      <c r="C351" s="113" t="inlineStr">
        <is>
          <t>Создано фотографами для фотографов на основе реального опыта.</t>
        </is>
      </c>
    </row>
    <row r="352">
      <c r="A352" s="27" t="inlineStr">
        <is>
          <t>rlb_01</t>
        </is>
      </c>
      <c r="B352" s="112" t="inlineStr">
        <is>
          <t>Полный отчёт</t>
        </is>
      </c>
      <c r="C352" s="113" t="inlineStr">
        <is>
          <t>Ваша ставка за час съёмки</t>
        </is>
      </c>
    </row>
    <row r="353">
      <c r="A353" s="27" t="inlineStr">
        <is>
          <t>rlb_02</t>
        </is>
      </c>
      <c r="B353" s="228" t="inlineStr">
        <is>
          <t>НЕ ИСПОЛЬЗУЕТСЯ</t>
        </is>
      </c>
      <c r="C353" s="143" t="inlineStr">
        <is>
          <t>УДАЛЕНО из HTML: подпись «за час съёмки» — единица теперь в самой цифре (₽/ч), под ней в скобках точное значение</t>
        </is>
      </c>
    </row>
    <row r="354">
      <c r="A354" s="27" t="inlineStr">
        <is>
          <t>rk_01</t>
        </is>
      </c>
      <c r="B354" s="112" t="inlineStr">
        <is>
          <t>Полный отчёт</t>
        </is>
      </c>
      <c r="C354" s="113" t="inlineStr">
        <is>
          <t>Всего расходов</t>
        </is>
      </c>
    </row>
    <row r="355">
      <c r="A355" s="27" t="inlineStr">
        <is>
          <t>rk_02</t>
        </is>
      </c>
      <c r="B355" s="112" t="inlineStr">
        <is>
          <t>Полный отчёт</t>
        </is>
      </c>
      <c r="C355" s="113" t="inlineStr">
        <is>
          <t>Общая выручка</t>
        </is>
      </c>
    </row>
    <row r="356">
      <c r="A356" s="27" t="inlineStr">
        <is>
          <t>rk_03</t>
        </is>
      </c>
      <c r="B356" s="112" t="inlineStr">
        <is>
          <t>Полный отчёт</t>
        </is>
      </c>
      <c r="C356" s="113" t="inlineStr">
        <is>
          <t>Ваш доход на руки</t>
        </is>
      </c>
    </row>
    <row r="357">
      <c r="A357" s="27" t="inlineStr">
        <is>
          <t>rh2_01</t>
        </is>
      </c>
      <c r="B357" s="112" t="inlineStr">
        <is>
          <t>Полный отчёт</t>
        </is>
      </c>
      <c r="C357" s="113" t="inlineStr">
        <is>
          <t>Как распределяется бюджет</t>
        </is>
      </c>
    </row>
    <row r="358">
      <c r="A358" s="27" t="inlineStr">
        <is>
          <t>rhi_01</t>
        </is>
      </c>
      <c r="B358" s="112" t="inlineStr">
        <is>
          <t>Полный отчёт</t>
        </is>
      </c>
      <c r="C358" s="113" t="inlineStr">
        <is>
          <t>Наглядная структура расходов, отчислений и вашей чистой прибыли на основе введённых данных</t>
        </is>
      </c>
    </row>
    <row r="359">
      <c r="A359" s="27" t="inlineStr">
        <is>
          <t>rh2_02</t>
        </is>
      </c>
      <c r="B359" s="112" t="inlineStr">
        <is>
          <t>Полный отчёт</t>
        </is>
      </c>
      <c r="C359" s="113" t="inlineStr">
        <is>
          <t>Три сценария вашей работы</t>
        </is>
      </c>
    </row>
    <row r="360">
      <c r="A360" s="27" t="inlineStr">
        <is>
          <t>rhi_02</t>
        </is>
      </c>
      <c r="B360" s="112" t="inlineStr">
        <is>
          <t>Полный отчёт</t>
        </is>
      </c>
      <c r="C360" s="113" t="inlineStr">
        <is>
          <t>Одна и та же загрузка при разной ставке часа. Разница только в цене — и в том, что остаётся вам</t>
        </is>
      </c>
    </row>
    <row r="361">
      <c r="A361" s="281" t="inlineStr">
        <is>
          <t>rh2_03</t>
        </is>
      </c>
      <c r="B361" s="282" t="inlineStr">
        <is>
          <t>НЕ ИСПОЛЬЗУЕТСЯ</t>
        </is>
      </c>
      <c r="C361" s="283" t="inlineStr">
        <is>
          <t>УДАЛЕНО из HTML (не используется в текущей вёрстке): За какие роли вы это заработали</t>
        </is>
      </c>
      <c r="D361" s="279" t="n"/>
      <c r="E361" s="279" t="n"/>
      <c r="F361" s="279" t="n"/>
      <c r="G361" s="279" t="n"/>
      <c r="H361" s="280" t="inlineStr">
        <is>
          <t>УДАЛЕНО из HTML: блок «Как считают обычно» убран 06.08.2026</t>
        </is>
      </c>
    </row>
    <row r="362">
      <c r="A362" s="281" t="inlineStr">
        <is>
          <t>rhi_03</t>
        </is>
      </c>
      <c r="B362" s="282" t="inlineStr">
        <is>
          <t>НЕ ИСПОЛЬЗУЕТСЯ</t>
        </is>
      </c>
      <c r="C362" s="283" t="inlineStr">
        <is>
          <t>УДАЛЕНО из HTML (не используется в текущей вёрстке): Внутри вашего дела живёт пять профессий. Вот сколько зарабатывает каждая</t>
        </is>
      </c>
      <c r="D362" s="279" t="n"/>
      <c r="E362" s="279" t="n"/>
      <c r="F362" s="279" t="n"/>
      <c r="G362" s="279" t="n"/>
      <c r="H362" s="280" t="inlineStr">
        <is>
          <t>УДАЛЕНО из HTML: блок «Как считают обычно» убран 06.08.2026</t>
        </is>
      </c>
    </row>
    <row r="363">
      <c r="A363" s="27" t="inlineStr">
        <is>
          <t>rth_01</t>
        </is>
      </c>
      <c r="B363" s="228" t="inlineStr">
        <is>
          <t>НЕ ИСПОЛЬЗУЕТСЯ</t>
        </is>
      </c>
      <c r="C363" s="143" t="inlineStr">
        <is>
          <t>УДАЛЕНО из HTML (не используется в текущей вёрстке): Роль</t>
        </is>
      </c>
    </row>
    <row r="364">
      <c r="A364" s="27" t="inlineStr">
        <is>
          <t>rth_02</t>
        </is>
      </c>
      <c r="B364" s="228" t="inlineStr">
        <is>
          <t>НЕ ИСПОЛЬЗУЕТСЯ</t>
        </is>
      </c>
      <c r="C364" s="143" t="inlineStr">
        <is>
          <t>УДАЛЕНО из HTML (не используется в текущей вёрстке): ₽ в месяц</t>
        </is>
      </c>
    </row>
    <row r="365">
      <c r="A365" s="27" t="inlineStr">
        <is>
          <t>rth_03</t>
        </is>
      </c>
      <c r="B365" s="228" t="inlineStr">
        <is>
          <t>НЕ ИСПОЛЬЗУЕТСЯ</t>
        </is>
      </c>
      <c r="C365" s="143" t="inlineStr">
        <is>
          <t>УДАЛЕНО из HTML (не используется в текущей вёрстке): ₽ за съёмку</t>
        </is>
      </c>
    </row>
    <row r="366">
      <c r="A366" s="27" t="inlineStr">
        <is>
          <t>rth_04</t>
        </is>
      </c>
      <c r="B366" s="228" t="inlineStr">
        <is>
          <t>НЕ ИСПОЛЬЗУЕТСЯ</t>
        </is>
      </c>
      <c r="C366" s="143" t="inlineStr">
        <is>
          <t>УДАЛЕНО из HTML (не используется в текущей вёрстке): Часов в день</t>
        </is>
      </c>
    </row>
    <row r="367">
      <c r="A367" s="27" t="inlineStr">
        <is>
          <t>rth_05</t>
        </is>
      </c>
      <c r="B367" s="228" t="inlineStr">
        <is>
          <t>НЕ ИСПОЛЬЗУЕТСЯ</t>
        </is>
      </c>
      <c r="C367" s="143" t="inlineStr">
        <is>
          <t>УДАЛЕНО из HTML (не используется в текущей вёрстке): ₽ с часа съёмки</t>
        </is>
      </c>
    </row>
    <row r="368">
      <c r="A368" s="27" t="inlineStr">
        <is>
          <t>rh2_04</t>
        </is>
      </c>
      <c r="B368" s="228" t="inlineStr">
        <is>
          <t>НЕ ИСПОЛЬЗУЕТСЯ</t>
        </is>
      </c>
      <c r="C368" s="143" t="inlineStr">
        <is>
          <t>УДАЛЕНО из HTML (не используется в текущей вёрстке): Куда уходят ваши деньги</t>
        </is>
      </c>
    </row>
    <row r="369">
      <c r="A369" s="27" t="inlineStr">
        <is>
          <t>rhi_04</t>
        </is>
      </c>
      <c r="B369" s="228" t="inlineStr">
        <is>
          <t>НЕ ИСПОЛЬЗУЕТСЯ</t>
        </is>
      </c>
      <c r="C369" s="143" t="inlineStr">
        <is>
          <t>УДАЛЕНО из HTML (не используется в текущей вёрстке): Один час съёмки в разрезе: сколько получаете вы и сколько уходит на всё остальное</t>
        </is>
      </c>
    </row>
    <row r="370">
      <c r="A370" s="27" t="inlineStr">
        <is>
          <t>rh2_05</t>
        </is>
      </c>
      <c r="B370" s="228" t="inlineStr">
        <is>
          <t>НЕ ИСПОЛЬЗУЕТСЯ</t>
        </is>
      </c>
      <c r="C370" s="143" t="inlineStr">
        <is>
          <t>УДАЛЕНО из HTML (не используется в текущей вёрстке): Сравнение с текущей ставкой</t>
        </is>
      </c>
    </row>
    <row r="371">
      <c r="A371" s="27" t="inlineStr">
        <is>
          <t>rhi_05</t>
        </is>
      </c>
      <c r="B371" s="228" t="inlineStr">
        <is>
          <t>НЕ ИСПОЛЬЗУЕТСЯ</t>
        </is>
      </c>
      <c r="C371" s="143" t="inlineStr">
        <is>
          <t>УДАЛЕНО из HTML (не используется в текущей вёрстке): Сколько вы получаете сейчас и сколько могли бы</t>
        </is>
      </c>
    </row>
    <row r="372">
      <c r="A372" s="27" t="inlineStr">
        <is>
          <t>rs_01</t>
        </is>
      </c>
      <c r="B372" s="228" t="inlineStr">
        <is>
          <t>НЕ ИСПОЛЬЗУЕТСЯ</t>
        </is>
      </c>
      <c r="C372" s="143" t="inlineStr">
        <is>
          <t>УДАЛЕНО из HTML (не используется в текущей вёрстке): Хотите получать</t>
        </is>
      </c>
    </row>
    <row r="373">
      <c r="A373" s="27" t="inlineStr">
        <is>
          <t>rs_02</t>
        </is>
      </c>
      <c r="B373" s="228" t="inlineStr">
        <is>
          <t>НЕ ИСПОЛЬЗУЕТСЯ</t>
        </is>
      </c>
      <c r="C373" s="143" t="inlineStr">
        <is>
          <t>УДАЛЕНО из HTML (не используется в текущей вёрстке): на руки каждый месяц, после всех расходов и налогов</t>
        </is>
      </c>
    </row>
    <row r="374">
      <c r="A374" s="27" t="inlineStr">
        <is>
          <t>rs_03</t>
        </is>
      </c>
      <c r="B374" s="228" t="inlineStr">
        <is>
          <t>НЕ ИСПОЛЬЗУЕТСЯ</t>
        </is>
      </c>
      <c r="C374" s="143" t="inlineStr">
        <is>
          <t>УДАЛЕНО из HTML (не используется в текущей вёрстке): Получаете сейчас</t>
        </is>
      </c>
    </row>
    <row r="375">
      <c r="A375" s="27" t="inlineStr">
        <is>
          <t>rs_04</t>
        </is>
      </c>
      <c r="B375" s="228" t="inlineStr">
        <is>
          <t>НЕ ИСПОЛЬЗУЕТСЯ</t>
        </is>
      </c>
      <c r="C375" s="143" t="inlineStr">
        <is>
          <t>УДАЛЕНО из HTML (не используется в текущей вёрстке): при вашей текущей ставке и той же загрузке</t>
        </is>
      </c>
    </row>
    <row r="376">
      <c r="A376" s="27" t="inlineStr">
        <is>
          <t>rh2_06</t>
        </is>
      </c>
      <c r="B376" s="228" t="inlineStr">
        <is>
          <t>НЕ ИСПОЛЬЗУЕТСЯ</t>
        </is>
      </c>
      <c r="C376" s="143" t="inlineStr">
        <is>
          <t>УДАЛЕНО из HTML (не используется в текущей вёрстке): Готовый прайс</t>
        </is>
      </c>
    </row>
    <row r="377">
      <c r="A377" s="27" t="inlineStr">
        <is>
          <t>rhi_06</t>
        </is>
      </c>
      <c r="B377" s="228" t="inlineStr">
        <is>
          <t>НЕ ИСПОЛЬЗУЕТСЯ</t>
        </is>
      </c>
      <c r="C377" s="143" t="inlineStr">
        <is>
          <t>УДАЛЕНО из HTML (не используется в текущей вёрстке): Скопируйте и отправьте клиенту. Чем длиннее съёмка, тем дешевле час — за счёт накладных, а не вашего дохода</t>
        </is>
      </c>
    </row>
    <row r="378">
      <c r="A378" s="27" t="inlineStr">
        <is>
          <t>rth_06</t>
        </is>
      </c>
      <c r="B378" s="228" t="inlineStr">
        <is>
          <t>НЕ ИСПОЛЬЗУЕТСЯ</t>
        </is>
      </c>
      <c r="C378" s="143" t="inlineStr">
        <is>
          <t>УДАЛЕНО из HTML (не используется в текущей вёрстке): Длительность съёмки</t>
        </is>
      </c>
    </row>
    <row r="379">
      <c r="A379" s="27" t="inlineStr">
        <is>
          <t>rth_07</t>
        </is>
      </c>
      <c r="B379" s="228" t="inlineStr">
        <is>
          <t>НЕ ИСПОЛЬЗУЕТСЯ</t>
        </is>
      </c>
      <c r="C379" s="143" t="inlineStr">
        <is>
          <t>УДАЛЕНО из HTML (не используется в текущей вёрстке): Цена съёмки</t>
        </is>
      </c>
    </row>
    <row r="380">
      <c r="A380" s="27" t="inlineStr">
        <is>
          <t>rth_08</t>
        </is>
      </c>
      <c r="B380" s="228" t="inlineStr">
        <is>
          <t>НЕ ИСПОЛЬЗУЕТСЯ</t>
        </is>
      </c>
      <c r="C380" s="143" t="inlineStr">
        <is>
          <t>УДАЛЕНО из HTML (не используется в текущей вёрстке): Цена часа</t>
        </is>
      </c>
    </row>
    <row r="381">
      <c r="A381" s="27" t="inlineStr">
        <is>
          <t>rth_09</t>
        </is>
      </c>
      <c r="B381" s="228" t="inlineStr">
        <is>
          <t>НЕ ИСПОЛЬЗУЕТСЯ</t>
        </is>
      </c>
      <c r="C381" s="143" t="inlineStr">
        <is>
          <t>УДАЛЕНО из HTML (не используется в текущей вёрстке): Скидка от базовой</t>
        </is>
      </c>
    </row>
    <row r="382">
      <c r="A382" s="27" t="inlineStr">
        <is>
          <t>rh2_07</t>
        </is>
      </c>
      <c r="B382" s="228" t="inlineStr">
        <is>
          <t>НЕ ИСПОЛЬЗУЕТСЯ</t>
        </is>
      </c>
      <c r="C382" s="143" t="inlineStr">
        <is>
          <t>УДАЛЕНО из HTML (не используется в текущей вёрстке): —</t>
        </is>
      </c>
    </row>
    <row r="383">
      <c r="A383" s="27" t="inlineStr">
        <is>
          <t>rhi_07</t>
        </is>
      </c>
      <c r="B383" s="228" t="inlineStr">
        <is>
          <t>НЕ ИСПОЛЬЗУЕТСЯ</t>
        </is>
      </c>
      <c r="C383" s="143" t="inlineStr">
        <is>
          <t>УДАЛЕНО из HTML (не используется в текущей вёрстке): —</t>
        </is>
      </c>
    </row>
    <row r="384">
      <c r="A384" s="281" t="inlineStr">
        <is>
          <t>rh2_08</t>
        </is>
      </c>
      <c r="B384" s="282" t="inlineStr">
        <is>
          <t>НЕ ИСПОЛЬЗУЕТСЯ</t>
        </is>
      </c>
      <c r="C384" s="283" t="inlineStr">
        <is>
          <t>УДАЛЕНО из HTML (не используется в текущей вёрстке): Минимум, ниже которого нельзя</t>
        </is>
      </c>
      <c r="D384" s="279" t="n"/>
      <c r="E384" s="279" t="n"/>
      <c r="F384" s="279" t="n"/>
      <c r="G384" s="279" t="n"/>
      <c r="H384" s="280" t="inlineStr">
        <is>
          <t>УДАЛЕНО из HTML: блок «Сколько людей в компании» убран 06.08.2026</t>
        </is>
      </c>
    </row>
    <row r="385">
      <c r="A385" s="281" t="inlineStr">
        <is>
          <t>rhi_08</t>
        </is>
      </c>
      <c r="B385" s="282" t="inlineStr">
        <is>
          <t>НЕ ИСПОЛЬЗУЕТСЯ</t>
        </is>
      </c>
      <c r="C385" s="283" t="inlineStr">
        <is>
          <t>УДАЛЕНО из HTML (не используется в текущей вёрстке): Точка безубыточности — здесь вы не зарабатываете, но и не доплачиваете</t>
        </is>
      </c>
      <c r="D385" s="279" t="n"/>
      <c r="E385" s="279" t="n"/>
      <c r="F385" s="279" t="n"/>
      <c r="G385" s="279" t="n"/>
      <c r="H385" s="280" t="inlineStr">
        <is>
          <t>УДАЛЕНО из HTML: блок «Сколько людей в компании» убран 06.08.2026</t>
        </is>
      </c>
    </row>
    <row r="386">
      <c r="A386" s="27" t="inlineStr">
        <is>
          <t>rmb_01</t>
        </is>
      </c>
      <c r="B386" s="112" t="inlineStr">
        <is>
          <t>Полный отчёт</t>
        </is>
      </c>
      <c r="C386" s="113" t="inlineStr">
        <is>
          <t>Точка безубыточности / Съёмка в ноль</t>
        </is>
      </c>
    </row>
    <row r="387">
      <c r="A387" s="27" t="inlineStr">
        <is>
          <t>rmb_02</t>
        </is>
      </c>
      <c r="B387" s="112" t="inlineStr">
        <is>
          <t>Полный отчёт</t>
        </is>
      </c>
      <c r="C387" s="113" t="inlineStr">
        <is>
          <t>Ставка часа</t>
        </is>
      </c>
      <c r="H387" s="297" t="inlineStr">
        <is>
          <t>УДАЛЕНО из HTML: дубль — те же цифры в третьем сценарии блока 05</t>
        </is>
      </c>
    </row>
    <row r="388">
      <c r="A388" s="27" t="inlineStr">
        <is>
          <t>rmb_03</t>
        </is>
      </c>
      <c r="B388" s="112" t="inlineStr">
        <is>
          <t>Полный отчёт</t>
        </is>
      </c>
      <c r="C388" s="113" t="inlineStr">
        <is>
          <t>Цена съёмки</t>
        </is>
      </c>
      <c r="H388" s="297" t="inlineStr">
        <is>
          <t>УДАЛЕНО из HTML: дубль — те же цифры в третьем сценарии блока 05</t>
        </is>
      </c>
    </row>
    <row r="389">
      <c r="A389" s="27" t="inlineStr">
        <is>
          <t>rmb_04</t>
        </is>
      </c>
      <c r="B389" s="112" t="inlineStr">
        <is>
          <t>Полный отчёт</t>
        </is>
      </c>
      <c r="C389" s="113" t="inlineStr">
        <is>
          <t>Главная ловушка в том, что эти расходы капают каждый месяц независимо от того, есть у вас заказы или нет. Из-за этого математика работает безжалостно: чем меньше съёмок удаётся найти, тем выше поднимается эта точка безубыточности, потому что вся аренда и подписки раскидываются на жалкие пару заказов.</t>
        </is>
      </c>
    </row>
    <row r="390">
      <c r="A390" s="27" t="inlineStr">
        <is>
          <t>rlg_01</t>
        </is>
      </c>
      <c r="B390" s="112" t="inlineStr">
        <is>
          <t>Полный отчёт</t>
        </is>
      </c>
      <c r="C390" s="113" t="inlineStr">
        <is>
          <t>Логистика в расчёт не входит</t>
        </is>
      </c>
    </row>
    <row r="391">
      <c r="A391" s="27" t="inlineStr">
        <is>
          <t>rh2_09</t>
        </is>
      </c>
      <c r="B391" s="112" t="inlineStr">
        <is>
          <t>Полный отчёт</t>
        </is>
      </c>
      <c r="C391" s="113" t="inlineStr">
        <is>
          <t>Как распределяется ваше время</t>
        </is>
      </c>
    </row>
    <row r="392">
      <c r="A392" s="27" t="inlineStr">
        <is>
          <t>rhi_09</t>
        </is>
      </c>
      <c r="B392" s="112" t="inlineStr">
        <is>
          <t>Полный отчёт</t>
        </is>
      </c>
      <c r="C392" s="113" t="inlineStr">
        <is>
          <t>Реальная структура рабочей недели: чтобы провести несколько часов на площадке, вы работаете полную пятидневку</t>
        </is>
      </c>
    </row>
    <row r="393">
      <c r="A393" s="27" t="inlineStr">
        <is>
          <t>rh2_10</t>
        </is>
      </c>
      <c r="B393" s="112" t="inlineStr">
        <is>
          <t>Полный отчёт</t>
        </is>
      </c>
      <c r="C393" s="113" t="inlineStr">
        <is>
          <t>Сколько людей делают это в компании</t>
        </is>
      </c>
    </row>
    <row r="394">
      <c r="A394" s="27" t="inlineStr">
        <is>
          <t>rhi_10</t>
        </is>
      </c>
      <c r="B394" s="112" t="inlineStr">
        <is>
          <t>Полный отчёт</t>
        </is>
      </c>
      <c r="C394" s="113" t="inlineStr">
        <is>
          <t>В студии фотограф только снимает и обрабатывает. Всё остальное делают другие сотрудники — а у вас это тоже ваша работа</t>
        </is>
      </c>
    </row>
    <row r="395">
      <c r="A395" s="27" t="inlineStr">
        <is>
          <t>rnm_01</t>
        </is>
      </c>
      <c r="B395" s="228" t="inlineStr">
        <is>
          <t>НЕ ИСПОЛЬЗУЕТСЯ</t>
        </is>
      </c>
      <c r="C395" s="143" t="inlineStr">
        <is>
          <t>УДАЛЕНО из HTML (не используется в текущей вёрстке): Работа фотографа</t>
        </is>
      </c>
    </row>
    <row r="396">
      <c r="A396" s="27" t="inlineStr">
        <is>
          <t>rnm_02</t>
        </is>
      </c>
      <c r="B396" s="228" t="inlineStr">
        <is>
          <t>НЕ ИСПОЛЬЗУЕТСЯ</t>
        </is>
      </c>
      <c r="C396" s="143" t="inlineStr">
        <is>
          <t>УДАЛЕНО из HTML (не используется в текущей вёрстке): то, за что вас наняли бы в студию</t>
        </is>
      </c>
    </row>
    <row r="397">
      <c r="A397" s="27" t="inlineStr">
        <is>
          <t>rnm_03</t>
        </is>
      </c>
      <c r="B397" s="228" t="inlineStr">
        <is>
          <t>НЕ ИСПОЛЬЗУЕТСЯ</t>
        </is>
      </c>
      <c r="C397" s="143" t="inlineStr">
        <is>
          <t>УДАЛЕНО из HTML (не используется в текущей вёрстке): часа в день — съёмка и обработка</t>
        </is>
      </c>
    </row>
    <row r="398">
      <c r="A398" s="27" t="inlineStr">
        <is>
          <t>rnm_04</t>
        </is>
      </c>
      <c r="B398" s="228" t="inlineStr">
        <is>
          <t>НЕ ИСПОЛЬЗУЕТСЯ</t>
        </is>
      </c>
      <c r="C398" s="143" t="inlineStr">
        <is>
          <t>УДАЛЕНО из HTML (не используется в текущей вёрстке): Работа работодателя</t>
        </is>
      </c>
    </row>
    <row r="399">
      <c r="A399" s="27" t="inlineStr">
        <is>
          <t>rnm_05</t>
        </is>
      </c>
      <c r="B399" s="228" t="inlineStr">
        <is>
          <t>НЕ ИСПОЛЬЗУЕТСЯ</t>
        </is>
      </c>
      <c r="C399" s="143" t="inlineStr">
        <is>
          <t>УДАЛЕНО из HTML (не используется в текущей вёрстке): это вы тоже делаете сами, бесплатно</t>
        </is>
      </c>
    </row>
    <row r="400">
      <c r="A400" s="27" t="inlineStr">
        <is>
          <t>rnm_06</t>
        </is>
      </c>
      <c r="B400" s="228" t="inlineStr">
        <is>
          <t>НЕ ИСПОЛЬЗУЕТСЯ</t>
        </is>
      </c>
      <c r="C400" s="143" t="inlineStr">
        <is>
          <t>УДАЛЕНО из HTML (не используется в текущей вёрстке): часа в день — продажи, реклама, учёт</t>
        </is>
      </c>
    </row>
    <row r="401">
      <c r="A401" s="27" t="inlineStr">
        <is>
          <t>rnm_07</t>
        </is>
      </c>
      <c r="B401" s="112" t="inlineStr">
        <is>
          <t>Полный отчёт</t>
        </is>
      </c>
      <c r="C401" s="113" t="inlineStr">
        <is>
          <t>Каждая из этих ролей в штате — отдельный человек с окладом. Работая на себя, вы закрываете их все, но оплачивается только съёмка. Поэтому ставка часа должна покрывать не один час с камерой, а весь рабочий день.</t>
        </is>
      </c>
    </row>
    <row r="402">
      <c r="A402" s="27" t="inlineStr">
        <is>
          <t>rh2_11</t>
        </is>
      </c>
      <c r="B402" s="112" t="inlineStr">
        <is>
          <t>Полный отчёт</t>
        </is>
      </c>
      <c r="C402" s="113" t="inlineStr">
        <is>
          <t>А если просто брать больше заказов?</t>
        </is>
      </c>
    </row>
    <row r="403">
      <c r="A403" s="27" t="inlineStr">
        <is>
          <t>rhi_11</t>
        </is>
      </c>
      <c r="B403" t="inlineStr">
        <is>
          <t>Полный отчёт</t>
        </is>
      </c>
      <c r="C403" t="inlineStr">
        <is>
          <t>Проверим: можно ли выйти на желаемый доход, не поднимая цену для заказчика, — только за счёт объёма работ</t>
        </is>
      </c>
    </row>
    <row r="404">
      <c r="C404" s="229" t="n"/>
    </row>
    <row r="405">
      <c r="A405" s="3" t="inlineStr">
        <is>
          <t>НАЛОГИ И ПРОДВИЖЕНИЕ</t>
        </is>
      </c>
    </row>
    <row r="406">
      <c r="A406" s="27" t="inlineStr">
        <is>
          <t>rh2_12</t>
        </is>
      </c>
      <c r="B406" s="112" t="inlineStr">
        <is>
          <t>Полный отчёт</t>
        </is>
      </c>
      <c r="C406" s="113" t="inlineStr">
        <is>
          <t>Ваш идеальный налоговый режим</t>
        </is>
      </c>
    </row>
    <row r="407">
      <c r="A407" s="27" t="inlineStr">
        <is>
          <t>rhi_12</t>
        </is>
      </c>
      <c r="B407" s="112" t="inlineStr">
        <is>
          <t>Полный отчёт</t>
        </is>
      </c>
      <c r="C407" s="113" t="inlineStr">
        <is>
          <t>Посчитали все семь режимов на ваших цифрах и подобрали тот, где вы отдадите меньше всего</t>
        </is>
      </c>
    </row>
    <row r="408">
      <c r="A408" s="27" t="inlineStr">
        <is>
          <t>rth_10</t>
        </is>
      </c>
      <c r="B408" s="112" t="inlineStr">
        <is>
          <t>Полный отчёт</t>
        </is>
      </c>
      <c r="C408" s="113" t="inlineStr">
        <is>
          <t>Режим</t>
        </is>
      </c>
    </row>
    <row r="409">
      <c r="A409" s="27" t="inlineStr">
        <is>
          <t>rth_11</t>
        </is>
      </c>
      <c r="B409" s="228" t="inlineStr">
        <is>
          <t>НЕ ИСПОЛЬЗУЕТСЯ</t>
        </is>
      </c>
      <c r="C409" s="143" t="inlineStr">
        <is>
          <t>УДАЛЕНО из HTML: колонка «Выручка в год» — раньше под каждый режим подбиралась своя выручка, теперь все режимы считаются на одной реальной выручке пользователя</t>
        </is>
      </c>
    </row>
    <row r="410">
      <c r="A410" s="27" t="inlineStr">
        <is>
          <t>rth_12</t>
        </is>
      </c>
      <c r="B410" s="112" t="inlineStr">
        <is>
          <t>Полный отчёт</t>
        </is>
      </c>
      <c r="C410" s="113" t="inlineStr">
        <is>
          <t>Налоги и взносы</t>
        </is>
      </c>
    </row>
    <row r="411">
      <c r="A411" s="27" t="inlineStr">
        <is>
          <t>rth_13</t>
        </is>
      </c>
      <c r="B411" s="112" t="inlineStr">
        <is>
          <t>Полный отчёт</t>
        </is>
      </c>
      <c r="C411" s="113" t="inlineStr">
        <is>
          <t>Нагрузка</t>
        </is>
      </c>
    </row>
    <row r="412">
      <c r="A412" s="27" t="inlineStr">
        <is>
          <t>rth_14</t>
        </is>
      </c>
      <c r="B412" s="228" t="inlineStr">
        <is>
          <t>НЕ ИСПОЛЬЗУЕТСЯ</t>
        </is>
      </c>
      <c r="C412" s="143" t="inlineStr">
        <is>
          <t>УДАЛЕНО из HTML: колонка «Ставка часа» — была производной от подобранной выручки, стала бессмысленной</t>
        </is>
      </c>
    </row>
    <row r="413">
      <c r="A413" s="27" t="inlineStr">
        <is>
          <t>rh2_13</t>
        </is>
      </c>
      <c r="B413" s="112" t="inlineStr">
        <is>
          <t>Полный отчёт</t>
        </is>
      </c>
      <c r="C413" s="113" t="inlineStr">
        <is>
          <t>Объясняйте клиенту, из чего складывается стоимость</t>
        </is>
      </c>
    </row>
    <row r="414">
      <c r="A414" s="27" t="inlineStr">
        <is>
          <t>rhi_13</t>
        </is>
      </c>
      <c r="B414" s="228" t="inlineStr">
        <is>
          <t>НЕ ИСПОЛЬЗУЕТСЯ</t>
        </is>
      </c>
      <c r="C414" s="143" t="inlineStr">
        <is>
          <t>УДАЛЕНО из HTML: подзаголовок про «клиент не видит всей картины» перенесён в блок-заключение (rfn_05)</t>
        </is>
      </c>
    </row>
    <row r="415">
      <c r="A415" s="27" t="inlineStr">
        <is>
          <t>rpm_01</t>
        </is>
      </c>
      <c r="B415" s="228" t="inlineStr">
        <is>
          <t>НЕ ИСПОЛЬЗУЕТСЯ</t>
        </is>
      </c>
      <c r="C415" s="143" t="inlineStr">
        <is>
          <t>УДАЛЕНО из HTML (не используется в текущей вёрстке): Диагноз из вашего же расчёта</t>
        </is>
      </c>
    </row>
    <row r="416">
      <c r="A416" s="27" t="inlineStr">
        <is>
          <t>rpm_02</t>
        </is>
      </c>
      <c r="B416" s="228" t="inlineStr">
        <is>
          <t>НЕ ИСПОЛЬЗУЕТСЯ</t>
        </is>
      </c>
      <c r="C416" s="143" t="inlineStr">
        <is>
          <t>УДАЛЕНО из HTML (не используется в текущей вёрстке): Начать сегодня</t>
        </is>
      </c>
    </row>
    <row r="417">
      <c r="A417" s="27" t="inlineStr">
        <is>
          <t>rpm_03</t>
        </is>
      </c>
      <c r="B417" s="228" t="inlineStr">
        <is>
          <t>НЕ ИСПОЛЬЗУЕТСЯ</t>
        </is>
      </c>
      <c r="C417" s="143" t="inlineStr">
        <is>
          <t>УДАЛЕНО из HTML (не используется в текущей вёрстке): Регулярно</t>
        </is>
      </c>
    </row>
    <row r="418">
      <c r="A418" s="27" t="inlineStr">
        <is>
          <t>rpm_04</t>
        </is>
      </c>
      <c r="B418" s="228" t="inlineStr">
        <is>
          <t>НЕ ИСПОЛЬЗУЕТСЯ</t>
        </is>
      </c>
      <c r="C418" s="143" t="inlineStr">
        <is>
          <t>УДАЛЕНО из HTML (не используется в текущей вёрстке): Когда пойдёт поток</t>
        </is>
      </c>
    </row>
    <row r="419">
      <c r="A419" s="27" t="inlineStr">
        <is>
          <t>rpm_05</t>
        </is>
      </c>
      <c r="B419" s="228" t="inlineStr">
        <is>
          <t>НЕ ИСПОЛЬЗУЕТСЯ</t>
        </is>
      </c>
      <c r="C419" s="143" t="inlineStr">
        <is>
          <t>УДАЛЕНО из HTML (не используется в текущей вёрстке): Почему про цену нужно говорить вслух</t>
        </is>
      </c>
    </row>
    <row r="420">
      <c r="A420" s="281" t="inlineStr">
        <is>
          <t>rpm_06</t>
        </is>
      </c>
      <c r="B420" s="289" t="inlineStr">
        <is>
          <t>Полный отчёт</t>
        </is>
      </c>
      <c r="C420" s="8" t="inlineStr">
        <is>
          <t>В эксперименте психолога Эллен Лангер людей пропускали без очереди к копиру втрое чаще, если они добавляли «потому что» и называли причину — даже пустяковую. Само наличие объяснения снимает сопротивление. С ценой так же: «стоит 19 000» вызывает торг, «стоит 19 000, потому что…» вызывает понимание.</t>
        </is>
      </c>
      <c r="D420" s="279" t="n"/>
      <c r="E420" s="279" t="n"/>
      <c r="F420" s="279" t="n"/>
      <c r="G420" s="279" t="n"/>
      <c r="H420" s="280" t="inlineStr">
        <is>
          <t>УДАЛЕНО из HTML 06.08.2026: эксперимент Лангер. Блок 08 пересобран коротко, cardFin убран как материал для соцсетей</t>
        </is>
      </c>
    </row>
    <row r="421">
      <c r="A421" s="27" t="inlineStr">
        <is>
          <t>rpm_07</t>
        </is>
      </c>
      <c r="B421" s="228" t="inlineStr">
        <is>
          <t>НЕ ИСПОЛЬЗУЕТСЯ</t>
        </is>
      </c>
      <c r="C421" s="143" t="inlineStr">
        <is>
          <t>УДАЛЕНО из HTML (не используется в текущей вёрстке): Пять тем, которые можно снять из этого отчёта</t>
        </is>
      </c>
    </row>
    <row r="422">
      <c r="A422" s="27" t="inlineStr">
        <is>
          <t>rh2_14</t>
        </is>
      </c>
      <c r="B422" s="228" t="inlineStr">
        <is>
          <t>НЕ ИСПОЛЬЗУЕТСЯ</t>
        </is>
      </c>
      <c r="C422" s="143" t="inlineStr">
        <is>
          <t>УДАЛЕНО из HTML (не используется в текущей вёрстке): Обычная неделя по часам</t>
        </is>
      </c>
    </row>
    <row r="423">
      <c r="A423" s="27" t="inlineStr">
        <is>
          <t>rhi_14</t>
        </is>
      </c>
      <c r="B423" s="228" t="inlineStr">
        <is>
          <t>НЕ ИСПОЛЬЗУЕТСЯ</t>
        </is>
      </c>
      <c r="C423" s="143" t="inlineStr">
        <is>
          <t>УДАЛЕНО из HTML (не используется в текущей вёрстке): Пять дней по восемь часов. Каждый квадрат — один час работы</t>
        </is>
      </c>
    </row>
    <row r="424">
      <c r="A424" s="27" t="inlineStr">
        <is>
          <t>rct_01</t>
        </is>
      </c>
      <c r="B424" s="112" t="inlineStr">
        <is>
          <t>Полный отчёт</t>
        </is>
      </c>
      <c r="C424" s="113" t="inlineStr">
        <is>
          <t>Готовый контент для вашего блога</t>
        </is>
      </c>
    </row>
    <row r="425">
      <c r="A425" s="27" t="inlineStr">
        <is>
          <t>rct_02</t>
        </is>
      </c>
      <c r="B425" s="112" t="inlineStr">
        <is>
          <t>Полный отчёт</t>
        </is>
      </c>
      <c r="C425" s="113" t="inlineStr">
        <is>
          <t>30 сценариев, которые снимают вопрос «а почему так дорого»</t>
        </is>
      </c>
    </row>
    <row r="426">
      <c r="A426" s="27" t="inlineStr">
        <is>
          <t>rct_03</t>
        </is>
      </c>
      <c r="B426" s="112" t="inlineStr">
        <is>
          <t>Полный отчёт</t>
        </is>
      </c>
      <c r="C426" s="113" t="inlineStr">
        <is>
          <t>Рассказывайте о работе спокойно и без оправданий — ценность становится очевидной раньше, чем встанет вопрос о цене.</t>
        </is>
      </c>
    </row>
    <row r="427">
      <c r="A427" s="281" t="inlineStr">
        <is>
          <t>rct_04</t>
        </is>
      </c>
      <c r="B427" s="288" t="inlineStr">
        <is>
          <t>Полный отчёт</t>
        </is>
      </c>
      <c r="C427" s="8" t="inlineStr">
        <is>
          <t>Рассказывайте о работе спокойно и без оправданий — ценность становится очевидной раньше, чем встанет вопрос о цене</t>
        </is>
      </c>
      <c r="D427" s="279" t="n"/>
      <c r="E427" s="279" t="n"/>
      <c r="F427" s="279" t="n"/>
      <c r="G427" s="279" t="n"/>
      <c r="H427" s="280" t="inlineStr">
        <is>
          <t>УДАЛЕНО из HTML 06.08.2026: подпись под кнопкой убрана, текст перенесён в описание над кнопкой</t>
        </is>
      </c>
    </row>
    <row r="428">
      <c r="A428" s="27" t="inlineStr">
        <is>
          <t>rpm_08</t>
        </is>
      </c>
      <c r="B428" s="228" t="inlineStr">
        <is>
          <t>НЕ ИСПОЛЬЗУЕТСЯ</t>
        </is>
      </c>
      <c r="C428" s="143" t="inlineStr">
        <is>
          <t>УДАЛЕНО из HTML (не используется в текущей вёрстке): Времени на продвижение</t>
        </is>
      </c>
    </row>
    <row r="429">
      <c r="A429" s="27" t="inlineStr">
        <is>
          <t>rpm_09</t>
        </is>
      </c>
      <c r="B429" s="228" t="inlineStr">
        <is>
          <t>НЕ ИСПОЛЬЗУЕТСЯ</t>
        </is>
      </c>
      <c r="C429" s="143" t="inlineStr">
        <is>
          <t>УДАЛЕНО из HTML (не используется в текущей вёрстке): часа в день вы заложили в расчёт</t>
        </is>
      </c>
    </row>
    <row r="430">
      <c r="A430" s="27" t="inlineStr">
        <is>
          <t>rpm_10</t>
        </is>
      </c>
      <c r="B430" s="228" t="inlineStr">
        <is>
          <t>НЕ ИСПОЛЬЗУЕТСЯ</t>
        </is>
      </c>
      <c r="C430" s="143" t="inlineStr">
        <is>
          <t>УДАЛЕНО из HTML (не используется в текущей вёрстке): Минимум для системной работы</t>
        </is>
      </c>
    </row>
    <row r="431">
      <c r="A431" s="27" t="inlineStr">
        <is>
          <t>rpm_11</t>
        </is>
      </c>
      <c r="B431" s="228" t="inlineStr">
        <is>
          <t>НЕ ИСПОЛЬЗУЕТСЯ</t>
        </is>
      </c>
      <c r="C431" s="143" t="inlineStr">
        <is>
          <t>УДАЛЕНО из HTML (не используется в текущей вёрстке): Денег на рекламу</t>
        </is>
      </c>
    </row>
    <row r="432">
      <c r="A432" s="27" t="inlineStr">
        <is>
          <t>rpm_12</t>
        </is>
      </c>
      <c r="B432" s="228" t="inlineStr">
        <is>
          <t>НЕ ИСПОЛЬЗУЕТСЯ</t>
        </is>
      </c>
      <c r="C432" s="143" t="inlineStr">
        <is>
          <t>УДАЛЕНО из HTML (не используется в текущей вёрстке): процентов выручки уходит на платные каналы</t>
        </is>
      </c>
    </row>
    <row r="433">
      <c r="A433" s="27" t="inlineStr">
        <is>
          <t>rpm_13</t>
        </is>
      </c>
      <c r="B433" s="228" t="inlineStr">
        <is>
          <t>НЕ ИСПОЛЬЗУЕТСЯ</t>
        </is>
      </c>
      <c r="C433" s="143" t="inlineStr">
        <is>
          <t>УДАЛЕНО из HTML (не используется в текущей вёрстке): Ориентир для сферы услуг</t>
        </is>
      </c>
    </row>
    <row r="434">
      <c r="A434" s="281" t="inlineStr">
        <is>
          <t>rpm_14</t>
        </is>
      </c>
      <c r="B434" s="288" t="inlineStr">
        <is>
          <t>Полный отчёт</t>
        </is>
      </c>
      <c r="C434" s="8" t="inlineStr">
        <is>
          <t>Специалисты часто проигрывают бизнесу, поскольку просто не считают свою юнит-экономику</t>
        </is>
      </c>
      <c r="D434" s="279" t="n"/>
      <c r="E434" s="279" t="n"/>
      <c r="F434" s="279" t="n"/>
      <c r="G434" s="279" t="n"/>
      <c r="H434" s="280" t="inlineStr">
        <is>
          <t>УДАЛЕНО из HTML 06.08.2026: про селлеров. Блок 08 пересобран коротко, cardFin убран как материал для соцсетей</t>
        </is>
      </c>
    </row>
    <row r="435">
      <c r="A435" s="281" t="inlineStr">
        <is>
          <t>rpm_15</t>
        </is>
      </c>
      <c r="B435" s="288" t="inlineStr">
        <is>
          <t>Полный отчёт</t>
        </is>
      </c>
      <c r="C435" s="8" t="inlineStr">
        <is>
          <t>Смотрите: селлеры на маркетплейсах считают каждую копейку вслух — в прямых эфирах, в своих соцсетях. Разбирают закупку, логистику, комиссии, налоги, и аудитория привыкла, что за ценой стоит расчёт. А фотографы молчат. В итоге клиент искренне уверен, что платит за «пару часов и фоточки», а не за производство. Вы тоже бизнес — пусть микро, но по документам бизнес: с оборудованием, налогами, отчётностью и расходами. Значит, и подход должен быть как у бизнеса. Разница между бизнесом и специалистом не в обороте, а в том, что бизнес умеет объяснить свою цену.</t>
        </is>
      </c>
      <c r="D435" s="279" t="n"/>
      <c r="E435" s="279" t="n"/>
      <c r="F435" s="279" t="n"/>
      <c r="G435" s="279" t="n"/>
      <c r="H435" s="280" t="inlineStr">
        <is>
          <t>УДАЛЕНО из HTML 06.08.2026: про селлеров. Блок 08 пересобран коротко, cardFin убран как материал для соцсетей</t>
        </is>
      </c>
    </row>
    <row r="436">
      <c r="A436" s="27" t="inlineStr">
        <is>
          <t>rpm_16</t>
        </is>
      </c>
      <c r="B436" s="112" t="inlineStr">
        <is>
          <t>Полный отчёт</t>
        </is>
      </c>
      <c r="C436" s="113" t="inlineStr">
        <is>
          <t>Что клиент не видит</t>
        </is>
      </c>
    </row>
    <row r="437">
      <c r="A437" s="281" t="inlineStr">
        <is>
          <t>rpm_17</t>
        </is>
      </c>
      <c r="B437" s="288" t="inlineStr">
        <is>
          <t>Полный отчёт</t>
        </is>
      </c>
      <c r="C437" s="8" t="inlineStr">
        <is>
          <t>Больше клиентов</t>
        </is>
      </c>
      <c r="D437" s="279" t="n"/>
      <c r="E437" s="279" t="n"/>
      <c r="F437" s="279" t="n"/>
      <c r="G437" s="279" t="n"/>
      <c r="H437" s="280" t="inlineStr">
        <is>
          <t>УДАЛЕНО из HTML 06.08.2026: подзаголовок «Что клиент не видит». Блок 08 пересобран коротко, cardFin убран как материал для соцсетей</t>
        </is>
      </c>
    </row>
    <row r="438">
      <c r="A438" s="27" t="inlineStr">
        <is>
          <t>rpm_18</t>
        </is>
      </c>
      <c r="B438" s="112" t="inlineStr">
        <is>
          <t>Полный отчёт</t>
        </is>
      </c>
      <c r="C438" s="113" t="inlineStr">
        <is>
          <t>+21% чаще покупают, когда видят, из чего складывается цена</t>
        </is>
      </c>
    </row>
    <row r="439">
      <c r="A439" s="27" t="inlineStr">
        <is>
          <t>rpm_19</t>
        </is>
      </c>
      <c r="B439" s="112" t="inlineStr">
        <is>
          <t>Полный отчёт</t>
        </is>
      </c>
      <c r="C439" s="113" t="inlineStr">
        <is>
          <t>Столько занимает один заказ целиком: подготовка, съёмка, отбор, обработка, передача</t>
        </is>
      </c>
    </row>
    <row r="440">
      <c r="A440" s="27" t="inlineStr">
        <is>
          <t>rpm_20</t>
        </is>
      </c>
      <c r="B440" s="112" t="inlineStr">
        <is>
          <t>Полный отчёт</t>
        </is>
      </c>
      <c r="C440" s="113" t="inlineStr">
        <is>
          <t>+34% чаще соглашаются, когда названа причина цены</t>
        </is>
      </c>
    </row>
    <row r="441">
      <c r="A441" s="27" t="inlineStr">
        <is>
          <t>rpm_21</t>
        </is>
      </c>
      <c r="B441" s="112" t="inlineStr">
        <is>
          <t>Полный отчёт</t>
        </is>
      </c>
      <c r="C441" s="113" t="inlineStr">
        <is>
          <t>Из 500 кадров клиент получит 50. Остальное — отбор, цвет, ретушь, которые он не увидит</t>
        </is>
      </c>
    </row>
    <row r="442">
      <c r="A442" s="27" t="inlineStr">
        <is>
          <t>rpm_22</t>
        </is>
      </c>
      <c r="B442" s="112" t="inlineStr">
        <is>
          <t>Полный отчёт</t>
        </is>
      </c>
      <c r="C442" s="113" t="inlineStr">
        <is>
          <t>87% покупателей готовы платить больше тем, кому доверяют</t>
        </is>
      </c>
    </row>
    <row r="443">
      <c r="A443" s="27" t="inlineStr">
        <is>
          <t>rpm_23</t>
        </is>
      </c>
      <c r="B443" s="112" t="inlineStr">
        <is>
          <t>Полный отчёт</t>
        </is>
      </c>
      <c r="C443" s="113" t="inlineStr">
        <is>
          <t>Остальное из цены часа уходит на технику, рекламу, налоги и комиссии банка</t>
        </is>
      </c>
    </row>
    <row r="444">
      <c r="A444" s="27" t="inlineStr">
        <is>
          <t>rpm_24</t>
        </is>
      </c>
      <c r="B444" s="112" t="inlineStr">
        <is>
          <t>Полный отчёт</t>
        </is>
      </c>
      <c r="C444" s="113"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445">
      <c r="A445" s="27" t="inlineStr">
        <is>
          <t>rpm_25</t>
        </is>
      </c>
      <c r="B445" s="112" t="inlineStr">
        <is>
          <t>Полный отчёт</t>
        </is>
      </c>
      <c r="C445" s="113"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446">
      <c r="A446" s="27" t="inlineStr">
        <is>
          <t>rpm_26</t>
        </is>
      </c>
      <c r="B446" s="228" t="inlineStr">
        <is>
          <t>НЕ ИСПОЛЬЗУЕТСЯ</t>
        </is>
      </c>
      <c r="C446" s="143" t="inlineStr">
        <is>
          <t>УДАЛЕНО из HTML (не используется в текущей вёрстке): Как это говорить</t>
        </is>
      </c>
    </row>
    <row r="447">
      <c r="A447" s="27" t="inlineStr">
        <is>
          <t>rpm_27</t>
        </is>
      </c>
      <c r="B447" s="228" t="inlineStr">
        <is>
          <t>НЕ ИСПОЛЬЗУЕТСЯ</t>
        </is>
      </c>
      <c r="C447" s="143" t="inlineStr">
        <is>
          <t>УДАЛЕНО из HTML (не используется в текущей вёрстке): Каналы по усилию: начните с левой колонки, она даёт заявки быстрее всего</t>
        </is>
      </c>
    </row>
    <row r="448">
      <c r="A448" s="27" t="inlineStr">
        <is>
          <t>rh2_15</t>
        </is>
      </c>
      <c r="B448" s="228" t="inlineStr">
        <is>
          <t>НЕ ИСПОЛЬЗУЕТСЯ</t>
        </is>
      </c>
      <c r="C448" s="143" t="inlineStr">
        <is>
          <t>УДАЛЕНО из HTML (не используется в текущей вёрстке): Что на самом деле входит в вашу работу</t>
        </is>
      </c>
    </row>
    <row r="449">
      <c r="A449" s="27" t="inlineStr">
        <is>
          <t>rhi_15</t>
        </is>
      </c>
      <c r="B449" s="228" t="inlineStr">
        <is>
          <t>НЕ ИСПОЛЬЗУЕТСЯ</t>
        </is>
      </c>
      <c r="C449" s="143" t="inlineStr">
        <is>
          <t>УДАЛЕНО из HTML (не используется в текущей вёрстке): Разверните каждую строку из расчёта. Это те задачи, которые вы делаете, но обычно не считаете</t>
        </is>
      </c>
    </row>
    <row r="450">
      <c r="A450" s="27" t="inlineStr">
        <is>
          <t>rh2_16</t>
        </is>
      </c>
      <c r="B450" s="228" t="inlineStr">
        <is>
          <t>НЕ ИСПОЛЬЗУЕТСЯ</t>
        </is>
      </c>
      <c r="C450" s="143" t="inlineStr">
        <is>
          <t>УДАЛЕНО из HTML (не используется в текущей вёрстке): Самая недооценённая строка — работа с отснятым материалом. «Прогнал через пресет» — это не обработка. Пока компьютер экспортирует, вы не свободны: вы за ним следите, перезапускаете, проверяете. Это ваше время, и оно должно быть в цене.</t>
        </is>
      </c>
    </row>
    <row r="451">
      <c r="A451" s="27" t="inlineStr">
        <is>
          <t>rth_15</t>
        </is>
      </c>
      <c r="B451" s="138" t="inlineStr">
        <is>
          <t>Полный отчёт</t>
        </is>
      </c>
      <c r="C451" s="113" t="inlineStr">
        <is>
          <t>Остаётся на руки</t>
        </is>
      </c>
    </row>
    <row r="452">
      <c r="A452" s="27" t="inlineStr">
        <is>
          <t>rth_16</t>
        </is>
      </c>
      <c r="B452" s="138" t="inlineStr">
        <is>
          <t>Полный отчёт</t>
        </is>
      </c>
      <c r="C452" s="113" t="inlineStr">
        <is>
          <t>В месяц</t>
        </is>
      </c>
    </row>
    <row r="453">
      <c r="A453" s="27" t="inlineStr">
        <is>
          <t>rth_17</t>
        </is>
      </c>
      <c r="B453" s="228" t="inlineStr">
        <is>
          <t>НЕ ИСПОЛЬЗУЕТСЯ</t>
        </is>
      </c>
      <c r="C453" s="143" t="inlineStr">
        <is>
          <t>УДАЛЕНО из HTML (не используется в текущей вёрстке): ₽ за съёмку</t>
        </is>
      </c>
    </row>
    <row r="454">
      <c r="A454" s="27" t="inlineStr">
        <is>
          <t>rth_18</t>
        </is>
      </c>
      <c r="B454" s="228" t="inlineStr">
        <is>
          <t>НЕ ИСПОЛЬЗУЕТСЯ</t>
        </is>
      </c>
      <c r="C454" s="143" t="inlineStr">
        <is>
          <t>УДАЛЕНО из HTML (не используется в текущей вёрстке): ₽ в месяц</t>
        </is>
      </c>
    </row>
    <row r="455">
      <c r="A455" s="27" t="inlineStr">
        <is>
          <t>rh2_17</t>
        </is>
      </c>
      <c r="B455" s="112" t="inlineStr">
        <is>
          <t>Полный отчёт</t>
        </is>
      </c>
      <c r="C455" s="113" t="inlineStr">
        <is>
          <t>Как считают обычно</t>
        </is>
      </c>
    </row>
    <row r="456">
      <c r="A456" s="27" t="inlineStr">
        <is>
          <t>rhi_17</t>
        </is>
      </c>
      <c r="B456" s="112" t="inlineStr">
        <is>
          <t>Полный отчёт</t>
        </is>
      </c>
      <c r="C456" s="113" t="inlineStr">
        <is>
          <t>Ставку умножают на часы съёмки — и получают цифру, которой на самом деле не будет</t>
        </is>
      </c>
    </row>
    <row r="457">
      <c r="A457" s="27" t="inlineStr">
        <is>
          <t>rin_01</t>
        </is>
      </c>
      <c r="B457" s="228" t="inlineStr">
        <is>
          <t>НЕ ИСПОЛЬЗУЕТСЯ</t>
        </is>
      </c>
      <c r="C457" s="143" t="inlineStr">
        <is>
          <t>УДАЛЕНО из HTML (не используется в текущей вёрстке): Как считают обычно и как надо</t>
        </is>
      </c>
    </row>
    <row r="458">
      <c r="A458" s="27" t="inlineStr">
        <is>
          <t>rin_02</t>
        </is>
      </c>
      <c r="B458" s="112" t="inlineStr">
        <is>
          <t>Полный отчёт</t>
        </is>
      </c>
      <c r="C458" s="113" t="inlineStr">
        <is>
          <t>Кажется, что получится</t>
        </is>
      </c>
    </row>
    <row r="459">
      <c r="A459" s="27" t="inlineStr">
        <is>
          <t>rin_03</t>
        </is>
      </c>
      <c r="B459" s="112" t="inlineStr">
        <is>
          <t>Полный отчёт</t>
        </is>
      </c>
      <c r="C459" s="113" t="inlineStr">
        <is>
          <t>Останется на самом деле</t>
        </is>
      </c>
    </row>
    <row r="460">
      <c r="A460" s="27" t="inlineStr">
        <is>
          <t>rin_04</t>
        </is>
      </c>
      <c r="B460" s="228" t="inlineStr">
        <is>
          <t>НЕ ИСПОЛЬЗУЕТСЯ</t>
        </is>
      </c>
      <c r="C460" s="143" t="inlineStr">
        <is>
          <t>УДАЛЕНО из HTML (не используется в текущей вёрстке): Сколько стоит скидка</t>
        </is>
      </c>
    </row>
    <row r="461">
      <c r="A461" s="27" t="inlineStr">
        <is>
          <t>rin_05</t>
        </is>
      </c>
      <c r="B461" s="228" t="inlineStr">
        <is>
          <t>НЕ ИСПОЛЬЗУЕТСЯ</t>
        </is>
      </c>
      <c r="C461" s="143" t="inlineStr">
        <is>
          <t>УДАЛЕНО из HTML (не используется в текущей вёрстке): Расходы, налоги и комиссия не уменьшаются вместе с ценой — скидку вы платите целиком из своего дохода.</t>
        </is>
      </c>
    </row>
    <row r="462">
      <c r="A462" s="27" t="inlineStr">
        <is>
          <t>rsv_01</t>
        </is>
      </c>
      <c r="B462" s="112" t="inlineStr">
        <is>
          <t>Полный отчёт</t>
        </is>
      </c>
      <c r="C462" s="113" t="inlineStr">
        <is>
          <t>Сохранить отчёт в PDF</t>
        </is>
      </c>
    </row>
    <row r="463">
      <c r="A463" s="27" t="inlineStr">
        <is>
          <t>rsv_02</t>
        </is>
      </c>
      <c r="B463" s="112" t="inlineStr">
        <is>
          <t>Полный отчёт</t>
        </is>
      </c>
      <c r="C463" s="113" t="inlineStr">
        <is>
          <t>В шапке ставка округлена до 500 ₽ — так её проще держать в голове и называть. Все расчёты в отчёте идут по точному значению, без округлений</t>
        </is>
      </c>
    </row>
    <row r="464">
      <c r="A464" s="27" t="inlineStr">
        <is>
          <t>rin_06</t>
        </is>
      </c>
      <c r="B464" s="112" t="inlineStr">
        <is>
          <t>Полный отчёт</t>
        </is>
      </c>
      <c r="C464" s="113" t="inlineStr">
        <is>
          <t>в месяц</t>
        </is>
      </c>
    </row>
    <row r="465">
      <c r="A465" s="27" t="inlineStr">
        <is>
          <t>rin_07</t>
        </is>
      </c>
      <c r="B465" s="112" t="inlineStr">
        <is>
          <t>Полный отчёт</t>
        </is>
      </c>
      <c r="C465" s="113" t="inlineStr">
        <is>
          <t>Ставка × часы съёмки. В этой цифре нет ни техники, ни рекламы, ни налогов, ни часов обработки</t>
        </is>
      </c>
    </row>
    <row r="466">
      <c r="A466" s="27" t="inlineStr">
        <is>
          <t>rin_08</t>
        </is>
      </c>
      <c r="B466" s="112" t="inlineStr">
        <is>
          <t>Полный отчёт</t>
        </is>
      </c>
      <c r="C466" s="113" t="inlineStr">
        <is>
          <t>в месяц</t>
        </is>
      </c>
    </row>
    <row r="467">
      <c r="A467" s="27" t="inlineStr">
        <is>
          <t>rin_09</t>
        </is>
      </c>
      <c r="B467" s="112" t="inlineStr">
        <is>
          <t>Полный отчёт</t>
        </is>
      </c>
      <c r="C467" s="113" t="inlineStr">
        <is>
          <t>После расходов на технику и рекламу, налогов и комиссии банка — при той же ставке и загрузке</t>
        </is>
      </c>
    </row>
    <row r="468">
      <c r="A468" s="27" t="inlineStr">
        <is>
          <t>rh2_18</t>
        </is>
      </c>
      <c r="B468" s="112" t="inlineStr">
        <is>
          <t>Полный отчёт</t>
        </is>
      </c>
      <c r="C468" s="113" t="inlineStr">
        <is>
          <t>Как формировать скидку, чтобы не уйти в минус</t>
        </is>
      </c>
    </row>
    <row r="469">
      <c r="A469" s="27" t="inlineStr">
        <is>
          <t>rhi_18</t>
        </is>
      </c>
      <c r="B469" s="112" t="inlineStr">
        <is>
          <t>Полный отчёт</t>
        </is>
      </c>
      <c r="C469" s="113" t="inlineStr">
        <is>
          <t>Даём скидку только за объём</t>
        </is>
      </c>
    </row>
    <row r="470">
      <c r="A470" s="27" t="inlineStr">
        <is>
          <t>rh2_19</t>
        </is>
      </c>
      <c r="B470" s="228" t="inlineStr">
        <is>
          <t>НЕ ИСПОЛЬЗУЕТСЯ</t>
        </is>
      </c>
      <c r="C470" s="143" t="inlineStr">
        <is>
          <t>УДАЛЕНО из HTML (не используется в текущей вёрстке): А это — скидка без причины</t>
        </is>
      </c>
    </row>
    <row r="471">
      <c r="A471" s="27" t="inlineStr">
        <is>
          <t>rhi_19</t>
        </is>
      </c>
      <c r="B471" s="228" t="inlineStr">
        <is>
          <t>НЕ ИСПОЛЬЗУЕТСЯ</t>
        </is>
      </c>
      <c r="C471" s="143" t="inlineStr">
        <is>
          <t>УДАЛЕНО из HTML (не используется в текущей вёрстке): Если уступить, не увеличивая объём, разницу вы платите из своего кармана: расходы и налоги не сокращаются вместе с ценой</t>
        </is>
      </c>
    </row>
    <row r="472">
      <c r="A472" s="281" t="inlineStr">
        <is>
          <t>rpn_01</t>
        </is>
      </c>
      <c r="B472" s="288" t="inlineStr">
        <is>
          <t>Полный отчёт</t>
        </is>
      </c>
      <c r="C472" s="8" t="inlineStr">
        <is>
          <t>Что входит в каждую строку расчёта</t>
        </is>
      </c>
      <c r="D472" s="279" t="n"/>
      <c r="E472" s="279" t="n"/>
      <c r="F472" s="279" t="n"/>
      <c r="G472" s="279" t="n"/>
      <c r="H472" s="280" t="inlineStr">
        <is>
          <t>ЗАМЕНЕНО 06.08.2026: блок «Что входит в каждую строку расчёта» стал справочником понятий (rrf_01). Оформление сохранено</t>
        </is>
      </c>
    </row>
    <row r="473">
      <c r="A473" s="27" t="inlineStr">
        <is>
          <t>rpn_02</t>
        </is>
      </c>
      <c r="B473" s="112" t="inlineStr">
        <is>
          <t>Полный отчёт</t>
        </is>
      </c>
      <c r="C473" s="113" t="inlineStr">
        <is>
          <t>Эти же пояснения есть в форме под каждым вопросом — разверните «что сюда входит», если захотите пересчитать точнее.</t>
        </is>
      </c>
    </row>
    <row r="474">
      <c r="A474" s="27" t="inlineStr">
        <is>
          <t>exp_01</t>
        </is>
      </c>
      <c r="B474" s="112" t="inlineStr">
        <is>
          <t>Форма · вопросы анкеты · подсказка «что сюда входит»</t>
        </is>
      </c>
      <c r="C474" s="113" t="inlineStr">
        <is>
          <t>Вот что мы заложили как основные этапы постпродакшна</t>
        </is>
      </c>
    </row>
    <row r="475">
      <c r="A475" s="27" t="inlineStr">
        <is>
          <t>exp_02</t>
        </is>
      </c>
      <c r="B475" s="112" t="inlineStr">
        <is>
          <t>Форма · вопросы анкеты · подсказка «что сюда входит»</t>
        </is>
      </c>
      <c r="C475" s="113" t="inlineStr">
        <is>
          <t>Вот что мы заложили как основные этапы работы с клиентом</t>
        </is>
      </c>
    </row>
    <row r="476">
      <c r="A476" s="27" t="inlineStr">
        <is>
          <t>exp_03</t>
        </is>
      </c>
      <c r="B476" s="112" t="inlineStr">
        <is>
          <t>Форма · вопросы анкеты · подсказка «что сюда входит»</t>
        </is>
      </c>
      <c r="C476" s="113" t="inlineStr">
        <is>
          <t>Что включено в эти 2 часа</t>
        </is>
      </c>
    </row>
    <row r="477">
      <c r="A477" s="27" t="inlineStr">
        <is>
          <t>rcd_01</t>
        </is>
      </c>
      <c r="B477" s="112" t="inlineStr">
        <is>
          <t>Полный отчёт</t>
        </is>
      </c>
      <c r="C477" s="113" t="inlineStr">
        <is>
          <t>Ваши условия труда по ТК РФ</t>
        </is>
      </c>
    </row>
    <row r="478">
      <c r="A478" s="27" t="inlineStr">
        <is>
          <t>rcd_02</t>
        </is>
      </c>
      <c r="B478" s="112" t="inlineStr">
        <is>
          <t>Полный отчёт</t>
        </is>
      </c>
      <c r="C478" s="113" t="inlineStr">
        <is>
          <t>Работая на себя, вы сами являетесь для себя работодателем. Если не заложить отпуск, больничные и выходные в стоимость часа, вы фактически будете оплачивать их из собственного кармана — работая в дни отдыха или жертвуя своим здоровьем ради сохранения дохода.</t>
        </is>
      </c>
    </row>
    <row r="479">
      <c r="A479" s="27" t="inlineStr">
        <is>
          <t>rcd_03</t>
        </is>
      </c>
      <c r="B479" s="112" t="inlineStr">
        <is>
          <t>Полный отчёт</t>
        </is>
      </c>
      <c r="C479" s="113" t="inlineStr">
        <is>
          <t>В расчёт заложены те же гарантии, что закон даёт наёмному работнику</t>
        </is>
      </c>
    </row>
    <row r="480">
      <c r="A480" s="27" t="inlineStr">
        <is>
          <t>rdn_01</t>
        </is>
      </c>
      <c r="B480" s="112" t="inlineStr">
        <is>
          <t>Полный отчёт</t>
        </is>
      </c>
      <c r="C480" s="113" t="inlineStr">
        <is>
          <t>Хотите удивлять клиентов крупными скидками</t>
        </is>
      </c>
      <c r="H480" s="296" t="inlineStr">
        <is>
          <t>УДАЛЕНО из HTML 06.08.2026: плашка «Хотите удивлять клиентов крупными скидками». Скидка сверх сетки — тема заложенного запаса, решается в анкете, а не текстом в отчёте</t>
        </is>
      </c>
    </row>
    <row r="481">
      <c r="A481" s="27" t="inlineStr">
        <is>
          <t>rgn_02</t>
        </is>
      </c>
      <c r="B481" s="112" t="inlineStr">
        <is>
          <t>Полный отчёт</t>
        </is>
      </c>
      <c r="C481" s="113" t="inlineStr">
        <is>
          <t>Просто математика</t>
        </is>
      </c>
    </row>
    <row r="482">
      <c r="A482" s="27" t="inlineStr">
        <is>
          <t>rpm_28</t>
        </is>
      </c>
      <c r="B482" s="228" t="inlineStr">
        <is>
          <t>НЕ ИСПОЛЬЗУЕТСЯ</t>
        </is>
      </c>
      <c r="C482" s="143" t="inlineStr">
        <is>
          <t>УДАЛЕНО из HTML (не используется в текущей вёрстке): Не оправдывайтесь — объясняйте</t>
        </is>
      </c>
    </row>
    <row r="483">
      <c r="A483" s="281" t="inlineStr">
        <is>
          <t>rpm_29</t>
        </is>
      </c>
      <c r="B483" s="289" t="inlineStr">
        <is>
          <t>Полный отчёт</t>
        </is>
      </c>
      <c r="C483" s="8" t="inlineStr">
        <is>
          <t>«Стоит столько, потому что</t>
        </is>
      </c>
      <c r="D483" s="279" t="n"/>
      <c r="E483" s="279" t="n"/>
      <c r="F483" s="279" t="n"/>
      <c r="G483" s="279" t="n"/>
      <c r="H483" s="280" t="inlineStr">
        <is>
          <t>УДАЛЕНО из HTML 06.08.2026: цитата «потому что». Блок 08 пересобран коротко, cardFin убран как материал для соцсетей</t>
        </is>
      </c>
    </row>
    <row r="484">
      <c r="A484" s="27" t="inlineStr">
        <is>
          <t>rpm_30</t>
        </is>
      </c>
      <c r="B484" s="228" t="inlineStr">
        <is>
          <t>НЕ ИСПОЛЬЗУЕТСЯ</t>
        </is>
      </c>
      <c r="C484" s="143" t="inlineStr">
        <is>
          <t>УДАЛЕНО из HTML (не используется в текущей вёрстке): Показывайте процесс, а не результат</t>
        </is>
      </c>
    </row>
    <row r="485">
      <c r="A485" s="27" t="inlineStr">
        <is>
          <t>rpm_31</t>
        </is>
      </c>
      <c r="B485" s="228" t="inlineStr">
        <is>
          <t>НЕ ИСПОЛЬЗУЕТСЯ</t>
        </is>
      </c>
      <c r="C485" s="143" t="inlineStr">
        <is>
          <t>УДАЛЕНО из HTML (не используется в текущей вёрстке): Снимите, как отбираете кадры из пятисот, как правите цвет. Клиент впервые увидит работу, за которую платит</t>
        </is>
      </c>
    </row>
    <row r="486">
      <c r="A486" s="27" t="inlineStr">
        <is>
          <t>rpm_32</t>
        </is>
      </c>
      <c r="B486" s="228" t="inlineStr">
        <is>
          <t>НЕ ИСПОЛЬЗУЕТСЯ</t>
        </is>
      </c>
      <c r="C486" s="143" t="inlineStr">
        <is>
          <t>УДАЛЕНО из HTML (не используется в текущей вёрстке): Называйте цифры</t>
        </is>
      </c>
    </row>
    <row r="487">
      <c r="A487" s="27" t="inlineStr">
        <is>
          <t>rpm_33</t>
        </is>
      </c>
      <c r="B487" s="228" t="inlineStr">
        <is>
          <t>НЕ ИСПОЛЬЗУЕТСЯ</t>
        </is>
      </c>
      <c r="C487" s="143" t="inlineStr">
        <is>
          <t>УДАЛЕНО из HTML (не используется в текущей вёрстке): Абстрактное «это долго» не работает. Работает «на одну съёмку уходит столько-то часов» — конкретика вызывает доверие</t>
        </is>
      </c>
    </row>
    <row r="488">
      <c r="A488" s="27" t="inlineStr">
        <is>
          <t>rpm_34</t>
        </is>
      </c>
      <c r="B488" s="228" t="inlineStr">
        <is>
          <t>НЕ ИСПОЛЬЗУЕТСЯ</t>
        </is>
      </c>
      <c r="C488" s="143" t="inlineStr">
        <is>
          <t>УДАЛЕНО из HTML (не используется в текущей вёрстке): Говорите регулярно, а не в ответ на торг</t>
        </is>
      </c>
    </row>
    <row r="489">
      <c r="A489" s="27" t="inlineStr">
        <is>
          <t>rpm_35</t>
        </is>
      </c>
      <c r="B489" s="228" t="inlineStr">
        <is>
          <t>НЕ ИСПОЛЬЗУЕТСЯ</t>
        </is>
      </c>
      <c r="C489" s="143" t="inlineStr">
        <is>
          <t>УДАЛЕНО из HTML (не используется в текущей вёрстке): Если объяснять цену только когда просят скидку, это звучит как отговорка. Если рассказывать постоянно — как экспертиза</t>
        </is>
      </c>
    </row>
    <row r="490">
      <c r="A490" s="27" t="inlineStr">
        <is>
          <t>rh2_20</t>
        </is>
      </c>
      <c r="B490" s="112" t="inlineStr">
        <is>
          <t>Полный отчёт</t>
        </is>
      </c>
      <c r="C490" s="113" t="inlineStr">
        <is>
          <t>Четыре цифры, которые стоит запомнить</t>
        </is>
      </c>
    </row>
    <row r="491">
      <c r="A491" s="27" t="inlineStr">
        <is>
          <t>rhi_20</t>
        </is>
      </c>
      <c r="B491" s="112" t="inlineStr">
        <is>
          <t>Полный отчёт</t>
        </is>
      </c>
      <c r="C491" s="113" t="inlineStr">
        <is>
          <t>Они выведены из вашего расчёта и пригодятся в любом разговоре о деньгах</t>
        </is>
      </c>
    </row>
    <row r="492">
      <c r="A492" s="27" t="inlineStr">
        <is>
          <t>rh2_21</t>
        </is>
      </c>
      <c r="B492" s="112" t="inlineStr">
        <is>
          <t>Полный отчёт</t>
        </is>
      </c>
      <c r="C492" s="113" t="inlineStr">
        <is>
          <t>Скидка</t>
        </is>
      </c>
    </row>
    <row r="493">
      <c r="A493" s="27" t="inlineStr">
        <is>
          <t>q_04b</t>
        </is>
      </c>
      <c r="B493" s="112" t="inlineStr">
        <is>
          <t>Форма · вопросы анкеты</t>
        </is>
      </c>
      <c r="C493" s="113" t="inlineStr">
        <is>
          <t>Сколько обработанных кадров вы отдаёте с одного часа съёмки?</t>
        </is>
      </c>
      <c r="H493" s="297" t="inlineStr">
        <is>
          <t>УДАЛЕНО из HTML: блок 04 разбит на пять карточек, вопросы стали заголовками — 10.08.2026</t>
        </is>
      </c>
    </row>
    <row r="494">
      <c r="A494" s="27" t="inlineStr">
        <is>
          <t>qd_04b</t>
        </is>
      </c>
      <c r="B494" s="112" t="inlineStr">
        <is>
          <t>Форма · вопросы анкеты</t>
        </is>
      </c>
      <c r="C494" s="113" t="inlineStr">
        <is>
          <t>Укажите, сколько готовых кадров в среднем вы отдаёте за один час съёмки, после отбора и цветокоррекции.</t>
        </is>
      </c>
    </row>
    <row r="495">
      <c r="A495" s="27" t="inlineStr">
        <is>
          <t>un_03b</t>
        </is>
      </c>
      <c r="B495" s="112" t="inlineStr">
        <is>
          <t>Форма · вопросы анкеты</t>
        </is>
      </c>
      <c r="C495" s="113" t="inlineStr">
        <is>
          <t>кадров/час</t>
        </is>
      </c>
    </row>
    <row r="496">
      <c r="A496" s="27" t="inlineStr">
        <is>
          <t>more_01</t>
        </is>
      </c>
      <c r="B496" s="112" t="inlineStr">
        <is>
          <t>Форма · блок оплаты (paywall)</t>
        </is>
      </c>
      <c r="C496" s="113" t="inlineStr">
        <is>
          <t>Что ещё внутри
Полная раскладка часа.</t>
        </is>
      </c>
      <c r="H496" s="297" t="inlineStr">
        <is>
          <t>УДАЛЕНО из HTML: перенесено из анкеты в части/предварительный_отчёт.html 10.08.2026</t>
        </is>
      </c>
    </row>
    <row r="497">
      <c r="A497" s="27" t="inlineStr">
        <is>
          <t>rsc_01</t>
        </is>
      </c>
      <c r="B497" s="112" t="inlineStr">
        <is>
          <t>Полный отчёт, блок 06 — синее уведомление</t>
        </is>
      </c>
      <c r="C497" s="113" t="inlineStr">
        <is>
          <t>Всё ещё хотите просто работать больше? Задайтесь вопросом — зачем.</t>
        </is>
      </c>
    </row>
    <row r="498">
      <c r="A498" s="27" t="inlineStr">
        <is>
          <t>rsc_02</t>
        </is>
      </c>
      <c r="B498" s="112" t="inlineStr">
        <is>
          <t>Полный отчёт, блок 06 — синее уведомление</t>
        </is>
      </c>
      <c r="C498" s="113" t="inlineStr">
        <is>
          <t>Объёмом этот разрыв уже не закрыть. Единственный рычаг, который меняет реальность, — это честная цена часа вашей работы.</t>
        </is>
      </c>
    </row>
    <row r="499">
      <c r="A499" s="281" t="inlineStr">
        <is>
          <t>rfn_01</t>
        </is>
      </c>
      <c r="B499" s="288" t="inlineStr">
        <is>
          <t>Полный отчёт</t>
        </is>
      </c>
      <c r="C499" s="8" t="inlineStr">
        <is>
          <t>Фотографы, вы офигели? Ваша работа стоит 10 тысяч</t>
        </is>
      </c>
      <c r="D499" s="279" t="n"/>
      <c r="E499" s="279" t="n"/>
      <c r="F499" s="279" t="n"/>
      <c r="G499" s="279" t="n"/>
      <c r="H499" s="280" t="inlineStr">
        <is>
          <t>УДАЛЕНО из HTML 06.08.2026: блок «Фотографы, вы офигели?». Блок 08 пересобран коротко, cardFin убран как материал для соцсетей</t>
        </is>
      </c>
    </row>
    <row r="500">
      <c r="A500" s="281" t="inlineStr">
        <is>
          <t>rfn_02</t>
        </is>
      </c>
      <c r="B500" s="288" t="inlineStr">
        <is>
          <t>Полный отчёт</t>
        </is>
      </c>
      <c r="C500" s="8" t="inlineStr">
        <is>
          <t>Теперь у вас есть чем аргументировать свою цену. Не потому что вы так решили, а потому что вы посчитали свою юнит-экономику.</t>
        </is>
      </c>
      <c r="D500" s="279" t="n"/>
      <c r="E500" s="279" t="n"/>
      <c r="F500" s="279" t="n"/>
      <c r="G500" s="279" t="n"/>
      <c r="H500" s="280" t="inlineStr">
        <is>
          <t>УДАЛЕНО из HTML 06.08.2026: блок «Фотографы, вы офигели?». Блок 08 пересобран коротко, cardFin убран как материал для соцсетей</t>
        </is>
      </c>
    </row>
    <row r="501">
      <c r="A501" s="281" t="inlineStr">
        <is>
          <t>rfn_03</t>
        </is>
      </c>
      <c r="B501" s="288" t="inlineStr">
        <is>
          <t>Полный отчёт</t>
        </is>
      </c>
      <c r="C501" s="8" t="inlineStr">
        <is>
          <t>Как часто вы слышите такое от заказчиков?</t>
        </is>
      </c>
      <c r="D501" s="279" t="n"/>
      <c r="E501" s="279" t="n"/>
      <c r="F501" s="279" t="n"/>
      <c r="G501" s="279" t="n"/>
      <c r="H501" s="280" t="inlineStr">
        <is>
          <t>УДАЛЕНО из HTML 06.08.2026: блок «Фотографы, вы офигели?». Блок 08 пересобран коротко, cardFin убран как материал для соцсетей</t>
        </is>
      </c>
    </row>
    <row r="502">
      <c r="A502" s="27" t="inlineStr">
        <is>
          <t>rfn_04</t>
        </is>
      </c>
      <c r="B502" s="228" t="inlineStr">
        <is>
          <t>НЕ ИСПОЛЬЗУЕТСЯ</t>
        </is>
      </c>
      <c r="C502" s="143" t="inlineStr">
        <is>
          <t>УДАЛЕНО из HTML: убран кикер «Знакомо?» — хук переписан, надстрочная подводка стала лишней</t>
        </is>
      </c>
    </row>
    <row r="503">
      <c r="A503" s="281" t="inlineStr">
        <is>
          <t>rfn_05</t>
        </is>
      </c>
      <c r="B503" s="288" t="inlineStr">
        <is>
          <t>Полный отчёт</t>
        </is>
      </c>
      <c r="C503" s="8" t="inlineStr">
        <is>
          <t>Клиент не плохой — он просто не видит всей картины. Оборудование, обработка, административное время и рабочие паузы для него не существуют, пока вы о них не рассказали.</t>
        </is>
      </c>
      <c r="D503" s="279" t="n"/>
      <c r="E503" s="279" t="n"/>
      <c r="F503" s="279" t="n"/>
      <c r="G503" s="279" t="n"/>
      <c r="H503" s="280" t="inlineStr">
        <is>
          <t>УДАЛЕНО из HTML 06.08.2026: блок «Фотографы, вы офигели?». Блок 08 пересобран коротко, cardFin убран как материал для соцсетей</t>
        </is>
      </c>
    </row>
    <row r="504">
      <c r="A504" s="121" t="inlineStr">
        <is>
          <t>rrc_00</t>
        </is>
      </c>
      <c r="B504" s="284" t="inlineStr">
        <is>
          <t>Полный отчёт</t>
        </is>
      </c>
      <c r="C504" s="113" t="inlineStr">
        <is>
          <t>Рекомендуем</t>
        </is>
      </c>
      <c r="D504" s="249" t="n"/>
      <c r="E504" s="249" t="n"/>
      <c r="F504" s="249" t="n"/>
      <c r="G504" s="249" t="n"/>
      <c r="H504" s="285" t="inlineStr">
        <is>
          <t>ПЕРЕНЕСЕНО в анкету, блок 15 «Запас прочности»</t>
        </is>
      </c>
    </row>
    <row r="505">
      <c r="A505" s="121" t="inlineStr">
        <is>
          <t>rrc_01</t>
        </is>
      </c>
      <c r="B505" s="284" t="inlineStr">
        <is>
          <t>Полный отчёт</t>
        </is>
      </c>
      <c r="C505" s="113" t="inlineStr">
        <is>
          <t>Два запаса, которые стоит заложить в цену</t>
        </is>
      </c>
      <c r="D505" s="249" t="n"/>
      <c r="E505" s="249" t="n"/>
      <c r="F505" s="249" t="n"/>
      <c r="G505" s="249" t="n"/>
      <c r="H505" s="285" t="inlineStr">
        <is>
          <t>ПЕРЕНЕСЕНО в анкету, блок 15 «Запас прочности»</t>
        </is>
      </c>
    </row>
    <row r="506">
      <c r="A506" s="121" t="inlineStr">
        <is>
          <t>rrc_02</t>
        </is>
      </c>
      <c r="B506" s="284" t="inlineStr">
        <is>
          <t>Полный отчёт</t>
        </is>
      </c>
      <c r="C506" s="113" t="inlineStr">
        <is>
          <t>В основной расчёт они не входят — там только то, без чего работа не состоится. Здесь считаем, во что обойдётся запас прочности</t>
        </is>
      </c>
      <c r="D506" s="249" t="n"/>
      <c r="E506" s="249" t="n"/>
      <c r="F506" s="249" t="n"/>
      <c r="G506" s="249" t="n"/>
      <c r="H506" s="285" t="inlineStr">
        <is>
          <t>ПЕРЕНЕСЕНО в анкету, блок 15 «Запас прочности»</t>
        </is>
      </c>
    </row>
    <row r="507">
      <c r="A507" s="121" t="inlineStr">
        <is>
          <t>rrc_03</t>
        </is>
      </c>
      <c r="B507" s="284" t="inlineStr">
        <is>
          <t>Полный отчёт</t>
        </is>
      </c>
      <c r="C507" s="113" t="inlineStr">
        <is>
          <t>Запас 1</t>
        </is>
      </c>
      <c r="D507" s="249" t="n"/>
      <c r="E507" s="249" t="n"/>
      <c r="F507" s="249" t="n"/>
      <c r="G507" s="249" t="n"/>
      <c r="H507" s="285" t="inlineStr">
        <is>
          <t>ПЕРЕНЕСЕНО в анкету, блок 15 «Запас прочности»</t>
        </is>
      </c>
    </row>
    <row r="508">
      <c r="A508" s="121" t="inlineStr">
        <is>
          <t>rrc_04</t>
        </is>
      </c>
      <c r="B508" s="284" t="inlineStr">
        <is>
          <t>Полный отчёт</t>
        </is>
      </c>
      <c r="C508" s="113" t="inlineStr">
        <is>
          <t>Фонд развития</t>
        </is>
      </c>
      <c r="D508" s="249" t="n"/>
      <c r="E508" s="249" t="n"/>
      <c r="F508" s="249" t="n"/>
      <c r="G508" s="249" t="n"/>
      <c r="H508" s="285" t="inlineStr">
        <is>
          <t>ПЕРЕНЕСЕНО в анкету, блок 15 «Запас прочности»</t>
        </is>
      </c>
    </row>
    <row r="509">
      <c r="A509" s="121" t="inlineStr">
        <is>
          <t>rrc_05</t>
        </is>
      </c>
      <c r="B509" s="284" t="inlineStr">
        <is>
          <t>Полный отчёт</t>
        </is>
      </c>
      <c r="C509" s="113" t="inlineStr">
        <is>
          <t>Амортизация в расчёте покрывает только замену того, что уже есть: камера вышла из строя — купили такую же. На новое стекло, второй корпус или курс денег в этой схеме нет. Фонд развития — это процент выручки, который вы откладываете заранее, чтобы расти без кредита.</t>
        </is>
      </c>
      <c r="D509" s="249" t="n"/>
      <c r="E509" s="249" t="n"/>
      <c r="F509" s="249" t="n"/>
      <c r="G509" s="249" t="n"/>
      <c r="H509" s="285" t="inlineStr">
        <is>
          <t>ПЕРЕНЕСЕНО в анкету, блок 15 «Запас прочности»</t>
        </is>
      </c>
    </row>
    <row r="510">
      <c r="A510" s="121" t="inlineStr">
        <is>
          <t>rrc_06</t>
        </is>
      </c>
      <c r="B510" s="284" t="inlineStr">
        <is>
          <t>Полный отчёт</t>
        </is>
      </c>
      <c r="C510" s="113" t="inlineStr">
        <is>
          <t>Малый бизнес реинвестирует 20–30% чистой прибыли. Для соло-специалиста это неприменимо: прибыль здесь и есть ваша зарплата. Поэтому считаем от выручки — как рекламу.</t>
        </is>
      </c>
      <c r="D510" s="249" t="n"/>
      <c r="E510" s="249" t="n"/>
      <c r="F510" s="249" t="n"/>
      <c r="G510" s="249" t="n"/>
      <c r="H510" s="285" t="inlineStr">
        <is>
          <t>ПЕРЕНЕСЕНО в анкету, блок 15 «Запас прочности»</t>
        </is>
      </c>
    </row>
    <row r="511">
      <c r="A511" s="121" t="inlineStr">
        <is>
          <t>rrc_07</t>
        </is>
      </c>
      <c r="B511" s="284" t="inlineStr">
        <is>
          <t>Полный отчёт</t>
        </is>
      </c>
      <c r="C511" s="113" t="inlineStr">
        <is>
          <t>Сколько откладывать, % от выручки</t>
        </is>
      </c>
      <c r="D511" s="249" t="n"/>
      <c r="E511" s="249" t="n"/>
      <c r="F511" s="249" t="n"/>
      <c r="G511" s="249" t="n"/>
      <c r="H511" s="285" t="inlineStr">
        <is>
          <t>ПЕРЕНЕСЕНО в анкету, блок 15 «Запас прочности»</t>
        </is>
      </c>
    </row>
    <row r="512">
      <c r="A512" s="121" t="inlineStr">
        <is>
          <t>rrc_08</t>
        </is>
      </c>
      <c r="B512" s="284" t="inlineStr">
        <is>
          <t>Полный отчёт</t>
        </is>
      </c>
      <c r="C512" s="113" t="inlineStr">
        <is>
          <t>Запас 2</t>
        </is>
      </c>
      <c r="D512" s="249" t="n"/>
      <c r="E512" s="249" t="n"/>
      <c r="F512" s="249" t="n"/>
      <c r="G512" s="249" t="n"/>
      <c r="H512" s="285" t="inlineStr">
        <is>
          <t>ПЕРЕНЕСЕНО в анкету, блок 15 «Запас прочности»</t>
        </is>
      </c>
    </row>
    <row r="513">
      <c r="A513" s="121" t="inlineStr">
        <is>
          <t>rrc_09</t>
        </is>
      </c>
      <c r="B513" s="284" t="inlineStr">
        <is>
          <t>Полный отчёт</t>
        </is>
      </c>
      <c r="C513" s="113" t="inlineStr">
        <is>
          <t>Запас на скидку</t>
        </is>
      </c>
      <c r="D513" s="249" t="n"/>
      <c r="E513" s="249" t="n"/>
      <c r="F513" s="249" t="n"/>
      <c r="G513" s="249" t="n"/>
      <c r="H513" s="285" t="inlineStr">
        <is>
          <t>ПЕРЕНЕСЕНО в анкету, блок 15 «Запас прочности»</t>
        </is>
      </c>
    </row>
    <row r="514">
      <c r="A514" s="121" t="inlineStr">
        <is>
          <t>rrc_10</t>
        </is>
      </c>
      <c r="B514" s="284" t="inlineStr">
        <is>
          <t>Полный отчёт</t>
        </is>
      </c>
      <c r="C514" s="113" t="inlineStr">
        <is>
          <t>Скидка за объём выше уже посчитана — она берётся из накладных и ваш доход не трогает. Но если вы хотите иметь право дать скидку просто так, её нужно заложить в цену заранее. Внимание: чтобы после скидки 10% остаться при своих, поднять цену надо на 11,1%, а не на 10%.</t>
        </is>
      </c>
      <c r="D514" s="249" t="n"/>
      <c r="E514" s="249" t="n"/>
      <c r="F514" s="249" t="n"/>
      <c r="G514" s="249" t="n"/>
      <c r="H514" s="285" t="inlineStr">
        <is>
          <t>ПЕРЕНЕСЕНО в анкету, блок 15 «Запас прочности»</t>
        </is>
      </c>
    </row>
    <row r="515">
      <c r="A515" s="121" t="inlineStr">
        <is>
          <t>rrc_11</t>
        </is>
      </c>
      <c r="B515" s="284" t="inlineStr">
        <is>
          <t>Полный отчёт</t>
        </is>
      </c>
      <c r="C515" s="113" t="inlineStr">
        <is>
          <t>Формула: новая цена = базовая ÷ (1 − скидка). Делить, а не умножать — в этом вся разница.</t>
        </is>
      </c>
      <c r="D515" s="249" t="n"/>
      <c r="E515" s="249" t="n"/>
      <c r="F515" s="249" t="n"/>
      <c r="G515" s="249" t="n"/>
      <c r="H515" s="285" t="inlineStr">
        <is>
          <t>ПЕРЕНЕСЕНО в анкету, блок 15 «Запас прочности»</t>
        </is>
      </c>
    </row>
    <row r="516">
      <c r="A516" s="121" t="inlineStr">
        <is>
          <t>rrc_12</t>
        </is>
      </c>
      <c r="B516" s="284" t="inlineStr">
        <is>
          <t>Полный отчёт</t>
        </is>
      </c>
      <c r="C516" s="113" t="inlineStr">
        <is>
          <t>Максимальная скидка, которую хотите давать</t>
        </is>
      </c>
      <c r="D516" s="249" t="n"/>
      <c r="E516" s="249" t="n"/>
      <c r="F516" s="249" t="n"/>
      <c r="G516" s="249" t="n"/>
      <c r="H516" s="285" t="inlineStr">
        <is>
          <t>ПЕРЕНЕСЕНО в анкету, блок 15 «Запас прочности»</t>
        </is>
      </c>
    </row>
    <row r="517">
      <c r="A517" s="27" t="inlineStr">
        <is>
          <t>bt_02</t>
        </is>
      </c>
      <c r="B517" s="112" t="inlineStr">
        <is>
          <t>Форма и отчёт · логотип</t>
        </is>
      </c>
      <c r="C517" s="113" t="inlineStr">
        <is>
          <t>твоя юнит-экономика</t>
        </is>
      </c>
    </row>
    <row r="518">
      <c r="A518" s="27" t="inlineStr">
        <is>
          <t>rlb_03</t>
        </is>
      </c>
      <c r="B518" s="112" t="inlineStr">
        <is>
          <t>Полный отчёт</t>
        </is>
      </c>
      <c r="C518" s="113" t="inlineStr">
        <is>
          <t>Фактическая стоимость вашего часа работы — {747 ₽/ч}</t>
        </is>
      </c>
    </row>
    <row r="519">
      <c r="A519" s="27" t="inlineStr">
        <is>
          <t>rsc_h1</t>
        </is>
      </c>
      <c r="B519" s="112" t="inlineStr">
        <is>
          <t>Полный отчёт</t>
        </is>
      </c>
      <c r="C519" s="143" t="inlineStr">
        <is>
          <t>УДАЛЕНО из HTML: блок «Как мы считаем» убран, плашки объединены с условиями труда — Как мы считаем</t>
        </is>
      </c>
    </row>
    <row r="520">
      <c r="A520" s="27" t="inlineStr">
        <is>
          <t>rsc_p1</t>
        </is>
      </c>
      <c r="B520" s="112" t="inlineStr">
        <is>
          <t>Полный отчёт</t>
        </is>
      </c>
      <c r="C520" s="143" t="inlineStr">
        <is>
          <t>УДАЛЕНО из HTML: блок «Как мы считаем» убран, плашки объединены с условиями труда — Мы опираемся на производственный календарь и нормы Трудового кодекса — те же условия, на которые имеет право любой наёмный сотрудник.</t>
        </is>
      </c>
    </row>
    <row r="521">
      <c r="A521" s="27" t="inlineStr">
        <is>
          <t>rtp_01</t>
        </is>
      </c>
      <c r="B521" s="112" t="inlineStr">
        <is>
          <t>Полный отчёт</t>
        </is>
      </c>
      <c r="C521" s="143" t="inlineStr">
        <is>
          <t>УДАЛЕНО из HTML: блок «Как мы считаем» убран, плашки объединены с условиями труда — Мы считаем по норме</t>
        </is>
      </c>
    </row>
    <row r="522">
      <c r="A522" s="27" t="inlineStr">
        <is>
          <t>rsm_01</t>
        </is>
      </c>
      <c r="B522" s="112" t="inlineStr">
        <is>
          <t>Полный отчёт</t>
        </is>
      </c>
      <c r="C522" s="143" t="inlineStr">
        <is>
          <t>УДАЛЕНО из HTML: блок «Как мы считаем» убран, плашки объединены с условиями труда — официальные условия труда, признанные государством нормой</t>
        </is>
      </c>
    </row>
    <row r="523">
      <c r="A523" s="27" t="inlineStr">
        <is>
          <t>rtp_02</t>
        </is>
      </c>
      <c r="B523" s="112" t="inlineStr">
        <is>
          <t>Полный отчёт</t>
        </is>
      </c>
      <c r="C523" s="143" t="inlineStr">
        <is>
          <t>УДАЛЕНО из HTML: блок «Как мы считаем» убран, плашки объединены с условиями труда — Право на отдых</t>
        </is>
      </c>
    </row>
    <row r="524">
      <c r="A524" s="27" t="inlineStr">
        <is>
          <t>rsm_02</t>
        </is>
      </c>
      <c r="B524" s="112" t="inlineStr">
        <is>
          <t>Полный отчёт</t>
        </is>
      </c>
      <c r="C524" s="143" t="inlineStr">
        <is>
          <t>УДАЛЕНО из HTML: блок «Как мы считаем» убран, плашки объединены с условиями труда — и один больничный — болеть никто не планирует, но мы заложили</t>
        </is>
      </c>
    </row>
    <row r="525">
      <c r="A525" s="27" t="inlineStr">
        <is>
          <t>rtp_03</t>
        </is>
      </c>
      <c r="B525" s="112" t="inlineStr">
        <is>
          <t>Полный отчёт</t>
        </is>
      </c>
      <c r="C525" s="143" t="inlineStr">
        <is>
          <t>УДАЛЕНО из HTML: блок «Как мы считаем» убран, плашки объединены с условиями труда — Рабочая неделя</t>
        </is>
      </c>
    </row>
    <row r="526">
      <c r="A526" s="27" t="inlineStr">
        <is>
          <t>rsm_03</t>
        </is>
      </c>
      <c r="B526" s="112" t="inlineStr">
        <is>
          <t>Полный отчёт</t>
        </is>
      </c>
      <c r="C526" s="143" t="inlineStr">
        <is>
          <t>УДАЛЕНО из HTML: блок «Как мы считаем» убран, плашки объединены с условиями труда — восемь часов в день, как у всех</t>
        </is>
      </c>
    </row>
    <row r="527">
      <c r="A527" s="27" t="inlineStr">
        <is>
          <t>rcd_t1</t>
        </is>
      </c>
      <c r="B527" s="112" t="inlineStr">
        <is>
          <t>Полный отчёт</t>
        </is>
      </c>
      <c r="C527" s="113" t="inlineStr">
        <is>
          <t>График работы</t>
        </is>
      </c>
    </row>
    <row r="528">
      <c r="A528" s="27" t="inlineStr">
        <is>
          <t>rcd_s1</t>
        </is>
      </c>
      <c r="B528" s="112" t="inlineStr">
        <is>
          <t>Полный отчёт</t>
        </is>
      </c>
      <c r="C528" s="113" t="inlineStr">
        <is>
          <t>Выходные и государственные праздники — вы не работаете</t>
        </is>
      </c>
    </row>
    <row r="529">
      <c r="A529" s="27" t="inlineStr">
        <is>
          <t>rcd_t2</t>
        </is>
      </c>
      <c r="B529" s="112" t="inlineStr">
        <is>
          <t>Полный отчёт</t>
        </is>
      </c>
      <c r="C529" s="113" t="inlineStr">
        <is>
          <t>Право на отдых</t>
        </is>
      </c>
    </row>
    <row r="530">
      <c r="A530" s="27" t="inlineStr">
        <is>
          <t>rcd_s2</t>
        </is>
      </c>
      <c r="B530" s="112" t="inlineStr">
        <is>
          <t>Полный отчёт</t>
        </is>
      </c>
      <c r="C530" s="113" t="inlineStr">
        <is>
          <t>Плюс 10 дней больничного — без потери дохода</t>
        </is>
      </c>
    </row>
    <row r="531">
      <c r="A531" s="27" t="inlineStr">
        <is>
          <t>rcd_t3</t>
        </is>
      </c>
      <c r="B531" s="112" t="inlineStr">
        <is>
          <t>Полный отчёт</t>
        </is>
      </c>
      <c r="C531" s="113" t="inlineStr">
        <is>
          <t>Рабочий день</t>
        </is>
      </c>
    </row>
    <row r="532">
      <c r="A532" s="27" t="inlineStr">
        <is>
          <t>rcd_s3</t>
        </is>
      </c>
      <c r="B532" s="112" t="inlineStr">
        <is>
          <t>Полный отчёт</t>
        </is>
      </c>
      <c r="C532" s="113" t="inlineStr">
        <is>
          <t>С перерывом на обед, а не «сколько получится»</t>
        </is>
      </c>
    </row>
    <row r="533">
      <c r="A533" s="27" t="inlineStr">
        <is>
          <t>rtr_h1</t>
        </is>
      </c>
      <c r="B533" s="112" t="inlineStr">
        <is>
          <t>Полный отчёт</t>
        </is>
      </c>
      <c r="C533" s="143" t="inlineStr">
        <is>
          <t>УДАЛЕНО из HTML: блок «Почему этому расчёту можно верить» убран — Почему этому расчёту можно верить</t>
        </is>
      </c>
    </row>
    <row r="534">
      <c r="A534" s="27" t="inlineStr">
        <is>
          <t>rtr_h2</t>
        </is>
      </c>
      <c r="B534" s="112" t="inlineStr">
        <is>
          <t>Полный отчёт</t>
        </is>
      </c>
      <c r="C534" s="143" t="inlineStr">
        <is>
          <t>УДАЛЕНО из HTML: блок «Почему этому расчёту можно верить» убран — Мы не сравнивали вас с рынком и не спрашивали, сколько берут коллеги. Всё посчитано из ваших ответов</t>
        </is>
      </c>
    </row>
    <row r="535">
      <c r="A535" s="27" t="inlineStr">
        <is>
          <t>rtr_t1</t>
        </is>
      </c>
      <c r="B535" s="112" t="inlineStr">
        <is>
          <t>Полный отчёт</t>
        </is>
      </c>
      <c r="C535" s="143" t="inlineStr">
        <is>
          <t>УДАЛЕНО из HTML: блок «Почему этому расчёту можно верить» убран — Считали от вашего дохода, а не от чужих цен</t>
        </is>
      </c>
    </row>
    <row r="536">
      <c r="A536" s="27" t="inlineStr">
        <is>
          <t>rtr_s1</t>
        </is>
      </c>
      <c r="B536" s="112" t="inlineStr">
        <is>
          <t>Полный отчёт</t>
        </is>
      </c>
      <c r="C536" s="143" t="inlineStr">
        <is>
          <t>УДАЛЕНО из HTML: блок «Почему этому расчёту можно верить» убран — Вы назвали сумму, которую хотите получать на руки. Дальше расчёт идёт назад: прибавили расходы, налоги и комиссию банка — и вышли на выручку, при которой эта сумма действительно останется у вас.</t>
        </is>
      </c>
    </row>
    <row r="537">
      <c r="A537" s="27" t="inlineStr">
        <is>
          <t>rtr_t2</t>
        </is>
      </c>
      <c r="B537" s="112" t="inlineStr">
        <is>
          <t>Полный отчёт</t>
        </is>
      </c>
      <c r="C537" s="143" t="inlineStr">
        <is>
          <t>УДАЛЕНО из HTML: блок «Почему этому расчёту можно верить» убран — Учли всё время, а не только съёмку</t>
        </is>
      </c>
    </row>
    <row r="538">
      <c r="A538" s="27" t="inlineStr">
        <is>
          <t>rtr_s2</t>
        </is>
      </c>
      <c r="B538" s="112" t="inlineStr">
        <is>
          <t>Полный отчёт</t>
        </is>
      </c>
      <c r="C538" s="143" t="inlineStr">
        <is>
          <t>УДАЛЕНО из HTML: блок «Почему этому расчёту можно верить» убран — В году 1 752 рабочих часа, а клиент оплачивает 229 — это 13%. Обработка, переписка, продвижение и учёт заложены в цену часа, потому что иначе их не оплатит никто.</t>
        </is>
      </c>
    </row>
    <row r="539">
      <c r="A539" s="27" t="inlineStr">
        <is>
          <t>rtr_t3</t>
        </is>
      </c>
      <c r="B539" s="112" t="inlineStr">
        <is>
          <t>Полный отчёт</t>
        </is>
      </c>
      <c r="C539" s="143" t="inlineStr">
        <is>
          <t>УДАЛЕНО из HTML: блок «Почему этому расчёту можно верить» убран — Взяли нормы закона, а не «сколько получится»</t>
        </is>
      </c>
    </row>
    <row r="540">
      <c r="A540" s="27" t="inlineStr">
        <is>
          <t>rtr_s3</t>
        </is>
      </c>
      <c r="B540" s="112" t="inlineStr">
        <is>
          <t>Полный отчёт</t>
        </is>
      </c>
      <c r="C540" s="143" t="inlineStr">
        <is>
          <t>УДАЛЕНО из HTML: блок «Почему этому расчёту можно верить» убран — Отпуск, больничный, выходные и восьмичасовой день — по Трудовому кодексу. В найме за них платит работодатель, у вас их стоимость должна быть в ставке.</t>
        </is>
      </c>
    </row>
    <row r="541">
      <c r="A541" s="27" t="inlineStr">
        <is>
          <t>rtr_t4</t>
        </is>
      </c>
      <c r="B541" s="112" t="inlineStr">
        <is>
          <t>Полный отчёт</t>
        </is>
      </c>
      <c r="C541" s="143" t="inlineStr">
        <is>
          <t>УДАЛЕНО из HTML: блок «Почему этому расчёту можно верить» убран — Проверили все семь налоговых режимов</t>
        </is>
      </c>
    </row>
    <row r="542">
      <c r="A542" s="27" t="inlineStr">
        <is>
          <t>rtr_s4</t>
        </is>
      </c>
      <c r="B542" s="112" t="inlineStr">
        <is>
          <t>Полный отчёт</t>
        </is>
      </c>
      <c r="C542" s="143" t="inlineStr">
        <is>
          <t>УДАЛЕНО из HTML: блок «Почему этому расчёту можно верить» убран — Ставки и лимиты 2026 года, взносы ИП, вычет взносов из налога. Каждый режим посчитан на вашей реальной выручке — разница между лучшим и худшим бывает в сотни тысяч за год.</t>
        </is>
      </c>
    </row>
    <row r="543">
      <c r="A543" s="27" t="inlineStr">
        <is>
          <t>rtr_f1</t>
        </is>
      </c>
      <c r="B543" s="112" t="inlineStr">
        <is>
          <t>Полный отчёт</t>
        </is>
      </c>
      <c r="C543" s="143" t="inlineStr">
        <is>
          <t>УДАЛЕНО из HTML: блок «Почему этому расчёту можно верить» убран — Каждая цифра в отчёте раскладывается на составные части — вы можете проверить любую и объяснить её клиенту.</t>
        </is>
      </c>
    </row>
    <row r="544">
      <c r="A544" s="27" t="inlineStr">
        <is>
          <t>rcw_h1</t>
        </is>
      </c>
      <c r="B544" s="112" t="inlineStr">
        <is>
          <t>Полный отчёт</t>
        </is>
      </c>
      <c r="C544" s="143" t="inlineStr">
        <is>
          <t>УДАЛЕНО из HTML: блок «А можно ли работать больше?» убран — дублировал блок 04 — А можно ли работать больше?</t>
        </is>
      </c>
    </row>
    <row r="545">
      <c r="A545" s="27" t="inlineStr">
        <is>
          <t>rcw_h2</t>
        </is>
      </c>
      <c r="B545" s="112" t="inlineStr">
        <is>
          <t>Полный отчёт</t>
        </is>
      </c>
      <c r="C545" s="143" t="inlineStr">
        <is>
          <t>УДАЛЕНО из HTML: блок «А можно ли работать больше?» убран — дублировал блок 04 — Конечно. Только сначала посмотрите, во что это обойдётся</t>
        </is>
      </c>
    </row>
    <row r="546">
      <c r="A546" s="27" t="inlineStr">
        <is>
          <t>rcw_t1</t>
        </is>
      </c>
      <c r="B546" s="112" t="inlineStr">
        <is>
          <t>Полный отчёт</t>
        </is>
      </c>
      <c r="C546" s="143" t="inlineStr">
        <is>
          <t>УДАЛЕНО из HTML: блок «А можно ли работать больше?» убран — дублировал блок 04 — Сколько придётся работать</t>
        </is>
      </c>
    </row>
    <row r="547">
      <c r="A547" s="27" t="inlineStr">
        <is>
          <t>rcw_s1</t>
        </is>
      </c>
      <c r="B547" s="112" t="inlineStr">
        <is>
          <t>Полный отчёт</t>
        </is>
      </c>
      <c r="C547" s="143" t="inlineStr">
        <is>
          <t>УДАЛЕНО из HTML: блок «А можно ли работать больше?» убран — дублировал блок 04 — рабочих дней в году вместо 219, чтобы выйти на тот же доход по текущей ставке</t>
        </is>
      </c>
    </row>
    <row r="548">
      <c r="A548" s="27" t="inlineStr">
        <is>
          <t>rcw_t2</t>
        </is>
      </c>
      <c r="B548" s="112" t="inlineStr">
        <is>
          <t>Полный отчёт</t>
        </is>
      </c>
      <c r="C548" s="143" t="inlineStr">
        <is>
          <t>УДАЛЕНО из HTML: блок «А можно ли работать больше?» убран — дублировал блок 04 — Что останется на отдых</t>
        </is>
      </c>
    </row>
    <row r="549">
      <c r="A549" s="27" t="inlineStr">
        <is>
          <t>rcw_s2</t>
        </is>
      </c>
      <c r="B549" s="112" t="inlineStr">
        <is>
          <t>Полный отчёт</t>
        </is>
      </c>
      <c r="C549" s="143" t="inlineStr">
        <is>
          <t>УДАЛЕНО из HTML: блок «А можно ли работать больше?» убран — дублировал блок 04 — выходных за весь год вместо 146 — без отпуска и без права заболеть</t>
        </is>
      </c>
    </row>
    <row r="550">
      <c r="A550" s="27" t="inlineStr">
        <is>
          <t>rcw_t3</t>
        </is>
      </c>
      <c r="B550" s="112" t="inlineStr">
        <is>
          <t>Полный отчёт</t>
        </is>
      </c>
      <c r="C550" s="143" t="inlineStr">
        <is>
          <t>УДАЛЕНО из HTML: блок «А можно ли работать больше?» убран — дублировал блок 04 — Длина рабочего дня</t>
        </is>
      </c>
    </row>
    <row r="551">
      <c r="A551" s="27" t="inlineStr">
        <is>
          <t>rcw_s3</t>
        </is>
      </c>
      <c r="B551" s="112" t="inlineStr">
        <is>
          <t>Полный отчёт</t>
        </is>
      </c>
      <c r="C551" s="143" t="inlineStr">
        <is>
          <t>УДАЛЕНО из HTML: блок «А можно ли работать больше?» убран — дублировал блок 04 — часов в день вместо восьми, если сохранить нынешний график</t>
        </is>
      </c>
    </row>
    <row r="552">
      <c r="A552" s="27" t="inlineStr">
        <is>
          <t>rcw_note</t>
        </is>
      </c>
      <c r="B552" s="112" t="inlineStr">
        <is>
          <t>Полный отчёт</t>
        </is>
      </c>
      <c r="C552" s="143" t="inlineStr">
        <is>
          <t>УДАЛЕНО из HTML: блок «А можно ли работать больше?» убран — дублировал блок 04 — Объём упирается в календарь: в сутках 24 часа, и это единственный ресурс, который нельзя купить. Цена такого графика — здоровье, отношения и запас прочности. Ставку поднять можно в любой момент, количество часов — нет.</t>
        </is>
      </c>
    </row>
    <row r="553">
      <c r="A553" s="27" t="inlineStr">
        <is>
          <t>rbd_h1</t>
        </is>
      </c>
      <c r="B553" s="112" t="inlineStr">
        <is>
          <t>Полный отчёт</t>
        </is>
      </c>
      <c r="C553" s="143" t="inlineStr">
        <is>
          <t>УДАЛЕНО из HTML: блок «Как распределяется бюджет» со столбцами убран, название перешло блоку 01 — Как распределяется бюджет</t>
        </is>
      </c>
    </row>
    <row r="554">
      <c r="A554" s="27" t="inlineStr">
        <is>
          <t>rbd_h2</t>
        </is>
      </c>
      <c r="B554" s="112" t="inlineStr">
        <is>
          <t>Полный отчёт</t>
        </is>
      </c>
      <c r="C554" s="143" t="inlineStr">
        <is>
          <t>УДАЛЕНО из HTML: блок «Как распределяется бюджет» со столбцами убран, название перешло блоку 01 — Всё, что стоит за одной съёмкой, делится на две части. Временные затраты — часы на сам заказ и на работу, без которой заказов просто не будет: поиск клиентов, переписка, отчётность. Финансовые затраты — вложения в дело: техника, обучение, реклама, налоги. Ниже видно, сколько занимает каждая часть.</t>
        </is>
      </c>
    </row>
    <row r="555">
      <c r="A555" s="27" t="inlineStr">
        <is>
          <t>rbd_t1</t>
        </is>
      </c>
      <c r="B555" s="112" t="inlineStr">
        <is>
          <t>Полный отчёт</t>
        </is>
      </c>
      <c r="C555" s="143" t="inlineStr">
        <is>
          <t>УДАЛЕНО из HTML: блок «Как распределяется бюджет» со столбцами убран, название перешло блоку 01 — Ваши временные затраты</t>
        </is>
      </c>
    </row>
    <row r="556">
      <c r="A556" s="27" t="inlineStr">
        <is>
          <t>rbd_d1</t>
        </is>
      </c>
      <c r="B556" s="112" t="inlineStr">
        <is>
          <t>Полный отчёт</t>
        </is>
      </c>
      <c r="C556" s="143" t="inlineStr">
        <is>
          <t>УДАЛЕНО из HTML: подзаголовки групп убраны — Сколько часов в неделю уходит на каждый вид работы</t>
        </is>
      </c>
    </row>
    <row r="557">
      <c r="A557" s="27" t="inlineStr">
        <is>
          <t>rbd_t2</t>
        </is>
      </c>
      <c r="B557" s="112" t="inlineStr">
        <is>
          <t>Полный отчёт</t>
        </is>
      </c>
      <c r="C557" s="143" t="inlineStr">
        <is>
          <t>УДАЛЕНО из HTML: блок «Как распределяется бюджет» со столбцами убран, название перешло блоку 01 — Ваши финансовые затраты</t>
        </is>
      </c>
    </row>
    <row r="558">
      <c r="A558" s="27" t="inlineStr">
        <is>
          <t>rbd_d2</t>
        </is>
      </c>
      <c r="B558" s="112" t="inlineStr">
        <is>
          <t>Полный отчёт</t>
        </is>
      </c>
      <c r="C558" s="143" t="inlineStr">
        <is>
          <t>УДАЛЕНО из HTML: подзаголовки групп убраны — Сколько денег в месяц уходит помимо вашего дохода</t>
        </is>
      </c>
    </row>
    <row r="559">
      <c r="A559" s="27" t="inlineStr">
        <is>
          <t>rbd_v1</t>
        </is>
      </c>
      <c r="B559" s="112" t="inlineStr">
        <is>
          <t>Полный отчёт</t>
        </is>
      </c>
      <c r="C559" s="143" t="inlineStr">
        <is>
          <t>ЗАМЕНЕНО: статичные плашки стали интерактивными полосами (тексты в JS) — Продвижение и поиск заказов</t>
        </is>
      </c>
    </row>
    <row r="560">
      <c r="A560" s="27" t="inlineStr">
        <is>
          <t>rbd_w1</t>
        </is>
      </c>
      <c r="B560" s="112" t="inlineStr">
        <is>
          <t>Полный отчёт</t>
        </is>
      </c>
      <c r="C560" s="143" t="inlineStr">
        <is>
          <t>ЗАМЕНЕНО: статичные плашки стали интерактивными полосами (тексты в JS) — контент, рилсы, тексты, реклама, ответы в директ, портфолио, работа с отзывами</t>
        </is>
      </c>
    </row>
    <row r="561">
      <c r="A561" s="27" t="inlineStr">
        <is>
          <t>rbd_v2</t>
        </is>
      </c>
      <c r="B561" s="112" t="inlineStr">
        <is>
          <t>Полный отчёт</t>
        </is>
      </c>
      <c r="C561" s="143" t="inlineStr">
        <is>
          <t>ЗАМЕНЕНО: статичные плашки стали интерактивными полосами (тексты в JS) — Учёт и отчётность</t>
        </is>
      </c>
    </row>
    <row r="562">
      <c r="A562" s="27" t="inlineStr">
        <is>
          <t>rbd_w2</t>
        </is>
      </c>
      <c r="B562" s="112" t="inlineStr">
        <is>
          <t>Полный отчёт</t>
        </is>
      </c>
      <c r="C562" s="143" t="inlineStr">
        <is>
          <t>ЗАМЕНЕНО: статичные плашки стали интерактивными полосами (тексты в JS) — чеки по каждому поступлению, декларации, взносы по срокам, сверки, книга учёта</t>
        </is>
      </c>
    </row>
    <row r="563">
      <c r="A563" s="27" t="inlineStr">
        <is>
          <t>rbd_v3</t>
        </is>
      </c>
      <c r="B563" s="112" t="inlineStr">
        <is>
          <t>Полный отчёт</t>
        </is>
      </c>
      <c r="C563" s="143" t="inlineStr">
        <is>
          <t>ЗАМЕНЕНО: статичные плашки стали интерактивными полосами (тексты в JS) — Работа с клиентом</t>
        </is>
      </c>
    </row>
    <row r="564">
      <c r="A564" s="27" t="inlineStr">
        <is>
          <t>rbd_w3</t>
        </is>
      </c>
      <c r="B564" s="112" t="inlineStr">
        <is>
          <t>Полный отчёт</t>
        </is>
      </c>
      <c r="C564" s="143" t="inlineStr">
        <is>
          <t>ЗАМЕНЕНО: статичные плашки стали интерактивными полосами (тексты в JS) — ответы на заявки, согласование даты и референсов, договор, предоплата, напоминания</t>
        </is>
      </c>
    </row>
    <row r="565">
      <c r="A565" s="27" t="inlineStr">
        <is>
          <t>rbd_v4</t>
        </is>
      </c>
      <c r="B565" s="112" t="inlineStr">
        <is>
          <t>Полный отчёт</t>
        </is>
      </c>
      <c r="C565" s="143" t="inlineStr">
        <is>
          <t>ЗАМЕНЕНО: статичные плашки стали интерактивными полосами (тексты в JS) — Съёмка и обработка материала</t>
        </is>
      </c>
    </row>
    <row r="566">
      <c r="A566" s="27" t="inlineStr">
        <is>
          <t>rbd_w4</t>
        </is>
      </c>
      <c r="B566" s="112" t="inlineStr">
        <is>
          <t>Полный отчёт</t>
        </is>
      </c>
      <c r="C566" s="143" t="inlineStr">
        <is>
          <t>ЗАМЕНЕНО: статичные плашки стали интерактивными полосами (тексты в JS) — часы на площадке, отбор кадров, цвет, ретушь, экспорт, передача клиенту, правки</t>
        </is>
      </c>
    </row>
    <row r="567">
      <c r="A567" s="27" t="inlineStr">
        <is>
          <t>rbd_v5</t>
        </is>
      </c>
      <c r="B567" s="112" t="inlineStr">
        <is>
          <t>Полный отчёт</t>
        </is>
      </c>
      <c r="C567" s="143" t="inlineStr">
        <is>
          <t>ЗАМЕНЕНО: статичные плашки стали интерактивными полосами (тексты в JS) — Оборудование и ПО</t>
        </is>
      </c>
    </row>
    <row r="568">
      <c r="A568" s="27" t="inlineStr">
        <is>
          <t>rbd_w5</t>
        </is>
      </c>
      <c r="B568" s="112" t="inlineStr">
        <is>
          <t>Полный отчёт</t>
        </is>
      </c>
      <c r="C568" s="143" t="inlineStr">
        <is>
          <t>ЗАМЕНЕНО: статичные плашки стали интерактивными полосами (тексты в JS) — камера, оптика, свет, компьютер, плагины и подписки</t>
        </is>
      </c>
    </row>
    <row r="569">
      <c r="A569" s="27" t="inlineStr">
        <is>
          <t>rbd_v6</t>
        </is>
      </c>
      <c r="B569" s="112" t="inlineStr">
        <is>
          <t>Полный отчёт</t>
        </is>
      </c>
      <c r="C569" s="143" t="inlineStr">
        <is>
          <t>ЗАМЕНЕНО: статичные плашки стали интерактивными полосами (тексты в JS) — Содержание рабочего места</t>
        </is>
      </c>
    </row>
    <row r="570">
      <c r="A570" s="27" t="inlineStr">
        <is>
          <t>rbd_w6</t>
        </is>
      </c>
      <c r="B570" s="112" t="inlineStr">
        <is>
          <t>Полный отчёт</t>
        </is>
      </c>
      <c r="C570" s="143" t="inlineStr">
        <is>
          <t>ЗАМЕНЕНО: статичные плашки стали интерактивными полосами (тексты в JS) — аренда или доля квартиры, коммунальные, связь, мебель, ремонт</t>
        </is>
      </c>
    </row>
    <row r="571">
      <c r="A571" s="27" t="inlineStr">
        <is>
          <t>rbd_v7</t>
        </is>
      </c>
      <c r="B571" s="112" t="inlineStr">
        <is>
          <t>Полный отчёт</t>
        </is>
      </c>
      <c r="C571" s="143" t="inlineStr">
        <is>
          <t>ЗАМЕНЕНО: статичные плашки стали интерактивными полосами (тексты в JS) — Обучение и опыт</t>
        </is>
      </c>
    </row>
    <row r="572">
      <c r="A572" s="27" t="inlineStr">
        <is>
          <t>rbd_w7</t>
        </is>
      </c>
      <c r="B572" s="112" t="inlineStr">
        <is>
          <t>Полный отчёт</t>
        </is>
      </c>
      <c r="C572" s="143" t="inlineStr">
        <is>
          <t>ЗАМЕНЕНО: статичные плашки стали интерактивными полосами (тексты в JS) — курсы и сайт, разложенные по годам, — вложения, которые уже сделаны</t>
        </is>
      </c>
    </row>
    <row r="573">
      <c r="A573" s="27" t="inlineStr">
        <is>
          <t>rbd_v8</t>
        </is>
      </c>
      <c r="B573" s="112" t="inlineStr">
        <is>
          <t>Полный отчёт</t>
        </is>
      </c>
      <c r="C573" s="143" t="inlineStr">
        <is>
          <t>ЗАМЕНЕНО: статичные плашки стали интерактивными полосами (тексты в JS) — Реклама и продвижение</t>
        </is>
      </c>
    </row>
    <row r="574">
      <c r="A574" s="27" t="inlineStr">
        <is>
          <t>rbd_w8</t>
        </is>
      </c>
      <c r="B574" s="112" t="inlineStr">
        <is>
          <t>Полный отчёт</t>
        </is>
      </c>
      <c r="C574" s="143" t="inlineStr">
        <is>
          <t>ЗАМЕНЕНО: статичные плашки стали интерактивными полосами (тексты в JS) — директ, таргет, размещения, домен и хостинг сайта</t>
        </is>
      </c>
    </row>
    <row r="575">
      <c r="A575" s="27" t="inlineStr">
        <is>
          <t>rbd_v9</t>
        </is>
      </c>
      <c r="B575" s="112" t="inlineStr">
        <is>
          <t>Полный отчёт</t>
        </is>
      </c>
      <c r="C575" s="143" t="inlineStr">
        <is>
          <t>ЗАМЕНЕНО: статичные плашки стали интерактивными полосами (тексты в JS) — Налоги и банк</t>
        </is>
      </c>
    </row>
    <row r="576">
      <c r="A576" s="27" t="inlineStr">
        <is>
          <t>rbd_w9</t>
        </is>
      </c>
      <c r="B576" s="112" t="inlineStr">
        <is>
          <t>Полный отчёт</t>
        </is>
      </c>
      <c r="C576" s="143" t="inlineStr">
        <is>
          <t>ЗАМЕНЕНО: статичные плашки стали интерактивными полосами (тексты в JS) — налог по вашему режиму, страховые взносы, эквайринг с каждого платежа</t>
        </is>
      </c>
    </row>
    <row r="577">
      <c r="A577" s="27" t="inlineStr">
        <is>
          <t>rbd_hint</t>
        </is>
      </c>
      <c r="B577" s="112" t="inlineStr">
        <is>
          <t>Полный отчёт</t>
        </is>
      </c>
      <c r="C577" s="143" t="inlineStr">
        <is>
          <t>УДАЛЕНО из HTML: блок «Как распределяется бюджет» со столбцами убран, название перешло блоку 01 — Наведите на столбец — он раскроется и покажет, что входит</t>
        </is>
      </c>
    </row>
    <row r="578">
      <c r="A578" s="27" t="inlineStr">
        <is>
          <t>rbd_l1</t>
        </is>
      </c>
      <c r="B578" s="112" t="inlineStr">
        <is>
          <t>Полный отчёт</t>
        </is>
      </c>
      <c r="C578" s="143" t="inlineStr">
        <is>
          <t>УДАЛЕНО из HTML: блок «Как распределяется бюджет» со столбцами убран, название перешло блоку 01 — Временные затраты</t>
        </is>
      </c>
    </row>
    <row r="579">
      <c r="A579" s="27" t="inlineStr">
        <is>
          <t>rbd_l2</t>
        </is>
      </c>
      <c r="B579" s="112" t="inlineStr">
        <is>
          <t>Полный отчёт</t>
        </is>
      </c>
      <c r="C579" s="143" t="inlineStr">
        <is>
          <t>УДАЛЕНО из HTML: блок «Как распределяется бюджет» со столбцами убран, название перешло блоку 01 — Финансовые затраты</t>
        </is>
      </c>
    </row>
    <row r="580">
      <c r="A580" s="27" t="inlineStr">
        <is>
          <t>rbd_h2a</t>
        </is>
      </c>
      <c r="B580" s="112" t="inlineStr">
        <is>
          <t>Полный отчёт</t>
        </is>
      </c>
      <c r="C580" s="113"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row>
    <row r="581">
      <c r="A581" s="27" t="inlineStr">
        <is>
          <t>rbd_h2b</t>
        </is>
      </c>
      <c r="B581" s="112" t="inlineStr">
        <is>
          <t>Полный отчёт</t>
        </is>
      </c>
      <c r="C581" s="143" t="inlineStr">
        <is>
          <t>Именно поэтому в стоимость съёмочного часа необходимо закладывать абсолютно все сопутствующие затраты</t>
        </is>
      </c>
    </row>
    <row r="582">
      <c r="A582" s="27" t="inlineStr">
        <is>
          <t>rbd_nh</t>
        </is>
      </c>
      <c r="B582" s="112" t="inlineStr">
        <is>
          <t>Полный отчёт</t>
        </is>
      </c>
      <c r="C582" s="113" t="inlineStr">
        <is>
          <t>Из чего складывается ваша цена</t>
        </is>
      </c>
    </row>
    <row r="583">
      <c r="A583" s="27" t="inlineStr">
        <is>
          <t>rbd_h2c</t>
        </is>
      </c>
      <c r="B583" s="112" t="inlineStr">
        <is>
          <t>Полный отчёт</t>
        </is>
      </c>
      <c r="C583" s="113" t="inlineStr">
        <is>
          <t>Часы на сам заказ и на работу, без которой заказов просто не будет: съёмка, обработка, переписка, продвижение, отчётность</t>
        </is>
      </c>
    </row>
    <row r="584">
      <c r="A584" s="27" t="inlineStr">
        <is>
          <t>rbd_h2d</t>
        </is>
      </c>
      <c r="B584" s="112" t="inlineStr">
        <is>
          <t>Полный отчёт</t>
        </is>
      </c>
      <c r="C584" s="113" t="inlineStr">
        <is>
          <t>Вложения в дело: техника и программы, обучение и опыт, реклама, аренда, налоги — уже потраченные или уходящие каждый месяц</t>
        </is>
      </c>
    </row>
    <row r="585">
      <c r="A585" s="27" t="inlineStr">
        <is>
          <t>rh_03</t>
        </is>
      </c>
      <c r="B585" s="112" t="inlineStr">
        <is>
          <t>Форма и отчёт · шапка</t>
        </is>
      </c>
      <c r="C585" s="113" t="inlineStr">
        <is>
          <t>Быть независимым автором не значит работать больше, чем в найме, и постоянно уходить в минус.</t>
        </is>
      </c>
    </row>
    <row r="586">
      <c r="A586" s="27" t="inlineStr">
        <is>
          <t>rbd_h2e</t>
        </is>
      </c>
      <c r="B586" s="112" t="inlineStr">
        <is>
          <t>Полный отчёт</t>
        </is>
      </c>
      <c r="C586" s="143" t="inlineStr">
        <is>
          <t>УДАЛЕНО из HTML: строка-связка убрана, роль перешла к подписям половин яблока — Все затраты можно разделить на две основные части:</t>
        </is>
      </c>
    </row>
    <row r="587">
      <c r="A587" s="27" t="inlineStr">
        <is>
          <t>rph_01</t>
        </is>
      </c>
      <c r="B587" s="112" t="inlineStr">
        <is>
          <t>Полный отчёт · опрос</t>
        </is>
      </c>
      <c r="C587" s="143" t="inlineStr">
        <is>
          <t>УДАЛЕНО из HTML: опрос в отчёт не переносим, он остаётся в форме — Расскажите, что вам нужно ещё</t>
        </is>
      </c>
    </row>
    <row r="588">
      <c r="A588" s="27" t="inlineStr">
        <is>
          <t>rph_02</t>
        </is>
      </c>
      <c r="B588" s="112" t="inlineStr">
        <is>
          <t>Полный отчёт · опрос</t>
        </is>
      </c>
      <c r="C588" s="143" t="inlineStr">
        <is>
          <t>УДАЛЕНО из HTML: опрос в отчёт не переносим, он остаётся в форме — 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row>
    <row r="589">
      <c r="A589" s="27" t="inlineStr">
        <is>
          <t>rbd_h2c1</t>
        </is>
      </c>
      <c r="B589" s="112" t="inlineStr">
        <is>
          <t>Полный отчёт</t>
        </is>
      </c>
      <c r="C589" s="113" t="inlineStr">
        <is>
          <t>Ваше время</t>
        </is>
      </c>
    </row>
    <row r="590">
      <c r="A590" s="27" t="inlineStr">
        <is>
          <t>rbd_h2d1</t>
        </is>
      </c>
      <c r="B590" s="112" t="inlineStr">
        <is>
          <t>Полный отчёт</t>
        </is>
      </c>
      <c r="C590" s="113" t="inlineStr">
        <is>
          <t>Ваши деньги</t>
        </is>
      </c>
    </row>
    <row r="592">
      <c r="A592" s="279" t="inlineStr">
        <is>
          <t>—</t>
        </is>
      </c>
      <c r="B592" s="279" t="inlineStr">
        <is>
          <t>Полный отчёт, блок 02</t>
        </is>
      </c>
      <c r="C592" s="287" t="inlineStr">
        <is>
          <t>Расшифровка недели: «Вы работаете как фотограф», «Вы работаете как владелец бизнеса», «Не оплачивается», «За эти часы вам никто не платит, но они есть всегда»</t>
        </is>
      </c>
      <c r="D592" s="279" t="n"/>
      <c r="E592" s="279" t="n"/>
      <c r="F592" s="279" t="n"/>
      <c r="G592" s="279" t="n"/>
      <c r="H592" s="280" t="inlineStr">
        <is>
          <t>УДАЛЕНО из HTML 06.08.2026: дублировало легенду блока 01. Текстов не было в книге — жили только в JS</t>
        </is>
      </c>
    </row>
    <row r="594">
      <c r="A594" s="249" t="inlineStr">
        <is>
          <t>rlg_01</t>
        </is>
      </c>
      <c r="B594" s="249" t="inlineStr">
        <is>
          <t>Полный отчёт, блок «Логистика»</t>
        </is>
      </c>
      <c r="C594" s="275" t="inlineStr">
        <is>
          <t>Логистика в расчёт не входит</t>
        </is>
      </c>
    </row>
    <row r="595">
      <c r="A595" s="249" t="inlineStr">
        <is>
          <t>rlg_02</t>
        </is>
      </c>
      <c r="B595" s="249" t="inlineStr">
        <is>
          <t>Полный отчёт, блок «Логистика»</t>
        </is>
      </c>
      <c r="C595" s="275" t="inlineStr">
        <is>
          <t>Дорога, бензин, такси и парковка по закону ложатся на исполнителя. Определите зону, куда выезжаете по базовой цене, например в пределах города. За её границы добавляйте к смете стоимость дороги в обе стороны и время в пути. Час за рулём — это тоже рабочий час.</t>
        </is>
      </c>
    </row>
    <row r="596">
      <c r="A596" s="279" t="inlineStr">
        <is>
          <t>rlg_03</t>
        </is>
      </c>
      <c r="B596" s="279" t="inlineStr">
        <is>
          <t>Полный отчёт, блок «Логистика»</t>
        </is>
      </c>
      <c r="C596" s="287" t="inlineStr">
        <is>
          <t>Съёмка на другом конце города или выезд за город съедают часы и деньги, которых нет ни в одном расчёте. Либо считайте логистику отдельной строкой в счёте, либо закладывайте её в цену конкретного заказа — иначе она вычитается прямо из вашего дохода.</t>
        </is>
      </c>
      <c r="D596" s="279" t="n"/>
      <c r="E596" s="279" t="n"/>
      <c r="F596" s="279" t="n"/>
      <c r="G596" s="279" t="n"/>
      <c r="H596" s="280" t="inlineStr">
        <is>
          <t>УДАЛЕНО из HTML 06.08.2026: блок сокращён до короткого уведомления</t>
        </is>
      </c>
    </row>
    <row r="598">
      <c r="A598" s="249" t="inlineStr">
        <is>
          <t>rrf_01</t>
        </is>
      </c>
      <c r="B598" s="249" t="inlineStr">
        <is>
          <t>Полный отчёт, справочник</t>
        </is>
      </c>
      <c r="C598" s="249" t="inlineStr">
        <is>
          <t>Справочник: что означает каждое понятие</t>
        </is>
      </c>
    </row>
    <row r="599">
      <c r="A599" s="249" t="inlineStr">
        <is>
          <t>rrf_02</t>
        </is>
      </c>
      <c r="B599" s="249" t="inlineStr">
        <is>
          <t>Полный отчёт, справочник</t>
        </is>
      </c>
      <c r="C599" s="249" t="inlineStr">
        <is>
          <t>Эти же пояснения есть в форме под каждым вопросом — разверните «что сюда входит», если захотите пересчитать точнее.</t>
        </is>
      </c>
    </row>
    <row r="600">
      <c r="A600" s="249" t="inlineStr">
        <is>
          <t>rtb_01</t>
        </is>
      </c>
      <c r="B600" s="249" t="inlineStr">
        <is>
          <t>Полный отчёт, таблица</t>
        </is>
      </c>
      <c r="C600" s="249" t="inlineStr">
        <is>
          <t>Все цифры расчёта в одной таблице</t>
        </is>
      </c>
    </row>
    <row r="601">
      <c r="A601" s="249" t="inlineStr">
        <is>
          <t>rtb_02</t>
        </is>
      </c>
      <c r="B601" s="249" t="inlineStr">
        <is>
          <t>Полный отчёт, таблица</t>
        </is>
      </c>
      <c r="C601" s="249" t="inlineStr">
        <is>
          <t>Полная выгрузка: время, проект, доход, расходы, налоги и ставки</t>
        </is>
      </c>
    </row>
    <row r="603">
      <c r="A603" s="249" t="inlineStr">
        <is>
          <t>rpm_16</t>
        </is>
      </c>
      <c r="B603" s="249" t="inlineStr">
        <is>
          <t>Полный отчёт, блок 08</t>
        </is>
      </c>
      <c r="C603" s="275" t="inlineStr">
        <is>
          <t>Когда за ценой виден расчёт, торг сменяется пониманием. Это не мнение — это измеренный эффект</t>
        </is>
      </c>
    </row>
    <row r="604">
      <c r="A604" s="249" t="inlineStr">
        <is>
          <t>rpm_18</t>
        </is>
      </c>
      <c r="B604" s="249" t="inlineStr">
        <is>
          <t>Полный отчёт, блок 08</t>
        </is>
      </c>
      <c r="C604" s="275" t="inlineStr">
        <is>
          <t>+21% чаще покупают, когда видят, из чего складывается цена</t>
        </is>
      </c>
    </row>
    <row r="605">
      <c r="A605" s="249" t="inlineStr">
        <is>
          <t>rpm_20</t>
        </is>
      </c>
      <c r="B605" s="249" t="inlineStr">
        <is>
          <t>Полный отчёт, блок 08</t>
        </is>
      </c>
      <c r="C605" s="275" t="inlineStr">
        <is>
          <t>+34% чаще соглашаются, когда названа причина цены</t>
        </is>
      </c>
    </row>
    <row r="606">
      <c r="A606" s="249" t="inlineStr">
        <is>
          <t>rpm_22</t>
        </is>
      </c>
      <c r="B606" s="249" t="inlineStr">
        <is>
          <t>Полный отчёт, блок 08</t>
        </is>
      </c>
      <c r="C606" s="275" t="inlineStr">
        <is>
          <t>87% покупателей готовы платить больше тем, кому доверяют</t>
        </is>
      </c>
    </row>
    <row r="607">
      <c r="A607" s="249" t="inlineStr">
        <is>
          <t>rpm_24</t>
        </is>
      </c>
      <c r="B607" s="249" t="inlineStr">
        <is>
          <t>Полный отчёт, блок 08</t>
        </is>
      </c>
      <c r="C607" s="275"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608">
      <c r="A608" s="249" t="inlineStr">
        <is>
          <t>rpm_25</t>
        </is>
      </c>
      <c r="B608" s="249" t="inlineStr">
        <is>
          <t>Полный отчёт, блок 08</t>
        </is>
      </c>
      <c r="C608" s="275"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609">
      <c r="A609" s="249" t="inlineStr">
        <is>
          <t>rpm_17</t>
        </is>
      </c>
      <c r="B609" s="249" t="inlineStr">
        <is>
          <t>Полный отчёт, блок 08</t>
        </is>
      </c>
      <c r="C609" s="275" t="inlineStr">
        <is>
          <t>Больше клиентов</t>
        </is>
      </c>
    </row>
    <row r="610">
      <c r="A610" s="249" t="inlineStr">
        <is>
          <t>rpm_20b</t>
        </is>
      </c>
      <c r="B610" s="249" t="inlineStr">
        <is>
          <t>Полный отчёт, блок 08</t>
        </is>
      </c>
      <c r="C610" s="249" t="inlineStr">
        <is>
          <t>Покупки</t>
        </is>
      </c>
    </row>
    <row r="611">
      <c r="A611" s="249" t="inlineStr">
        <is>
          <t>rpm_22b</t>
        </is>
      </c>
      <c r="B611" s="249" t="inlineStr">
        <is>
          <t>Полный отчёт, блок 08</t>
        </is>
      </c>
      <c r="C611" s="275" t="inlineStr">
        <is>
          <t>Выше ценник</t>
        </is>
      </c>
    </row>
    <row r="612">
      <c r="A612" s="249" t="inlineStr">
        <is>
          <t>rpm_20b</t>
        </is>
      </c>
      <c r="B612" s="249" t="inlineStr">
        <is>
          <t>Полный отчёт, блок 08</t>
        </is>
      </c>
      <c r="C612" s="249" t="inlineStr">
        <is>
          <t>Покупают</t>
        </is>
      </c>
    </row>
    <row r="613">
      <c r="A613" s="249" t="inlineStr">
        <is>
          <t>rpm_22b</t>
        </is>
      </c>
      <c r="B613" s="249" t="inlineStr">
        <is>
          <t>Полный отчёт, блок 08</t>
        </is>
      </c>
      <c r="C613" s="275" t="inlineStr">
        <is>
          <t>Выше ценник</t>
        </is>
      </c>
    </row>
    <row r="614">
      <c r="A614" s="249" t="inlineStr">
        <is>
          <t>rpm_19b</t>
        </is>
      </c>
      <c r="B614" s="249" t="inlineStr">
        <is>
          <t>Полный отчёт, блок 08</t>
        </is>
      </c>
      <c r="C614" s="249" t="inlineStr">
        <is>
          <t>Меньше торга</t>
        </is>
      </c>
    </row>
    <row r="615">
      <c r="A615" t="inlineStr">
        <is>
          <t>rogr_npd5</t>
        </is>
      </c>
      <c r="B615" t="inlineStr">
        <is>
          <t>Полный отчёт, блок 04</t>
        </is>
      </c>
      <c r="C615" t="inlineStr">
        <is>
          <t>В Налоговом кодексе РФ для НПД предусмотрены только две ставки — 4% при работе с физическими лицами и 6% с юридическими лицами и ИП. Расчётные 5% — это усреднённое значение для примера. Если вы работаете только с физлицами или наоборот только с компаниями, ориентируйтесь на фактические строки 4% и 6% в таблице ниже.</t>
        </is>
      </c>
    </row>
    <row r="616">
      <c r="A616" t="inlineStr">
        <is>
          <t>rth_14b</t>
        </is>
      </c>
      <c r="B616" t="inlineStr">
        <is>
          <t>Полный отчёт, блок 04</t>
        </is>
      </c>
      <c r="C616" t="inlineStr">
        <is>
          <t>Всего за год</t>
        </is>
      </c>
    </row>
    <row r="617">
      <c r="A617" t="inlineStr">
        <is>
          <t>rth_st</t>
        </is>
      </c>
      <c r="B617" t="inlineStr">
        <is>
          <t>Полный отчёт, блок 04</t>
        </is>
      </c>
      <c r="C617" t="inlineStr">
        <is>
          <t>Ставка</t>
        </is>
      </c>
    </row>
    <row r="618">
      <c r="A618" t="inlineStr">
        <is>
          <t>rth_tx</t>
        </is>
      </c>
      <c r="B618" t="inlineStr">
        <is>
          <t>Полный отчёт, блок 04</t>
        </is>
      </c>
      <c r="C618" t="inlineStr">
        <is>
          <t>Налог / год</t>
        </is>
      </c>
    </row>
    <row r="619">
      <c r="A619" t="inlineStr">
        <is>
          <t>rth_fx</t>
        </is>
      </c>
      <c r="B619" t="inlineStr">
        <is>
          <t>Полный отчёт, блок 04</t>
        </is>
      </c>
      <c r="C619" t="inlineStr">
        <is>
          <t>Взносы фикс. / год</t>
        </is>
      </c>
    </row>
    <row r="620">
      <c r="A620" t="inlineStr">
        <is>
          <t>rth_dp</t>
        </is>
      </c>
      <c r="B620" t="inlineStr">
        <is>
          <t>Полный отчёт, блок 04</t>
        </is>
      </c>
      <c r="C620" t="inlineStr">
        <is>
          <t>Взносы +1% / год</t>
        </is>
      </c>
    </row>
    <row r="621">
      <c r="A621" t="inlineStr">
        <is>
          <t>rth_ac</t>
        </is>
      </c>
      <c r="B621" t="inlineStr">
        <is>
          <t>Полный отчёт, блок 04</t>
        </is>
      </c>
      <c r="C621" t="inlineStr">
        <is>
          <t>Бухгалтерия / год</t>
        </is>
      </c>
    </row>
    <row r="622">
      <c r="A622" t="inlineStr">
        <is>
          <t>rth_hd</t>
        </is>
      </c>
      <c r="B622" t="inlineStr">
        <is>
          <t>Полный отчёт, блок 04</t>
        </is>
      </c>
      <c r="C622" t="inlineStr">
        <is>
          <t>Сравнение режимов налогообложения на ваших цифрах</t>
        </is>
      </c>
    </row>
    <row r="623">
      <c r="A623" t="inlineStr">
        <is>
          <t>rth_hs</t>
        </is>
      </c>
      <c r="B623" t="inlineStr">
        <is>
          <t>Полный отчёт, блок 04</t>
        </is>
      </c>
      <c r="C623" t="inlineStr">
        <is>
          <t>Посмотрите, какой вариант действительно приносит максимальную чистую прибыль и на каких условиях вам будет комфортнее работать.</t>
        </is>
      </c>
    </row>
    <row r="624">
      <c r="A624" t="inlineStr">
        <is>
          <t>rmb_05</t>
        </is>
      </c>
      <c r="B624" t="inlineStr">
        <is>
          <t>Полный отчёт, блок 05</t>
        </is>
      </c>
      <c r="C62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row>
    <row r="625">
      <c r="A625" t="inlineStr">
        <is>
          <t>rmb_06</t>
        </is>
      </c>
      <c r="B625" t="inlineStr">
        <is>
          <t>Полный отчёт, блок 05</t>
        </is>
      </c>
      <c r="C625" t="inlineStr">
        <is>
          <t>Сюда входят все обязательные расходы, которые вам придётся оплачивать в любом случае: аренда, подписки на софт, амортизация камер и света, реклама, налоги, страховые взносы и банковские комиссии. Полный список — в блоке «Все цифры расчёта в одной таблице», раздел «Расходы за год».</t>
        </is>
      </c>
    </row>
    <row r="626">
      <c r="A626" t="inlineStr">
        <is>
          <t>rmb_07</t>
        </is>
      </c>
      <c r="B626" t="inlineStr">
        <is>
          <t>Полный отчёт, блок 05</t>
        </is>
      </c>
      <c r="C626" t="inlineStr">
        <is>
          <t>Чего здесь нет — вас! Ни секунды вашего времени. Вся съёмка, многочасовая обработка, бесконечные переписки с клиентами остаются полностью бесплатными, а проезд до съёмочной площадки вы оплачиваете из своего кармана.</t>
        </is>
      </c>
    </row>
    <row r="627">
      <c r="A627" t="inlineStr">
        <is>
          <t>rsc_n1</t>
        </is>
      </c>
      <c r="B627" t="inlineStr">
        <is>
          <t>Полный отчёт, блок 05</t>
        </is>
      </c>
      <c r="C627" t="inlineStr">
        <is>
          <t>реальный</t>
        </is>
      </c>
    </row>
    <row r="628">
      <c r="A628" t="inlineStr">
        <is>
          <t>rsc_t1</t>
        </is>
      </c>
      <c r="B628" t="inlineStr">
        <is>
          <t>Полный отчёт, блок 05</t>
        </is>
      </c>
      <c r="C628" t="inlineStr">
        <is>
          <t>Ваш текущий доход</t>
        </is>
      </c>
    </row>
    <row r="629">
      <c r="A629" t="inlineStr">
        <is>
          <t>rsc_n2</t>
        </is>
      </c>
      <c r="B629" t="inlineStr">
        <is>
          <t>Полный отчёт, блок 05</t>
        </is>
      </c>
      <c r="C629" t="inlineStr">
        <is>
          <t>идеальный</t>
        </is>
      </c>
    </row>
    <row r="630">
      <c r="A630" t="inlineStr">
        <is>
          <t>rsc_t2</t>
        </is>
      </c>
      <c r="B630" t="inlineStr">
        <is>
          <t>Полный отчёт, блок 05</t>
        </is>
      </c>
      <c r="C630" t="inlineStr">
        <is>
          <t>Необходимый доход</t>
        </is>
      </c>
    </row>
    <row r="631">
      <c r="A631" t="inlineStr">
        <is>
          <t>rsc_n3</t>
        </is>
      </c>
      <c r="B631" t="inlineStr">
        <is>
          <t>Полный отчёт, блок 05</t>
        </is>
      </c>
      <c r="C631" t="inlineStr">
        <is>
          <t>в ноль</t>
        </is>
      </c>
    </row>
    <row r="632">
      <c r="A632" t="inlineStr">
        <is>
          <t>rsc_t3</t>
        </is>
      </c>
      <c r="B632" t="inlineStr">
        <is>
          <t>Полный отчёт, блок 05</t>
        </is>
      </c>
      <c r="C632" t="inlineStr">
        <is>
          <t>Дохода нет</t>
        </is>
      </c>
    </row>
    <row r="633">
      <c r="A633" t="inlineStr">
        <is>
          <t>rsc_lg1</t>
        </is>
      </c>
      <c r="B633" t="inlineStr">
        <is>
          <t>Полный отчёт, блок 05</t>
        </is>
      </c>
      <c r="C633" t="inlineStr">
        <is>
          <t>Ваш доход на руки</t>
        </is>
      </c>
    </row>
    <row r="634">
      <c r="A634" t="inlineStr">
        <is>
          <t>rsc_lg2</t>
        </is>
      </c>
      <c r="B634" t="inlineStr">
        <is>
          <t>Полный отчёт, блок 05</t>
        </is>
      </c>
      <c r="C634" t="inlineStr">
        <is>
          <t>Расходы в совокупности</t>
        </is>
      </c>
    </row>
    <row r="635">
      <c r="A635" t="inlineStr">
        <is>
          <t>rmb_08</t>
        </is>
      </c>
      <c r="B635" t="inlineStr">
        <is>
          <t>Полный отчёт, блок 05 — схема безубыточности</t>
        </is>
      </c>
      <c r="C635" t="inlineStr">
        <is>
          <t>Пришло от клиентов</t>
        </is>
      </c>
      <c r="H635" s="297" t="inlineStr">
        <is>
          <t>УДАЛЕНО из HTML: схема-весы откачена, плашка возвращена к прежнему виду</t>
        </is>
      </c>
    </row>
    <row r="636">
      <c r="A636" t="inlineStr">
        <is>
          <t>rmb_09</t>
        </is>
      </c>
      <c r="B636" t="inlineStr">
        <is>
          <t>Полный отчёт, блок 05 — схема безубыточности</t>
        </is>
      </c>
      <c r="C636" t="inlineStr">
        <is>
          <t>Все оплаты за съёмки за год</t>
        </is>
      </c>
      <c r="H636" s="297" t="inlineStr">
        <is>
          <t>УДАЛЕНО из HTML: схема-весы откачена, плашка возвращена к прежнему виду</t>
        </is>
      </c>
    </row>
    <row r="637">
      <c r="A637" t="inlineStr">
        <is>
          <t>rmb_10</t>
        </is>
      </c>
      <c r="B637" t="inlineStr">
        <is>
          <t>Полный отчёт, блок 05 — схема безубыточности</t>
        </is>
      </c>
      <c r="C637" t="inlineStr">
        <is>
          <t>Ушло на работу</t>
        </is>
      </c>
      <c r="H637" s="297" t="inlineStr">
        <is>
          <t>УДАЛЕНО из HTML: схема-весы откачена, плашка возвращена к прежнему виду</t>
        </is>
      </c>
    </row>
    <row r="638">
      <c r="A638" t="inlineStr">
        <is>
          <t>rmb_11</t>
        </is>
      </c>
      <c r="B638" t="inlineStr">
        <is>
          <t>Полный отчёт, блок 05 — схема безубыточности</t>
        </is>
      </c>
      <c r="C638" t="inlineStr">
        <is>
          <t>Аренда, подписки, реклама</t>
        </is>
      </c>
      <c r="H638" s="297" t="inlineStr">
        <is>
          <t>УДАЛЕНО из HTML: схема-весы откачена, плашка возвращена к прежнему виду</t>
        </is>
      </c>
    </row>
    <row r="639">
      <c r="A639" t="inlineStr">
        <is>
          <t>rmb_12</t>
        </is>
      </c>
      <c r="B639" t="inlineStr">
        <is>
          <t>Полный отчёт, блок 05 — схема безубыточности</t>
        </is>
      </c>
      <c r="C639" t="inlineStr">
        <is>
          <t>Амортизация техники</t>
        </is>
      </c>
      <c r="H639" s="297" t="inlineStr">
        <is>
          <t>УДАЛЕНО из HTML: схема-весы откачена, плашка возвращена к прежнему виду</t>
        </is>
      </c>
    </row>
    <row r="640">
      <c r="A640" t="inlineStr">
        <is>
          <t>rmb_13</t>
        </is>
      </c>
      <c r="B640" t="inlineStr">
        <is>
          <t>Полный отчёт, блок 05 — схема безубыточности</t>
        </is>
      </c>
      <c r="C640" t="inlineStr">
        <is>
          <t>Налоги, взносы, комиссия банка</t>
        </is>
      </c>
      <c r="H640" s="297" t="inlineStr">
        <is>
          <t>УДАЛЕНО из HTML: схема-весы откачена, плашка возвращена к прежнему виду</t>
        </is>
      </c>
    </row>
    <row r="641">
      <c r="A641" t="inlineStr">
        <is>
          <t>rmb_14</t>
        </is>
      </c>
      <c r="B641" t="inlineStr">
        <is>
          <t>Полный отчёт, блок 05 — схема безубыточности</t>
        </is>
      </c>
      <c r="C641" t="inlineStr">
        <is>
          <t>Себе — ноль. Год отработан, а денег на жизнь не осталось</t>
        </is>
      </c>
      <c r="H641" s="297" t="inlineStr">
        <is>
          <t>УДАЛЕНО из HTML: схема-весы откачена, плашка возвращена к прежнему виду</t>
        </is>
      </c>
    </row>
    <row r="642">
      <c r="A642" t="inlineStr">
        <is>
          <t>rsc_out1</t>
        </is>
      </c>
      <c r="B642" t="inlineStr">
        <is>
          <t>Полный отчёт, блок 06 — под плашками</t>
        </is>
      </c>
      <c r="C642" t="inlineStr">
        <is>
          <t>Математика неумолима — вам придётся работать на пределе человеческих возможностей: без отпусков, почти без выходных, игнорируя болезни и собственные потребности.</t>
        </is>
      </c>
    </row>
    <row r="643">
      <c r="A643" t="inlineStr">
        <is>
          <t>rsc_out2</t>
        </is>
      </c>
      <c r="B643" t="inlineStr">
        <is>
          <t>Полный отчёт, блок 06 — под плашками, мягкий вариант</t>
        </is>
      </c>
      <c r="C643" t="inlineStr">
        <is>
          <t>График плотный, но выполнимый. Решать вам: брать больше заказов или поднять цену.</t>
        </is>
      </c>
    </row>
    <row r="644">
      <c r="A644" t="inlineStr">
        <is>
          <t>rzp_01</t>
        </is>
      </c>
      <c r="B644" t="inlineStr">
        <is>
          <t>Полный отчёт, блок 03 — запас есть</t>
        </is>
      </c>
      <c r="C644" t="inlineStr">
        <is>
          <t>Скидку можно дать и просто так — если заложили запас</t>
        </is>
      </c>
    </row>
    <row r="645">
      <c r="A645" t="inlineStr">
        <is>
          <t>rzp_02</t>
        </is>
      </c>
      <c r="B645" t="inlineStr">
        <is>
          <t>Полный отчёт, блок 03 — запас есть</t>
        </is>
      </c>
      <c r="C645" t="inlineStr">
        <is>
          <t>В анкете вы заложили в цену {P}% запаса. Это ещё до {R} с часа, которые можно уступить по своему решению, и ваш доход не пострадает. Ниже {M}/ч скидка начнёт съедать ваш заработок. Обе скидки складываются: за объём и из запаса.</t>
        </is>
      </c>
    </row>
    <row r="646">
      <c r="A646" t="inlineStr">
        <is>
          <t>rzp_03</t>
        </is>
      </c>
      <c r="B646" t="inlineStr">
        <is>
          <t>Полный отчёт, блок 03 — запаса нет</t>
        </is>
      </c>
      <c r="C646" t="inlineStr">
        <is>
          <t>Запас на скидку не заложен. Если хотите иметь возможность сформировать программу лояльности и давать скидки своим клиентам не только за объём — вернитесь в анкету и включите «Запас на скидку».</t>
        </is>
      </c>
    </row>
    <row r="647">
      <c r="A647" t="inlineStr">
        <is>
          <t>rthx_05</t>
        </is>
      </c>
      <c r="B647" t="inlineStr">
        <is>
          <t>Отчёт · пояснение под кнопкой «Поблагодарить проект»</t>
        </is>
      </c>
      <c r="C647" s="229" t="inlineStr">
        <is>
          <t>Так мы будем знать, что сервис вам нужен, и сможем развивать его и сохранять бесплатным для всех специалистов креативной индустрии.</t>
        </is>
      </c>
    </row>
    <row r="648">
      <c r="A648" t="inlineStr">
        <is>
          <t>rthx_04</t>
        </is>
      </c>
      <c r="B648" t="inlineStr">
        <is>
          <t>Отчёт · баннер «Поблагодарить проект», описание</t>
        </is>
      </c>
      <c r="C648" s="229" t="inlineStr">
        <is>
          <t>Так мы будем знать, что сервис вам нужен, и сможем развивать его и сохранять бесплатным для всех специалистов креативной индустрии.</t>
        </is>
      </c>
    </row>
    <row r="649">
      <c r="A649" t="inlineStr">
        <is>
          <t>rfc_01</t>
        </is>
      </c>
      <c r="B649" t="inlineStr">
        <is>
          <t>Форма и отчёт · подвал, реквизиты</t>
        </is>
      </c>
      <c r="C649" t="inlineStr">
        <is>
          <t>ООО «Центр маркетинговых услуг Гет Маркетинг» © 2026</t>
        </is>
      </c>
    </row>
  </sheetData>
  <autoFilter ref="A4:C514"/>
  <mergeCells count="131">
    <mergeCell ref="A193:C193"/>
    <mergeCell ref="A233:C233"/>
    <mergeCell ref="A37:C37"/>
    <mergeCell ref="A89:C89"/>
    <mergeCell ref="A282:C282"/>
    <mergeCell ref="A21:C21"/>
    <mergeCell ref="A57:C57"/>
    <mergeCell ref="A272:C272"/>
    <mergeCell ref="A235:C235"/>
    <mergeCell ref="A179:C179"/>
    <mergeCell ref="A247:C247"/>
    <mergeCell ref="A71:C71"/>
    <mergeCell ref="A185:C185"/>
    <mergeCell ref="A181:C181"/>
    <mergeCell ref="A43:C43"/>
    <mergeCell ref="A171:C171"/>
    <mergeCell ref="A165:C165"/>
    <mergeCell ref="A63:C63"/>
    <mergeCell ref="A155:C155"/>
    <mergeCell ref="A229:C229"/>
    <mergeCell ref="A77:C77"/>
    <mergeCell ref="A157:C157"/>
    <mergeCell ref="A270:C270"/>
    <mergeCell ref="A284:C284"/>
    <mergeCell ref="A49:C49"/>
    <mergeCell ref="A119:C119"/>
    <mergeCell ref="A69:C69"/>
    <mergeCell ref="A205:C205"/>
    <mergeCell ref="A183:C183"/>
    <mergeCell ref="A75:C75"/>
    <mergeCell ref="A133:C133"/>
    <mergeCell ref="A264:C264"/>
    <mergeCell ref="A55:C55"/>
    <mergeCell ref="A239:C239"/>
    <mergeCell ref="A95:C95"/>
    <mergeCell ref="A5:C5"/>
    <mergeCell ref="A159:C159"/>
    <mergeCell ref="A97:C97"/>
    <mergeCell ref="A219:C219"/>
    <mergeCell ref="A290:C290"/>
    <mergeCell ref="A312:C312"/>
    <mergeCell ref="A29:C29"/>
    <mergeCell ref="A323:C323"/>
    <mergeCell ref="A147:C147"/>
    <mergeCell ref="A121:C121"/>
    <mergeCell ref="A280:C280"/>
    <mergeCell ref="A274:C274"/>
    <mergeCell ref="A13:C13"/>
    <mergeCell ref="A288:C288"/>
    <mergeCell ref="A249:C249"/>
    <mergeCell ref="A31:C31"/>
    <mergeCell ref="A67:C67"/>
    <mergeCell ref="A15:C15"/>
    <mergeCell ref="A257:C257"/>
    <mergeCell ref="A73:C73"/>
    <mergeCell ref="A201:C201"/>
    <mergeCell ref="A51:C51"/>
    <mergeCell ref="A266:C266"/>
    <mergeCell ref="A241:C241"/>
    <mergeCell ref="A123:C123"/>
    <mergeCell ref="A197:C197"/>
    <mergeCell ref="A237:C237"/>
    <mergeCell ref="A7:C7"/>
    <mergeCell ref="A187:C187"/>
    <mergeCell ref="A243:C243"/>
    <mergeCell ref="A99:C99"/>
    <mergeCell ref="A25:C25"/>
    <mergeCell ref="A286:C286"/>
    <mergeCell ref="A149:C149"/>
    <mergeCell ref="A189:C189"/>
    <mergeCell ref="A101:C101"/>
    <mergeCell ref="A306:C306"/>
    <mergeCell ref="A2:C2"/>
    <mergeCell ref="A213:C213"/>
    <mergeCell ref="A278:C278"/>
    <mergeCell ref="A151:C151"/>
    <mergeCell ref="A47:C47"/>
    <mergeCell ref="A141:C141"/>
    <mergeCell ref="A135:C135"/>
    <mergeCell ref="A215:C215"/>
    <mergeCell ref="A125:C125"/>
    <mergeCell ref="A199:C199"/>
    <mergeCell ref="A127:C127"/>
    <mergeCell ref="A167:C167"/>
    <mergeCell ref="A314:C314"/>
    <mergeCell ref="A59:C59"/>
    <mergeCell ref="A191:C191"/>
    <mergeCell ref="A169:C169"/>
    <mergeCell ref="A225:C225"/>
    <mergeCell ref="A107:C107"/>
    <mergeCell ref="A79:C79"/>
    <mergeCell ref="A61:C61"/>
    <mergeCell ref="A153:C153"/>
    <mergeCell ref="A227:C227"/>
    <mergeCell ref="A137:C137"/>
    <mergeCell ref="A177:C177"/>
    <mergeCell ref="A41:C41"/>
    <mergeCell ref="A268:C268"/>
    <mergeCell ref="A330:C330"/>
    <mergeCell ref="A217:C217"/>
    <mergeCell ref="A145:C145"/>
    <mergeCell ref="A27:C27"/>
    <mergeCell ref="A139:C139"/>
    <mergeCell ref="A129:C129"/>
    <mergeCell ref="A195:C195"/>
    <mergeCell ref="A33:C33"/>
    <mergeCell ref="A203:C203"/>
    <mergeCell ref="A85:C85"/>
    <mergeCell ref="A17:C17"/>
    <mergeCell ref="A131:C131"/>
    <mergeCell ref="A259:C259"/>
    <mergeCell ref="A53:C53"/>
    <mergeCell ref="A109:C109"/>
    <mergeCell ref="A35:C35"/>
    <mergeCell ref="A231:C231"/>
    <mergeCell ref="A308:C308"/>
    <mergeCell ref="A19:C19"/>
    <mergeCell ref="A117:C117"/>
    <mergeCell ref="A111:C111"/>
    <mergeCell ref="A9:C9"/>
    <mergeCell ref="A143:C143"/>
    <mergeCell ref="A245:C245"/>
    <mergeCell ref="A276:C276"/>
    <mergeCell ref="A39:C39"/>
    <mergeCell ref="A310:C310"/>
    <mergeCell ref="A207:C207"/>
    <mergeCell ref="A11:C11"/>
    <mergeCell ref="A1:C1"/>
    <mergeCell ref="A45:C45"/>
    <mergeCell ref="A87:C87"/>
    <mergeCell ref="A65:C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5"/>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15" customWidth="1" min="3" max="3"/>
    <col width="46" customWidth="1" min="4" max="4"/>
    <col width="52" customWidth="1" min="5" max="5"/>
  </cols>
  <sheetData>
    <row r="1">
      <c r="A1" s="144" t="inlineStr">
        <is>
          <t>09b · МЕТОДИКА — как посчитана каждая цифра отчёта</t>
        </is>
      </c>
    </row>
    <row r="2">
      <c r="A2" s="145" t="inlineStr">
        <is>
          <t>Столбец «Формула» записан через ID из 02_Параметры. Правите параметр — меняется цифра в отчёте.</t>
        </is>
      </c>
    </row>
    <row r="4">
      <c r="A4" s="146" t="inlineStr">
        <is>
          <t>БЛОК 09 · ЧЕТЫРЕ ЦИФРЫ, КОТОРЫЕ СТОИТ ЗАПОМНИТЬ</t>
        </is>
      </c>
      <c r="B4" s="147" t="n"/>
      <c r="C4" s="147" t="n"/>
      <c r="D4" s="147" t="n"/>
      <c r="E4" s="147" t="n"/>
    </row>
    <row r="5">
      <c r="A5" s="148" t="inlineStr">
        <is>
          <t>№</t>
        </is>
      </c>
      <c r="B5" s="148" t="inlineStr">
        <is>
          <t>Показатель</t>
        </is>
      </c>
      <c r="C5" s="148" t="inlineStr">
        <is>
          <t>Значение</t>
        </is>
      </c>
      <c r="D5" s="148" t="inlineStr">
        <is>
          <t>Формула (через ID)</t>
        </is>
      </c>
      <c r="E5" s="148" t="inlineStr">
        <is>
          <t>Что означает и почему так</t>
        </is>
      </c>
    </row>
    <row r="6" ht="58" customHeight="1">
      <c r="A6" s="149" t="inlineStr">
        <is>
          <t>9.1</t>
        </is>
      </c>
      <c r="B6" s="149" t="inlineStr">
        <is>
          <t>Час вашего времени</t>
        </is>
      </c>
      <c r="C6" s="150" t="inlineStr">
        <is>
          <t>747 ₽/ч</t>
        </is>
      </c>
      <c r="D6" s="151" t="inlineStr">
        <is>
          <t>'=target_income/(net_time+idle_time)</t>
        </is>
      </c>
      <c r="E6" s="152" t="inlineStr">
        <is>
          <t>Желаемый доход за год делится на ВСЁ рабочее время, включая рабочие паузы: 1 307 988 / (1533+219) = 747 ₽. Не путать со ставкой часа съёмки — это то, сколько стоит любой ваш час: и с камерой, и за компьютером.</t>
        </is>
      </c>
    </row>
    <row r="7" ht="58" customHeight="1">
      <c r="A7" s="149" t="inlineStr">
        <is>
          <t>9.2</t>
        </is>
      </c>
      <c r="B7" s="149" t="inlineStr">
        <is>
          <t>Оборудование и ПО</t>
        </is>
      </c>
      <c r="C7" s="150" t="inlineStr">
        <is>
          <t>11,4 съёмок</t>
        </is>
      </c>
      <c r="D7" s="151" t="inlineStr">
        <is>
          <t>'=(dep_shoot+dep_office+dep_software)/(revenue_full/projects_year)</t>
        </is>
      </c>
      <c r="E7" s="152" t="inlineStr">
        <is>
          <t>Амортизация техники и ПО за год (215 126 ₽) делится на цену одной съёмки (18 934 ₽). Показывает, сколько съёмок уходит ТОЛЬКО на окупаемость техники — без налогов, рекламы и вашего дохода. Обучение и сайт сюда НЕ входят, только железо и ПО.</t>
        </is>
      </c>
    </row>
    <row r="8" ht="58" customHeight="1">
      <c r="A8" s="149" t="inlineStr">
        <is>
          <t>9.3</t>
        </is>
      </c>
      <c r="B8" s="149" t="inlineStr">
        <is>
          <t>Времени на одну съёмку</t>
        </is>
      </c>
      <c r="C8" s="150" t="inlineStr">
        <is>
          <t>9,0 ч</t>
        </is>
      </c>
      <c r="D8" s="151" t="inlineStr">
        <is>
          <t>'=project_time = shoot_duration*(1+post_ratio)+client_time</t>
        </is>
      </c>
      <c r="E8" s="152" t="inlineStr">
        <is>
          <t>2 ч съёмки × (1+3 обработка) + 1 ч на клиента = 9 ч. Это полный цикл одного заказа: переписка и согласование, съёмка, отбор, цветокоррекция, ретушь, экспорт и передача.</t>
        </is>
      </c>
    </row>
    <row r="9" ht="58" customHeight="1">
      <c r="A9" s="149" t="inlineStr">
        <is>
          <t>9.4</t>
        </is>
      </c>
      <c r="B9" s="149" t="inlineStr">
        <is>
          <t>Цена одного кадра</t>
        </is>
      </c>
      <c r="C9" s="150" t="inlineStr">
        <is>
          <t>118 ₽</t>
        </is>
      </c>
      <c r="D9" s="151" t="inlineStr">
        <is>
          <t>'=(revenue_full/projects_year)/(frames_out*shoot_duration)</t>
        </is>
      </c>
      <c r="E9" s="152" t="inlineStr">
        <is>
          <t>Цена съёмки (18 934 ₽) делится на количество отданных кадров (80 кадров/час × 2 ч = 160). frames_out задаёт пользователь в форме.</t>
        </is>
      </c>
    </row>
    <row r="11">
      <c r="A11" s="146" t="inlineStr">
        <is>
          <t>БЛОК 04 · КУДА УХОДИТ ВАШЕ ВРЕМЯ — откуда берутся рабочие паузы</t>
        </is>
      </c>
      <c r="B11" s="147" t="n"/>
      <c r="C11" s="147" t="n"/>
      <c r="D11" s="147" t="n"/>
      <c r="E11" s="147" t="n"/>
    </row>
    <row r="12">
      <c r="A12" s="148" t="inlineStr">
        <is>
          <t>№</t>
        </is>
      </c>
      <c r="B12" s="148" t="inlineStr">
        <is>
          <t>Показатель</t>
        </is>
      </c>
      <c r="C12" s="148" t="inlineStr">
        <is>
          <t>Значение</t>
        </is>
      </c>
      <c r="D12" s="148" t="inlineStr">
        <is>
          <t>Формула (через ID)</t>
        </is>
      </c>
      <c r="E12" s="148" t="inlineStr">
        <is>
          <t>Что означает и почему так</t>
        </is>
      </c>
    </row>
    <row r="13" ht="58" customHeight="1">
      <c r="A13" s="149" t="inlineStr">
        <is>
          <t>4.1</t>
        </is>
      </c>
      <c r="B13" s="149" t="inlineStr">
        <is>
          <t>Рабочее время по календарю</t>
        </is>
      </c>
      <c r="C13" s="150" t="inlineStr">
        <is>
          <t>1 976 ч/год</t>
        </is>
      </c>
      <c r="D13" s="151" t="inlineStr">
        <is>
          <t>'=work_days*nominal_hours = 247*8</t>
        </is>
      </c>
      <c r="E13" s="152" t="inlineStr">
        <is>
          <t>Производственный календарь: 247 рабочих дней по 8 часов.</t>
        </is>
      </c>
    </row>
    <row r="14" ht="58" customHeight="1">
      <c r="A14" s="149" t="inlineStr">
        <is>
          <t>4.2</t>
        </is>
      </c>
      <c r="B14" s="149" t="inlineStr">
        <is>
          <t>Чистое время</t>
        </is>
      </c>
      <c r="C14" s="150" t="inlineStr">
        <is>
          <t>1 533 ч/год</t>
        </is>
      </c>
      <c r="D14" s="151" t="inlineStr">
        <is>
          <t>'=net_days*eff_hours = (247-20-8)*7</t>
        </is>
      </c>
      <c r="E14" s="152" t="inlineStr">
        <is>
          <t>Минус отпуск 20 раб. дней и больничный 8 раб. дней = 219 дней. По 7 продуктивных часов.</t>
        </is>
      </c>
    </row>
    <row r="15" ht="58" customHeight="1">
      <c r="A15" s="149" t="inlineStr">
        <is>
          <t>4.3</t>
        </is>
      </c>
      <c r="B15" s="149" t="inlineStr">
        <is>
          <t>РАБОЧИЕ ПАУЗЫ (idle)</t>
        </is>
      </c>
      <c r="C15" s="150" t="inlineStr">
        <is>
          <t>219 ч/год = 5,0 ч/нед</t>
        </is>
      </c>
      <c r="D15" s="151" t="inlineStr">
        <is>
          <t>'=net_days*(nominal_hours-eff_hours) = 219*(8-7)</t>
        </is>
      </c>
      <c r="E15" s="152" t="inlineStr">
        <is>
          <t>РОВНО 1 ЧАС В ДЕНЬ. Это НЕ дорога и НЕ простой. Это подготовка и уборка рабочего места, зарядка и проверка техники, размяться, отойти — разбросано по всему рабочему дню. Нормальная часть рабочего процесса, поэтому включена в базу распределения дохода.</t>
        </is>
      </c>
    </row>
    <row r="16" ht="58" customHeight="1">
      <c r="A16" s="149" t="inlineStr">
        <is>
          <t>4.4</t>
        </is>
      </c>
      <c r="B16" s="149" t="inlineStr">
        <is>
          <t>База распределения дохода</t>
        </is>
      </c>
      <c r="C16" s="150" t="inlineStr">
        <is>
          <t>1 752 ч/год</t>
        </is>
      </c>
      <c r="D16" s="151" t="inlineStr">
        <is>
          <t>'=net_time+idle_time = 1533+219</t>
        </is>
      </c>
      <c r="E16" s="152" t="inlineStr">
        <is>
          <t>Доход раскладывается на чистое время ПЛЮС рабочие паузы — потому что паузы оплачиваются так же, как в найме: работодатель платит за 8 часов, а не за 7.</t>
        </is>
      </c>
    </row>
    <row r="18">
      <c r="A18" s="146" t="inlineStr">
        <is>
          <t>ПРОВЕРКА · сходимость</t>
        </is>
      </c>
      <c r="B18" s="147" t="n"/>
      <c r="C18" s="147" t="n"/>
      <c r="D18" s="147" t="n"/>
      <c r="E18" s="147" t="n"/>
    </row>
    <row r="19">
      <c r="A19" s="148" t="inlineStr">
        <is>
          <t>№</t>
        </is>
      </c>
      <c r="B19" s="148" t="inlineStr">
        <is>
          <t>Показатель</t>
        </is>
      </c>
      <c r="C19" s="148" t="inlineStr">
        <is>
          <t>Значение</t>
        </is>
      </c>
      <c r="D19" s="148" t="inlineStr">
        <is>
          <t>Формула (через ID)</t>
        </is>
      </c>
      <c r="E19" s="148" t="inlineStr">
        <is>
          <t>Что означает и почему так</t>
        </is>
      </c>
    </row>
    <row r="20" ht="58" customHeight="1">
      <c r="A20" s="149" t="inlineStr">
        <is>
          <t>П1</t>
        </is>
      </c>
      <c r="B20" s="149" t="inlineStr">
        <is>
          <t>Сумма недели</t>
        </is>
      </c>
      <c r="C20" s="150" t="inlineStr">
        <is>
          <t>40,00 ч</t>
        </is>
      </c>
      <c r="D20" s="151" t="inlineStr">
        <is>
          <t>'=(shooting_time+post_time+promo_time+client_total+accounting_time+fm_time+idle_time)/net_weeks</t>
        </is>
      </c>
      <c r="E20" s="152" t="inlineStr">
        <is>
          <t>Съёмка 5,2 + обработка 15,7 + продвижение 10,0 + клиент 2,6 + учёт 0,3 + форс-мажор 1,2 + паузы 5,0 = 40,00 ч. Совпадает с 5-дневной 40-часовой неделей по ТК РФ.</t>
        </is>
      </c>
    </row>
    <row r="22">
      <c r="A22" s="154" t="inlineStr">
        <is>
          <t>БЛОК «ДВА ЗАПАСА» · РЕКОМЕНДАЦИИ (в основной расчёт НЕ входят)</t>
        </is>
      </c>
    </row>
    <row r="23">
      <c r="A23" s="149" t="inlineStr">
        <is>
          <t>№</t>
        </is>
      </c>
      <c r="B23" s="149" t="inlineStr">
        <is>
          <t>Показатель</t>
        </is>
      </c>
      <c r="C23" s="150" t="inlineStr">
        <is>
          <t>Значение</t>
        </is>
      </c>
      <c r="D23" s="151" t="inlineStr">
        <is>
          <t>Формула (через ID)</t>
        </is>
      </c>
      <c r="E23" s="152" t="inlineStr">
        <is>
          <t>Что означает и почему так</t>
        </is>
      </c>
    </row>
    <row r="24" ht="58" customHeight="1">
      <c r="A24" s="149" t="inlineStr">
        <is>
          <t>Р.1</t>
        </is>
      </c>
      <c r="B24" s="149" t="inlineStr">
        <is>
          <t>Фонд развития, % выручки</t>
        </is>
      </c>
      <c r="C24" s="150" t="inlineStr">
        <is>
          <t>5% (ползунок 0–15)</t>
        </is>
      </c>
      <c r="D24" s="151" t="inlineStr">
        <is>
          <t>'задаёт пользователь в отчёте</t>
        </is>
      </c>
      <c r="E24" s="152" t="inlineStr">
        <is>
          <t>Считается от ВЫРУЧКИ, а не от прибыли. Норма реинвестирования 20–30% прибыли для соло-специалиста неприменима: прибыль здесь и есть зарплата.</t>
        </is>
      </c>
    </row>
    <row r="25" ht="58" customHeight="1">
      <c r="A25" s="149" t="inlineStr">
        <is>
          <t>Р.2</t>
        </is>
      </c>
      <c r="B25" s="149" t="inlineStr">
        <is>
          <t>Выручка с фондом</t>
        </is>
      </c>
      <c r="C25" s="150" t="inlineStr">
        <is>
          <t>2 290 039 ₽</t>
        </is>
      </c>
      <c r="D25" s="151" t="inlineStr">
        <is>
          <t>'=(target_income+total_costs)/(1-налог-эквайринг-g)</t>
        </is>
      </c>
      <c r="E25" s="152" t="inlineStr">
        <is>
          <t>g — доля фонда. При 5%: ставка 10 016 ₽ вместо 9 467 ₽, рост 5,8%.</t>
        </is>
      </c>
    </row>
    <row r="26" ht="58" customHeight="1">
      <c r="A26" s="149" t="inlineStr">
        <is>
          <t>Р.3</t>
        </is>
      </c>
      <c r="B26" s="149" t="inlineStr">
        <is>
          <t>Сумма фонда за год</t>
        </is>
      </c>
      <c r="C26" s="150" t="inlineStr">
        <is>
          <t>114 502 ₽</t>
        </is>
      </c>
      <c r="D26" s="151" t="inlineStr">
        <is>
          <t>'=выручка_с_фондом*g</t>
        </is>
      </c>
      <c r="E26" s="152" t="inlineStr">
        <is>
          <t>9 542 ₽/мес. Это 53% годовой амортизации техники — за два года накапливается стоимость всего парка оборудования.</t>
        </is>
      </c>
    </row>
    <row r="27" ht="58" customHeight="1">
      <c r="A27" s="149" t="inlineStr">
        <is>
          <t>Р.4</t>
        </is>
      </c>
      <c r="B27" s="149" t="inlineStr">
        <is>
          <t>Запас на скидку, %</t>
        </is>
      </c>
      <c r="C27" s="150" t="inlineStr">
        <is>
          <t>10% (ползунок 0–25)</t>
        </is>
      </c>
      <c r="D27" s="151" t="inlineStr">
        <is>
          <t>'задаёт пользователь в отчёте</t>
        </is>
      </c>
      <c r="E27" s="152" t="inlineStr">
        <is>
          <t>Максимальная скидка, которую хочется давать «просто так», вне объёмной сетки блока 06.</t>
        </is>
      </c>
    </row>
    <row r="28" ht="58" customHeight="1">
      <c r="A28" s="149" t="inlineStr">
        <is>
          <t>Р.5</t>
        </is>
      </c>
      <c r="B28" s="149" t="inlineStr">
        <is>
          <t>Наценка под скидку</t>
        </is>
      </c>
      <c r="C28" s="150" t="inlineStr">
        <is>
          <t>+11,1% при скидке 10%</t>
        </is>
      </c>
      <c r="D28" s="151" t="inlineStr">
        <is>
          <t>'=1/(1-D)-1</t>
        </is>
      </c>
      <c r="E28" s="152" t="inlineStr">
        <is>
          <t>ДЕЛИТЬ, а не умножать. Чтобы после скидки 10% остаться при своих, поднять надо на 11,1%. При 15% → +17,6%, при 20% → +25%.</t>
        </is>
      </c>
    </row>
    <row r="29" ht="58" customHeight="1">
      <c r="A29" s="149" t="inlineStr">
        <is>
          <t>Р.6</t>
        </is>
      </c>
      <c r="B29" s="149" t="inlineStr">
        <is>
          <t>Итоговая ставка</t>
        </is>
      </c>
      <c r="C29" s="150" t="inlineStr">
        <is>
          <t>11 129 ₽</t>
        </is>
      </c>
      <c r="D29" s="151" t="inlineStr">
        <is>
          <t>'=выручка_с_фондом/(1-D)/shooting_time</t>
        </is>
      </c>
      <c r="E29" s="152" t="inlineStr">
        <is>
          <t>Фонд 5% + скидка 10% дают рост цены на 17,6% относительно базовой 9 467 ₽.</t>
        </is>
      </c>
    </row>
    <row r="30" ht="58" customHeight="1">
      <c r="A30" s="149" t="inlineStr">
        <is>
          <t>Р.7</t>
        </is>
      </c>
      <c r="B30" s="149" t="inlineStr">
        <is>
          <t>Проверка лимита НПД</t>
        </is>
      </c>
      <c r="C30" s="150" t="inlineStr">
        <is>
          <t>2 544 488 ₽ &gt; 2 400 000 ₽</t>
        </is>
      </c>
      <c r="D30" s="151" t="inlineStr">
        <is>
          <t>'=итоговая_выручка&gt;limit_npd</t>
        </is>
      </c>
      <c r="E30" s="152" t="inlineStr">
        <is>
          <t>ВАЖНО: с обоими запасами выручка вылетает за лимит самозанятости. Блок показывает предупреждение, что режим из блока 07 перестаёт подходить.</t>
        </is>
      </c>
    </row>
    <row r="32">
      <c r="A32" s="154" t="inlineStr">
        <is>
          <t>ОКРУГЛЕНИЕ · только крупная цифра в шапке</t>
        </is>
      </c>
    </row>
    <row r="33">
      <c r="A33" s="149" t="inlineStr">
        <is>
          <t>№</t>
        </is>
      </c>
      <c r="B33" s="149" t="inlineStr">
        <is>
          <t>Показатель</t>
        </is>
      </c>
      <c r="C33" s="150" t="inlineStr">
        <is>
          <t>Значение</t>
        </is>
      </c>
      <c r="D33" s="151" t="inlineStr">
        <is>
          <t>Формула (через ID)</t>
        </is>
      </c>
      <c r="E33" s="152" t="inlineStr">
        <is>
          <t>Что означает и почему так</t>
        </is>
      </c>
    </row>
    <row r="34" ht="58" customHeight="1">
      <c r="A34" s="149" t="inlineStr">
        <is>
          <t>О.1</t>
        </is>
      </c>
      <c r="B34" s="149" t="inlineStr">
        <is>
          <t>Ставка в шапке (hero)</t>
        </is>
      </c>
      <c r="C34" s="150" t="inlineStr">
        <is>
          <t>9 500 ₽</t>
        </is>
      </c>
      <c r="D34" s="151" t="inlineStr">
        <is>
          <t>'=ОКРВВЕРХ(ставка;500)</t>
        </is>
      </c>
      <c r="E34" s="152" t="inlineStr">
        <is>
          <t>ЕДИНСТВЕННОЕ округление во всём отчёте. Нужно, чтобы человек воспринимал свой час цельной величиной и мог её запомнить. Только вверх — вниз округлять нельзя, доход просядет.</t>
        </is>
      </c>
    </row>
    <row r="35" ht="58" customHeight="1">
      <c r="A35" s="149" t="inlineStr">
        <is>
          <t>О.2</t>
        </is>
      </c>
      <c r="B35" s="149" t="inlineStr">
        <is>
          <t>Точное значение рядом</t>
        </is>
      </c>
      <c r="C35" s="150" t="inlineStr">
        <is>
          <t>· точно 9 467 ₽</t>
        </is>
      </c>
      <c r="D35" s="151" t="inlineStr">
        <is>
          <t>'=revenue_full/shooting_time</t>
        </is>
      </c>
      <c r="E35" s="152" t="inlineStr">
        <is>
          <t>Выводится в подписи под крупной цифрой, серым. Показывается только если округлённое и точное различаются.</t>
        </is>
      </c>
    </row>
    <row r="36" ht="58" customHeight="1">
      <c r="A36" s="149" t="inlineStr">
        <is>
          <t>О.3</t>
        </is>
      </c>
      <c r="B36" s="149" t="inlineStr">
        <is>
          <t>Все остальные цифры</t>
        </is>
      </c>
      <c r="C36" s="150" t="inlineStr">
        <is>
          <t>без округления</t>
        </is>
      </c>
      <c r="D36" s="151" t="inlineStr">
        <is>
          <t>'—</t>
        </is>
      </c>
      <c r="E36" s="152" t="inlineStr">
        <is>
          <t>Отчёт считает юнит-экономику специалиста, а не формирует прайс для клиента. Точные значения: кольцо блока 01, три сценария, «в ноль», сетка скидок, блок «Два запаса», хук, цена съёмки, выручка, налоги, четыре цифры блока 09.</t>
        </is>
      </c>
    </row>
    <row r="37" ht="58" customHeight="1">
      <c r="A37" s="149" t="inlineStr">
        <is>
          <t>О.4</t>
        </is>
      </c>
      <c r="B37" s="149" t="inlineStr">
        <is>
          <t>Подпись под кнопкой PDF</t>
        </is>
      </c>
      <c r="C37" s="150" t="inlineStr">
        <is>
          <t>rsv_02</t>
        </is>
      </c>
      <c r="D37" s="151" t="inlineStr">
        <is>
          <t>'—</t>
        </is>
      </c>
      <c r="E37" s="152" t="inlineStr">
        <is>
          <t>Объясняет читателю разницу: «В шапке ставка округлена до 500 ₽ — так её проще держать в голове и называть. Все расчёты в отчёте идут по точному значению, без округлений».</t>
        </is>
      </c>
    </row>
    <row r="38" ht="58" customHeight="1">
      <c r="A38" s="149" t="n"/>
      <c r="B38" s="149" t="n"/>
      <c r="C38" s="150" t="n"/>
      <c r="D38" s="151" t="n"/>
      <c r="E38" s="152" t="n"/>
    </row>
    <row r="39" ht="58" customHeight="1">
      <c r="A39" s="149" t="n"/>
      <c r="B39" s="149" t="n"/>
      <c r="C39" s="150" t="n"/>
      <c r="D39" s="151" t="n"/>
      <c r="E39" s="152" t="n"/>
    </row>
    <row r="40" ht="58" customHeight="1">
      <c r="A40" s="149" t="n"/>
      <c r="B40" s="149" t="n"/>
      <c r="C40" s="150" t="n"/>
      <c r="D40" s="151" t="n"/>
      <c r="E40" s="152" t="n"/>
    </row>
    <row r="41" ht="58" customHeight="1">
      <c r="A41" s="149" t="n"/>
      <c r="B41" s="149" t="n"/>
      <c r="C41" s="150" t="n"/>
      <c r="D41" s="151" t="n"/>
      <c r="E41" s="152" t="n"/>
    </row>
    <row r="42" ht="58" customHeight="1">
      <c r="A42" s="149" t="n"/>
      <c r="B42" s="149" t="n"/>
      <c r="C42" s="150" t="n"/>
      <c r="D42" s="151" t="n"/>
      <c r="E42" s="152" t="n"/>
    </row>
    <row r="44">
      <c r="A44" s="2" t="inlineStr">
        <is>
          <t>ТОЧКА БЕЗУБЫТОЧНОСТИ — исправлено 07.08.2026</t>
        </is>
      </c>
    </row>
    <row r="45">
      <c r="A45" t="inlineStr">
        <is>
          <t>Было (неверно)</t>
        </is>
      </c>
      <c r="B45" t="inlineStr">
        <is>
          <t>Vb = costY + taxAll + aq. Налог и эквайринг брались из ЦЕЛЕВОГО сценария, хотя обе величины зависят от самой выручки. Ставка завышалась: 3 835 ₽/ч.</t>
        </is>
      </c>
    </row>
    <row r="46">
      <c r="A46" t="inlineStr">
        <is>
          <t>Стало</t>
        </is>
      </c>
      <c r="B46" t="inlineStr">
        <is>
          <t>Решается уравнение V − costY − V×0,028 − налог(V) = 0 для режима из анкеты. Метод — деление пополам, 90 итераций: у налога изломы (взносы, минимальный налог), аналитической формулы нет.</t>
        </is>
      </c>
    </row>
    <row r="47">
      <c r="A47" t="inlineStr">
        <is>
          <t>Проверка (демо, НПД 5%)</t>
        </is>
      </c>
      <c r="B47" t="inlineStr">
        <is>
          <t>V = 722 371 ₽ = расходы 666 026 + эквайринг 20 226 + налог 36 119. Невязка нетто 1e-10 ₽. Ставка 3 335 ₽/ч.</t>
        </is>
      </c>
    </row>
    <row r="48">
      <c r="A48" t="inlineStr">
        <is>
          <t>По режимам</t>
        </is>
      </c>
      <c r="B48" t="inlineStr">
        <is>
          <t>НПД 4% — 3 299 ₽/ч · НПД 5% — 3 335 · НПД 6% — 3 372 · УСН 6% — 3 457 · УСН 15% — 3 484 · АУСН 8% — 3 447 · АУСН 20% — 3 264</t>
        </is>
      </c>
    </row>
    <row r="49">
      <c r="A49" t="inlineStr">
        <is>
          <t>Текущий сценарий</t>
        </is>
      </c>
      <c r="B49" t="inlineStr">
        <is>
          <t>Налог и эквайринг тоже пересчитаны по своей выручке и своему режиму. Раньше налог был жёстко зашит под УСН 6%, даже если человек на НПД.</t>
        </is>
      </c>
    </row>
    <row r="51">
      <c r="A51" s="2" t="inlineStr">
        <is>
          <t>БЛОК 03 — ДВЕ ПРИРОДЫ СКИДКИ, 07.08.2026</t>
        </is>
      </c>
    </row>
    <row r="52">
      <c r="A52" t="inlineStr">
        <is>
          <t>Скидка за объём</t>
        </is>
      </c>
      <c r="B52" t="inlineStr">
        <is>
          <t>Источник — накладные: длинная съёмка размазывает подготовку и переписку на большее число часов. Доход не меняется. Считается: (S×(1+K)+cl)×hp/S, ступени S+2, S+4, S+6.</t>
        </is>
      </c>
    </row>
    <row r="53">
      <c r="A53" t="inlineStr">
        <is>
          <t>Скидка из запаса</t>
        </is>
      </c>
      <c r="B53" t="inlineStr">
        <is>
          <t>Источник — наценка discP, заложенная в цену в анкете. Даётся по решению фотографа, доход не меняется, пока скидка ≤ запаса. Предел: базовая цена × (1 − discP).</t>
        </is>
      </c>
    </row>
    <row r="54">
      <c r="A54" t="inlineStr">
        <is>
          <t>Складываются</t>
        </is>
      </c>
      <c r="B54" t="inlineStr">
        <is>
          <t>Обе скидки независимы. Клиент на 5 ч при запасе 10%: −16,2% за объём и ещё до −10% из запаса.</t>
        </is>
      </c>
    </row>
    <row r="55">
      <c r="A55" t="inlineStr">
        <is>
          <t>Если запас не заложен</t>
        </is>
      </c>
      <c r="B55" t="inlineStr">
        <is>
          <t>Показывается .note.warn: любая уступка сверх объёмной идёт из дохода. Раньше блок 03 discP не использовал вообще, хотя из анкеты он приходил.</t>
        </is>
      </c>
    </row>
    <row r="56">
      <c r="A56" t="inlineStr">
        <is>
          <t>Проверка (демо, запас 10%)</t>
        </is>
      </c>
      <c r="B56" t="inlineStr">
        <is>
          <t>база 9 900 ₽/ч → предел 9 000 ₽/ч, резерв 900 ₽/ч</t>
        </is>
      </c>
    </row>
    <row r="58">
      <c r="A58" s="2" t="inlineStr">
        <is>
          <t>БЛОК 03 — СЦЕНАРИЙ «КАЖДЫЙ ТРЕТИЙ ЗАКАЗ ОТ ПОСТОЯННОГО», 09.08.2026</t>
        </is>
      </c>
    </row>
    <row r="59">
      <c r="A59" t="inlineStr">
        <is>
          <t>Доля 30%</t>
        </is>
      </c>
      <c r="B59" t="inlineStr">
        <is>
          <t>Отраслевая норма Repeat Purchase Rate: хорошим считается 20–40% (mindbox.ru/journal/education/retention-rate, ads.vk.ru/insights/retention-rate-chto-eto-i-kak-ego-uvelichit, rush-agency.ru). Медиана по рынку 27% (retentionlab.ai), средний 25–30%, Shopify ~27% (mobiloud.com). Unisender разбирает ровно 30% как «почти каждый третий клиент возвращается». Взята середина коридора.</t>
        </is>
      </c>
    </row>
    <row r="60">
      <c r="A60" t="inlineStr">
        <is>
          <t>Почему это выгодно</t>
        </is>
      </c>
      <c r="B60" t="inlineStr">
        <is>
          <t>Привлечь нового в 5–7 раз дороже удержания (prooflytics.io). Вероятность продажи существующему 60–70%, новому 5–20% (penguin-team.ua). Около 65% выручки дают действующие клиенты (mobiloud.com, finance.mail.ru).</t>
        </is>
      </c>
    </row>
    <row r="61">
      <c r="A61" t="inlineStr">
        <is>
          <t>Разбивка 40/40/20</t>
        </is>
      </c>
      <c r="B61" t="inlineStr">
        <is>
          <t>НЕ отраслевая статистика — таких данных по частоте визитов в услугах в открытых источниках нет. Взята от собственных ступеней скидки постоянному клиенту: 2, 4 и 12 съёмок в год. В отчёте прямо названа примером распределения.</t>
        </is>
      </c>
    </row>
    <row r="62">
      <c r="A62" t="inlineStr">
        <is>
          <t>Расчёт</t>
        </is>
      </c>
      <c r="B62" t="inlineStr">
        <is>
          <t>Считаем от людей и от фонда, а не от заказов. Экономия на привлечении в покрытие скидок НЕ засчитывается — она остаётся выгодой фотографа. Фонд на постоянных 169 200 ₽ распределяется полностью: 10 чел × 2 съёмки = 20 заказов (5%, 47 000 ₽) · 5 чел × 4 = 20 (7%, 65 800 ₽) · 1 чел × 12 = 12 (10%, 56 400 ₽). Итого 16 клиентов, 52 заказа, скидок ровно 169 200 ₽. Средний чек 47 000 ₽.</t>
        </is>
      </c>
    </row>
    <row r="63">
      <c r="A63" t="inlineStr">
        <is>
          <t>Итог</t>
        </is>
      </c>
      <c r="B63" t="inlineStr">
        <is>
          <t>52 из 217 заказов = 24,0% — «каждый четвёртый». Сверх скидок фотограф получает 137 540 ₽/год экономии на привлечении и 121 ч (15 рабочих дней) — в отчёте показано отдельно как чистая выгода, в бюджет скидок не входит. Прежний вариант (64 заказа, 201 160 ₽ скидок, из фонда 31 880 ₽) отменён: фонд расходовался на 19% и выглядел нерациональным.</t>
        </is>
      </c>
    </row>
    <row r="64">
      <c r="A64" t="inlineStr">
        <is>
          <t>Где зафиксировано</t>
        </is>
      </c>
      <c r="B64" s="229" t="inlineStr">
        <is>
          <t>Вся структура — лист 13b_Программа_лояльности. Там же формулы сходимости: сумма трёх направлений = бюджет фонда, скидки постоянным = бюджет направления. Здесь остаются только пояснения к решениям.</t>
        </is>
      </c>
    </row>
    <row r="65">
      <c r="A65" t="inlineStr">
        <is>
          <t>Доли направлений уточнены</t>
        </is>
      </c>
      <c r="B65" s="229" t="inlineStr">
        <is>
          <t>Было 25 / 45 / 30 «ровными» процентами, суммы не сходились с фондом. Стало: постоянным = сумма ступеней (169 200 ₽), спецпредложения = номинал комплекта (114 000 ₽), объём = остаток (94 626 ₽). Доли получаются 25,0 / 44,8 / 30,2%. Кольцо и полосы в блоке 03 пересчитаны.</t>
        </is>
      </c>
    </row>
    <row r="67">
      <c r="A67" t="inlineStr">
        <is>
          <t>Блок 03 переведён в живой код, 09.08.2026</t>
        </is>
      </c>
    </row>
    <row r="68">
      <c r="A68" t="inlineStr">
        <is>
          <t>Как считается</t>
        </is>
      </c>
      <c r="B68" s="229" t="inlineStr">
        <is>
          <t>Все цифры выводятся из анкеты. Средний чек = базовая цена съёмки (ставка часа × минимальная длительность), НЕ фиксированные 47 000 ₽. Фонд = discY из calc.html. Резерв не заложен → показывается только скидка за объём, подблоки 2 и 3 и фонд скрыты.</t>
        </is>
      </c>
    </row>
    <row r="69">
      <c r="A69" t="inlineStr">
        <is>
          <t>Два ограничителя постоянных</t>
        </is>
      </c>
      <c r="B69" s="229" t="inlineStr">
        <is>
          <t>Число клиентов = min(бюджет направления 45% фонда ÷ скидка на клиента; 30% потока заказов ÷ съёмок на клиента). Без второго ограничителя при большом фонде получалось 224 постоянных заказа из 217 — больше, чем всего заказов.</t>
        </is>
      </c>
    </row>
    <row r="70">
      <c r="A70" t="inlineStr">
        <is>
          <t>Сходимость</t>
        </is>
      </c>
      <c r="B70" s="229" t="inlineStr">
        <is>
          <t>Скидка за объём = фонд − постоянным − сертификаты. Остаток всегда уходит в объём, поэтому сумма трёх направлений равна фонду при любых входных данных. Проверено на резерве 5% и 15%.</t>
        </is>
      </c>
    </row>
    <row r="71">
      <c r="A71" t="inlineStr">
        <is>
          <t>Заголовок сценария</t>
        </is>
      </c>
      <c r="B71" s="229" t="inlineStr">
        <is>
          <t>«Каждый второй / третий / четвёртый / пятый» выбирается по факту: делим общее число заказов на заказы постоянных. Раньше стояло жёстко «каждый третий».</t>
        </is>
      </c>
    </row>
    <row r="72">
      <c r="A72" t="inlineStr">
        <is>
          <t>Полная таблица: два новых раздела, 09.08.2026</t>
        </is>
      </c>
    </row>
    <row r="73">
      <c r="A73" t="inlineStr">
        <is>
          <t>Привлечение клиента</t>
        </is>
      </c>
      <c r="B73" s="229" t="inlineStr">
        <is>
          <t>Показывается всегда. Поиск, переписка, реклама с сайтом — на один заказ. Стоимость нового клиента = (поиск + переписка) × ставка часа + реклама/сайт на заказ. Постоянный = переписка × 0,70 × ставка (на 30% короче, рекламы нет).</t>
        </is>
      </c>
    </row>
    <row r="74">
      <c r="A74" t="inlineStr">
        <is>
          <t>Программа лояльности</t>
        </is>
      </c>
      <c r="B74" s="229" t="inlineStr">
        <is>
          <t>Показывается только при заложенном резерве. Резерв, фонд за год / месяц / съёмку, три направления с долями, средний чек, ступени постоянного клиента, итог по клиентам и заказам, комплект сертификатов, экономия на привлечении. Все величины берутся из тех же переменных, что и блок 03, — второго расчёта нет, расхождение невозможно.</t>
        </is>
      </c>
    </row>
    <row r="76">
      <c r="A76" t="inlineStr">
        <is>
          <t>Блок 07 «Сколько стоит привести одного клиента», 09.08.2026</t>
        </is>
      </c>
    </row>
    <row r="77">
      <c r="A77" t="inlineStr">
        <is>
          <t>Где стоит</t>
        </is>
      </c>
      <c r="B77" s="229" t="inlineStr">
        <is>
          <t>Перед блоком «Четыре цифры». Нумерация сдвинулась: новый блок 07, «Четыре цифры» стали 08, «Объясняйте клиенту» — 09. В собрать.py ожидаемое число блоков 18 → 19.</t>
        </is>
      </c>
    </row>
    <row r="78">
      <c r="A78" t="inlineStr">
        <is>
          <t>Расчёт вынесен наверх</t>
        </is>
      </c>
      <c r="B78" s="229" t="inlineStr">
        <is>
          <t>Стоимость привлечения считается ОДИН раз до всех блоков и используется в блоке 03, блоке 07 и полной таблице. Раньше формула дублировалась в двух местах — риск расхождения при правке.</t>
        </is>
      </c>
    </row>
    <row r="79">
      <c r="A79" t="inlineStr">
        <is>
          <t>Состав заявки</t>
        </is>
      </c>
      <c r="B79" s="229" t="inlineStr">
        <is>
          <t>Поиск и продвижение = promo/py × ставка часа. Переговоры = clT/py × ставка. Реклама и сайт = (varAds + depSite)/py. Ставка часа = Ny/(NT+idle).</t>
        </is>
      </c>
    </row>
    <row r="80">
      <c r="A80" t="inlineStr">
        <is>
          <t>Постоянный клиент</t>
        </is>
      </c>
      <c r="B80" s="229" t="inlineStr">
        <is>
          <t>Поиск и реклама не тратятся, переписка короче на 30%: постЧ = перепЧ × 0,70. На демо-наборе новый 3 168 ₽ против 523 ₽ — дешевле в 6,1 раза.</t>
        </is>
      </c>
    </row>
    <row r="81">
      <c r="A81" t="inlineStr">
        <is>
          <t>Ромб врезки</t>
        </is>
      </c>
      <c r="B81" s="229" t="inlineStr">
        <is>
          <t>Подсказка .exm при незаложенном резерве остаётся пустой, но ромб-маркер продолжал рисоваться и уезжал под текст. Добавлено .ex .exm:empty{display:none}.</t>
        </is>
      </c>
    </row>
    <row r="82">
      <c r="A82" t="inlineStr">
        <is>
          <t>Блок 07 переделан по эталону блока 01, 09.08.2026</t>
        </is>
      </c>
    </row>
    <row r="83">
      <c r="A83" t="inlineStr">
        <is>
          <t>Диаграмма</t>
        </is>
      </c>
      <c r="B83" s="229" t="inlineStr">
        <is>
          <t>Строится теми же классами, что легенда блока 01: .lgd → .lggrp → .lgi с заливкой .fill по доле от наибольшей величины. Геометрия сверена вычисленными стилями: сетка, отступы, радиус, маркеры, кегль групп совпадают с блоком 01 полностью.</t>
        </is>
      </c>
    </row>
    <row r="84">
      <c r="A84" t="inlineStr">
        <is>
          <t>Две природы затрат</t>
        </is>
      </c>
      <c r="B84" s="229" t="inlineStr">
        <is>
          <t>Как «время / деньги» в блоке 01. Группа «Ваше время»: продвижение и реклама (promo/py) + переговоры (clT/py), обе оценены по стоимости часа. Группа «Прямые расходы»: реклама (varAds/py) и сайт (depSite/py) — раздельными строками.</t>
        </is>
      </c>
    </row>
    <row r="85">
      <c r="A85" t="inlineStr">
        <is>
          <t>Итог</t>
        </is>
      </c>
      <c r="B85" s="229" t="inlineStr">
        <is>
          <t>Отдельной строкой .lgi.tot в конце диаграммы, а не плашкой: плашка дублировала бы сумму, которая уже видна в сравнении.</t>
        </is>
      </c>
    </row>
    <row r="86">
      <c r="A86" t="inlineStr">
        <is>
          <t>Сравнение</t>
        </is>
      </c>
      <c r="B86" s="229" t="inlineStr">
        <is>
          <t>Таблица .cmp в три столбца: показатель · новый · постоянный. Прежние плашки .cacc/.cacw убраны — они повторяли те же суммы дважды. Строки таблицы повторяют состав диаграммы один в один.</t>
        </is>
      </c>
    </row>
    <row r="87">
      <c r="A87" t="inlineStr">
        <is>
          <t>Стоимость привлечения и точка безубыточности — разная природа, 09.08.2026</t>
        </is>
      </c>
    </row>
    <row r="88">
      <c r="A88" t="inlineStr">
        <is>
          <t>Вопрос</t>
        </is>
      </c>
      <c r="B88" s="229" t="inlineStr">
        <is>
          <t>Стоимость привлечения 3 168 ₽ выглядела больше безубыточной цены заказа 3 335 ₽ — казалось, что вся цена уходит на рекламу.</t>
        </is>
      </c>
    </row>
    <row r="89">
      <c r="A89" t="inlineStr">
        <is>
          <t>Проверка</t>
        </is>
      </c>
      <c r="B89" s="229" t="inlineStr">
        <is>
          <t>Несостыковки нет. 3 335 ₽ — цена, при которой доход НУЛЕВОЙ: время специалиста там стоит 0 ₽, покрываются только живые деньги. 3 168 ₽ — из них 912 ₽ живых денег (реклама + сайт), остальные 2 256 ₽ — время, пересчитанное по ставке 747 ₽/ч из ДОХОДА на руки. Складывать нельзя — двойной счёт.</t>
        </is>
      </c>
    </row>
    <row r="90">
      <c r="A90" t="inlineStr">
        <is>
          <t>Корректное сравнение</t>
        </is>
      </c>
      <c r="B90" s="229" t="inlineStr">
        <is>
          <t>912 ₽ живых денег на привлечение из 3 335 ₽ безубыточной цены заказа = 27%. Формулы блока 05 верны, правок не требуют.</t>
        </is>
      </c>
    </row>
    <row r="91">
      <c r="A91" t="inlineStr">
        <is>
          <t>Что исправлено</t>
        </is>
      </c>
      <c r="B91" s="229" t="inlineStr">
        <is>
          <t>Подпись «и 3,0 часа вашего времени» рядом с суммой в рублях создавала путаницу: часы уже переведены в деньги. Теперь плашка показывает сумму, подзаголовок объясняет перевод, ниже разбивка «время в деньгах 2 256 ₽ / прямые расходы 912 ₽». В таблице строка «Всего вашего времени» в часах заменена на «Эквивалент вашего времени в рублях».</t>
        </is>
      </c>
    </row>
    <row r="92">
      <c r="A92" t="inlineStr">
        <is>
          <t>Блок 07 — косметика сравнения, 09.08.2026</t>
        </is>
      </c>
    </row>
    <row r="93">
      <c r="A93" t="inlineStr">
        <is>
          <t>Заголовок</t>
        </is>
      </c>
      <c r="B93" s="229" t="inlineStr">
        <is>
          <t>У таблицы не было названия — непонятно, что сравнивается. Добавлен заголовок «Новый клиент против постоянного» стилем .lggrp, под ним пояснение без цифр.</t>
        </is>
      </c>
    </row>
    <row r="94">
      <c r="A94" t="inlineStr">
        <is>
          <t>Плашки вынесены наверх</t>
        </is>
      </c>
      <c r="B94" s="229" t="inlineStr">
        <is>
          <t>Крупные суммы (3 168 ₽ и 523 ₽) стояли в шапке таблицы, из-за чего строка заголовков была высотой с плашку. Теперь итог — две цветные плашки НАД таблицей, а таблица только обосновывает состав. Шапка стала тонкой: 11 px, отступы 10 px.</t>
        </is>
      </c>
    </row>
    <row r="95">
      <c r="A95" t="inlineStr">
        <is>
          <t>Порядок</t>
        </is>
      </c>
      <c r="B95" s="229" t="inlineStr">
        <is>
          <t>Диаграмма состава → плашка итога → заголовок сравнения → две плашки → таблица обоснования. Последняя строка таблицы — эквивалент времени в рублях, суммы заявки в ней больше нет: она уже названа в плашках.</t>
        </is>
      </c>
    </row>
    <row r="96">
      <c r="A96" t="inlineStr">
        <is>
          <t>Блок 07 — сравнение перестроено, 09.08.2026</t>
        </is>
      </c>
    </row>
    <row r="97">
      <c r="A97" t="inlineStr">
        <is>
          <t>Порядок</t>
        </is>
      </c>
      <c r="B97" s="229" t="inlineStr">
        <is>
          <t>Плашки итога → заголовок «Новый клиент vs Постоянный» → пояснение → таблица состава. Раньше заголовок стоял над плашками.</t>
        </is>
      </c>
    </row>
    <row r="98">
      <c r="A98" t="inlineStr">
        <is>
          <t>Пояснение</t>
        </is>
      </c>
      <c r="B98" s="229" t="inlineStr">
        <is>
          <t>Говорит, ЗАЧЕМ смотреть блок («сравните, во что обходится каждая заявка, чтобы решать, сколько вкладывать в привлечение, а сколько в удержание»), а не пересказывает преимущества — выводы человек видит в цифрах.</t>
        </is>
      </c>
    </row>
    <row r="99">
      <c r="A99" t="inlineStr">
        <is>
          <t>Шапка таблицы</t>
        </is>
      </c>
      <c r="B99" s="229" t="inlineStr">
        <is>
          <t>Серая заливка во всю ширину убрана: плашка выглядела тяжелее самой таблицы. Остались подписи столбцов 11 px с разделительной чертой, отступы 12/8, столбцы 118 px.</t>
        </is>
      </c>
    </row>
    <row r="100">
      <c r="A100" t="inlineStr">
        <is>
          <t>БАГ: высокая шапка таблицы блока 07 — найдено 09.08.2026</t>
        </is>
      </c>
    </row>
    <row r="101">
      <c r="A101" t="inlineStr">
        <is>
          <t>Симптом</t>
        </is>
      </c>
      <c r="B101" s="229" t="inlineStr">
        <is>
          <t>Строка заголовков таблицы была высотой 210 px при обычной строке 43 px. Правил четыре раза, уменьшая отступы и кегль, — не помогало, потому что причина была не в них.</t>
        </is>
      </c>
    </row>
    <row r="102">
      <c r="A102" t="inlineStr">
        <is>
          <t>Причина</t>
        </is>
      </c>
      <c r="B102" s="229" t="inlineStr">
        <is>
          <t>Совпадение имён классов. Я назвала ячейки шапки .cn и .cp, а .cn уже занят информационными плашками отчёта: у него min-height:210px и декоративный круг ::before 130×130. Ячейка наследовала чужую геометрию.</t>
        </is>
      </c>
    </row>
    <row r="103">
      <c r="A103" t="inlineStr">
        <is>
          <t>Решение</t>
        </is>
      </c>
      <c r="B103" s="229" t="inlineStr">
        <is>
          <t>Переименованы в .cmpn1 / .cmpp1. Шапка стала 37,5 px. Проверено измерением в настоящем браузере (puppeteer): jsdom высоту не вычисляет и этот баг увидеть не мог.</t>
        </is>
      </c>
    </row>
    <row r="104">
      <c r="A104" t="inlineStr">
        <is>
          <t>Урок</t>
        </is>
      </c>
      <c r="B104" s="229" t="inlineStr">
        <is>
          <t>Перед добавлением класса проверять, не занято ли имя: grep по каркасу. Короткие имена (.cn, .cp, .ch) особенно опасны.</t>
        </is>
      </c>
    </row>
    <row r="105">
      <c r="A105" t="inlineStr">
        <is>
          <t>Ссылки на справочник и второй экран шапки, 09.08.2026</t>
        </is>
      </c>
    </row>
    <row r="106">
      <c r="A106" t="inlineStr">
        <is>
          <t>Ссылки вместо пересказа</t>
        </is>
      </c>
      <c r="B106" s="229" t="inlineStr">
        <is>
          <t>В диаграмме блока 07 под названием статьи стоял пересказ состава («контент, рилсы, тексты»). Заменён на ссылку «что входит в статью» на соответствующий термин справочника. Определение живёт в одном месте и не расходится по блокам.</t>
        </is>
      </c>
    </row>
    <row r="107">
      <c r="A107" t="inlineStr">
        <is>
          <t>Как устроено</t>
        </is>
      </c>
      <c r="B107" s="229" t="inlineStr">
        <is>
          <t>Каждому термину справочника присвоен якорь ref0..ref25 по порядку. Функция window.PHR_REF(имя) возвращает id по названию. Справочник строится раньше блока 07, поэтому ссылки резолвятся.</t>
        </is>
      </c>
    </row>
    <row r="108">
      <c r="A108" t="inlineStr">
        <is>
          <t>Экран 2 — время</t>
        </is>
      </c>
      <c r="B108" s="229" t="inlineStr">
        <is>
          <t>Продолжение шапки: первый экран про деньги, второй про загрузку. Гамма голубой плашки «Условий труда» (.cn.b). Показывает число съёмок за год, общее рабочее время и разбивку: съёмка / обработка / продвижение с работой с клиентом / учёт, паузы и форс-мажоры. Каждая колонка дублируется в часах в неделю.</t>
        </is>
      </c>
    </row>
    <row r="109">
      <c r="A109" t="inlineStr">
        <is>
          <t>Проверка</t>
        </is>
      </c>
      <c r="B109" s="229" t="inlineStr">
        <is>
          <t>Сумма четырёх колонок = 1752 ч = NT + idle, то есть всё рабочее время года. Часы берутся из тех же полей, что блок 02, второго расчёта нет.</t>
        </is>
      </c>
    </row>
    <row r="110">
      <c r="A110" t="inlineStr">
        <is>
          <t>Блок «Стоимость привлечения» вынесен из отчёта, 09.08.2026</t>
        </is>
      </c>
      <c r="B110" s="229" t="inlineStr">
        <is>
          <t>Ожидаемое число блоков 19 → 20.</t>
        </is>
      </c>
    </row>
    <row r="111">
      <c r="A111" t="inlineStr">
        <is>
          <t>Решение</t>
        </is>
      </c>
      <c r="B111" s="229" t="inlineStr">
        <is>
          <t>Убран полностью: это маркетинг, а не юнит-экономика, и требует отдельной проработки. Код сохранён в части/07_привлечение_клиента.html — 8 частей: разметка, стили, расчёты, раздел таблицы.</t>
        </is>
      </c>
    </row>
    <row r="112">
      <c r="A112" t="inlineStr">
        <is>
          <t>Что убрано из отчёта</t>
        </is>
      </c>
      <c r="B112" s="229" t="inlineStr">
        <is>
          <t>Блок 07 целиком, раздел «Привлечение клиента» из полной таблицы, строка «Сэкономлено на привлечении» из раздела программы лояльности. Нумерация вернулась: «Четыре цифры» — 07, «Объясняйте клиенту» — 08. В собрать.py 20 → 19 блоков.</t>
        </is>
      </c>
    </row>
    <row r="113">
      <c r="A113" t="inlineStr">
        <is>
          <t>Что осталось</t>
        </is>
      </c>
      <c r="B113" s="229" t="inlineStr">
        <is>
          <t>Экран 2 шапки (время) и ссылки на справочник — они не про привлечение. Переменные расчёта (ставкаЧ, поискЧ, перепЧ, новР, постР) оставлены: их использует блок 03 для экономии на привлечении.</t>
        </is>
      </c>
    </row>
    <row r="114">
      <c r="A114" t="inlineStr">
        <is>
          <t>Нерешённые вопросы, зафиксированы в файле</t>
        </is>
      </c>
      <c r="B114" s="229" t="inlineStr">
        <is>
          <t>1) Часть продвижения работает на удержание, а не только на привлечение — доля не определена. 2) Переговоры считаются только по состоявшимся заказам, время на несостоявшиеся не учтено нигде. 3) Коэффициент 0,7 для постоянного клиента взят БЕЗ ИСТОЧНИКА, обсуждалась цифра 50%. Для 2 и 3 нужен вопрос в анкете: из скольких обращений выходит заказ.</t>
        </is>
      </c>
    </row>
    <row r="115">
      <c r="A115" t="inlineStr">
        <is>
          <t>Отраслевые данные</t>
        </is>
      </c>
      <c r="B115" s="229" t="inlineStr">
        <is>
          <t>Конверсия заявки в сделку по рынку 5–20% (brutalmarketing.me), для услуг 5–15% (vc.ru). Данных именно по фотоуслугам не найдено.</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1"/>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1" customWidth="1" min="3" max="3"/>
    <col width="46" customWidth="1" min="4" max="4"/>
  </cols>
  <sheetData>
    <row r="1">
      <c r="A1" s="144" t="inlineStr">
        <is>
          <t>09c · ПАЛИТРА — единая для формы, отчёта и всех подсказок</t>
        </is>
      </c>
    </row>
    <row r="2" ht="42" customHeight="1">
      <c r="A2" s="227" t="inlineStr">
        <is>
          <t>Один и тот же набор из 68 токенов объявлен в :root обоих файлов — calc.html (#phc-root) и report.html (#phr-root). Собственных hex в вёрстке нет. Исключение: фирменные цвета Visa / Mastercard / МИР в иконках оплаты — их менять нельзя.</t>
        </is>
      </c>
    </row>
    <row r="4">
      <c r="A4" s="146" t="inlineStr">
        <is>
          <t>Нейтральные · текст и линии</t>
        </is>
      </c>
      <c r="B4" s="147" t="n"/>
      <c r="C4" s="147" t="n"/>
      <c r="D4" s="147" t="n"/>
    </row>
    <row r="5">
      <c r="A5" s="155" t="inlineStr">
        <is>
          <t>Токен CSS</t>
        </is>
      </c>
      <c r="B5" s="155" t="inlineStr">
        <is>
          <t>HEX</t>
        </is>
      </c>
      <c r="C5" s="155" t="inlineStr">
        <is>
          <t>Образец</t>
        </is>
      </c>
      <c r="D5" s="155" t="inlineStr">
        <is>
          <t>Где применяется</t>
        </is>
      </c>
    </row>
    <row r="6" ht="19" customHeight="1">
      <c r="A6" s="156" t="inlineStr">
        <is>
          <t>--c-ink</t>
        </is>
      </c>
      <c r="B6" s="156" t="inlineStr">
        <is>
          <t>#1A1A1A</t>
        </is>
      </c>
      <c r="C6" s="157" t="inlineStr"/>
      <c r="D6" s="158" t="inlineStr">
        <is>
          <t>основной текст</t>
        </is>
      </c>
    </row>
    <row r="7">
      <c r="A7" s="146" t="inlineStr">
        <is>
          <t>Прочее</t>
        </is>
      </c>
      <c r="B7" s="147" t="n"/>
      <c r="C7" s="147" t="n"/>
      <c r="D7" s="147" t="n"/>
    </row>
    <row r="8">
      <c r="A8" s="155" t="inlineStr">
        <is>
          <t>Токен CSS</t>
        </is>
      </c>
      <c r="B8" s="155" t="inlineStr">
        <is>
          <t>HEX</t>
        </is>
      </c>
      <c r="C8" s="155" t="inlineStr">
        <is>
          <t>Образец</t>
        </is>
      </c>
      <c r="D8" s="155" t="inlineStr">
        <is>
          <t>Где применяется</t>
        </is>
      </c>
    </row>
    <row r="9" ht="19" customHeight="1">
      <c r="A9" s="156" t="inlineStr">
        <is>
          <t>--c-ink2</t>
        </is>
      </c>
      <c r="B9" s="156" t="inlineStr">
        <is>
          <t>#374151</t>
        </is>
      </c>
      <c r="C9" s="159" t="inlineStr"/>
      <c r="D9" s="158" t="inlineStr">
        <is>
          <t>заголовки таблиц</t>
        </is>
      </c>
    </row>
    <row r="10" ht="19" customHeight="1">
      <c r="A10" s="156" t="inlineStr">
        <is>
          <t>--c-ink3</t>
        </is>
      </c>
      <c r="B10" s="156" t="inlineStr">
        <is>
          <t>#4B5563</t>
        </is>
      </c>
      <c r="C10" s="160" t="inlineStr"/>
      <c r="D10" s="158" t="inlineStr">
        <is>
          <t>вторичный текст</t>
        </is>
      </c>
    </row>
    <row r="11">
      <c r="A11" s="146" t="inlineStr">
        <is>
          <t>Нейтральные · текст и линии</t>
        </is>
      </c>
      <c r="B11" s="147" t="n"/>
      <c r="C11" s="147" t="n"/>
      <c r="D11" s="147" t="n"/>
    </row>
    <row r="12">
      <c r="A12" s="155" t="inlineStr">
        <is>
          <t>Токен CSS</t>
        </is>
      </c>
      <c r="B12" s="155" t="inlineStr">
        <is>
          <t>HEX</t>
        </is>
      </c>
      <c r="C12" s="155" t="inlineStr">
        <is>
          <t>Образец</t>
        </is>
      </c>
      <c r="D12" s="155" t="inlineStr">
        <is>
          <t>Где применяется</t>
        </is>
      </c>
    </row>
    <row r="13" ht="19" customHeight="1">
      <c r="A13" s="156" t="inlineStr">
        <is>
          <t>--c-gr</t>
        </is>
      </c>
      <c r="B13" s="156" t="inlineStr">
        <is>
          <t>#6B7280</t>
        </is>
      </c>
      <c r="C13" s="161" t="inlineStr"/>
      <c r="D13" s="158" t="inlineStr">
        <is>
          <t>подписи</t>
        </is>
      </c>
    </row>
    <row r="14">
      <c r="A14" s="146" t="inlineStr">
        <is>
          <t>Прочее</t>
        </is>
      </c>
      <c r="B14" s="147" t="n"/>
      <c r="C14" s="147" t="n"/>
      <c r="D14" s="147" t="n"/>
    </row>
    <row r="15">
      <c r="A15" s="155" t="inlineStr">
        <is>
          <t>Токен CSS</t>
        </is>
      </c>
      <c r="B15" s="155" t="inlineStr">
        <is>
          <t>HEX</t>
        </is>
      </c>
      <c r="C15" s="155" t="inlineStr">
        <is>
          <t>Образец</t>
        </is>
      </c>
      <c r="D15" s="155" t="inlineStr">
        <is>
          <t>Где применяется</t>
        </is>
      </c>
    </row>
    <row r="16" ht="19" customHeight="1">
      <c r="A16" s="156" t="inlineStr">
        <is>
          <t>--c-gr2</t>
        </is>
      </c>
      <c r="B16" s="156" t="inlineStr">
        <is>
          <t>#9CA3AF</t>
        </is>
      </c>
      <c r="C16" s="162" t="inlineStr"/>
      <c r="D16" s="158" t="inlineStr">
        <is>
          <t>мелкие подписи, капс</t>
        </is>
      </c>
    </row>
    <row r="17" ht="19" customHeight="1">
      <c r="A17" s="156" t="inlineStr">
        <is>
          <t>--c-gr3</t>
        </is>
      </c>
      <c r="B17" s="156" t="inlineStr">
        <is>
          <t>#B6BCC4</t>
        </is>
      </c>
      <c r="C17" s="163" t="inlineStr"/>
      <c r="D17" s="158" t="inlineStr">
        <is>
          <t>самый светлый текст</t>
        </is>
      </c>
    </row>
    <row r="18">
      <c r="A18" s="146" t="inlineStr">
        <is>
          <t>Нейтральные · текст и линии</t>
        </is>
      </c>
      <c r="B18" s="147" t="n"/>
      <c r="C18" s="147" t="n"/>
      <c r="D18" s="147" t="n"/>
    </row>
    <row r="19">
      <c r="A19" s="155" t="inlineStr">
        <is>
          <t>Токен CSS</t>
        </is>
      </c>
      <c r="B19" s="155" t="inlineStr">
        <is>
          <t>HEX</t>
        </is>
      </c>
      <c r="C19" s="155" t="inlineStr">
        <is>
          <t>Образец</t>
        </is>
      </c>
      <c r="D19" s="155" t="inlineStr">
        <is>
          <t>Где применяется</t>
        </is>
      </c>
    </row>
    <row r="20" ht="19" customHeight="1">
      <c r="A20" s="156" t="inlineStr">
        <is>
          <t>--c-ln</t>
        </is>
      </c>
      <c r="B20" s="156" t="inlineStr">
        <is>
          <t>#E5E7EB</t>
        </is>
      </c>
      <c r="C20" s="164" t="inlineStr"/>
      <c r="D20" s="158" t="inlineStr">
        <is>
          <t>линии и границы</t>
        </is>
      </c>
    </row>
    <row r="21">
      <c r="A21" s="146" t="inlineStr">
        <is>
          <t>Прочее</t>
        </is>
      </c>
      <c r="B21" s="147" t="n"/>
      <c r="C21" s="147" t="n"/>
      <c r="D21" s="147" t="n"/>
    </row>
    <row r="22">
      <c r="A22" s="155" t="inlineStr">
        <is>
          <t>Токен CSS</t>
        </is>
      </c>
      <c r="B22" s="155" t="inlineStr">
        <is>
          <t>HEX</t>
        </is>
      </c>
      <c r="C22" s="155" t="inlineStr">
        <is>
          <t>Образец</t>
        </is>
      </c>
      <c r="D22" s="155" t="inlineStr">
        <is>
          <t>Где применяется</t>
        </is>
      </c>
    </row>
    <row r="23" ht="19" customHeight="1">
      <c r="A23" s="156" t="inlineStr">
        <is>
          <t>--c-ln2</t>
        </is>
      </c>
      <c r="B23" s="156" t="inlineStr">
        <is>
          <t>#F0F2F5</t>
        </is>
      </c>
      <c r="C23" s="165" t="inlineStr"/>
      <c r="D23" s="158" t="inlineStr">
        <is>
          <t>светлые разделители</t>
        </is>
      </c>
    </row>
    <row r="24">
      <c r="A24" s="146" t="inlineStr">
        <is>
          <t>Нейтральные · фоны</t>
        </is>
      </c>
      <c r="B24" s="147" t="n"/>
      <c r="C24" s="147" t="n"/>
      <c r="D24" s="147" t="n"/>
    </row>
    <row r="25">
      <c r="A25" s="155" t="inlineStr">
        <is>
          <t>Токен CSS</t>
        </is>
      </c>
      <c r="B25" s="155" t="inlineStr">
        <is>
          <t>HEX</t>
        </is>
      </c>
      <c r="C25" s="155" t="inlineStr">
        <is>
          <t>Образец</t>
        </is>
      </c>
      <c r="D25" s="155" t="inlineStr">
        <is>
          <t>Где применяется</t>
        </is>
      </c>
    </row>
    <row r="26" ht="19" customHeight="1">
      <c r="A26" s="156" t="inlineStr">
        <is>
          <t>--c-bg</t>
        </is>
      </c>
      <c r="B26" s="156" t="inlineStr">
        <is>
          <t>#F5F6F8</t>
        </is>
      </c>
      <c r="C26" s="166" t="inlineStr"/>
      <c r="D26" s="158" t="inlineStr">
        <is>
          <t>фон страницы</t>
        </is>
      </c>
    </row>
    <row r="27" ht="19" customHeight="1">
      <c r="A27" s="156" t="inlineStr">
        <is>
          <t>--c-surf</t>
        </is>
      </c>
      <c r="B27" s="156" t="inlineStr">
        <is>
          <t>#FAFBFC</t>
        </is>
      </c>
      <c r="C27" s="167" t="inlineStr"/>
      <c r="D27" s="158" t="inlineStr">
        <is>
          <t>фон карточек-подложек</t>
        </is>
      </c>
    </row>
    <row r="28" ht="19" customHeight="1">
      <c r="A28" s="156" t="inlineStr">
        <is>
          <t>--c-white</t>
        </is>
      </c>
      <c r="B28" s="156" t="inlineStr">
        <is>
          <t>#FFFFFF</t>
        </is>
      </c>
      <c r="C28" s="168" t="inlineStr"/>
      <c r="D28" s="158" t="inlineStr">
        <is>
          <t>фон карточек</t>
        </is>
      </c>
    </row>
    <row r="29">
      <c r="A29" s="146" t="inlineStr">
        <is>
          <t>Зелёный · доход, успех, база</t>
        </is>
      </c>
      <c r="B29" s="147" t="n"/>
      <c r="C29" s="147" t="n"/>
      <c r="D29" s="147" t="n"/>
    </row>
    <row r="30">
      <c r="A30" s="155" t="inlineStr">
        <is>
          <t>Токен CSS</t>
        </is>
      </c>
      <c r="B30" s="155" t="inlineStr">
        <is>
          <t>HEX</t>
        </is>
      </c>
      <c r="C30" s="155" t="inlineStr">
        <is>
          <t>Образец</t>
        </is>
      </c>
      <c r="D30" s="155" t="inlineStr">
        <is>
          <t>Где применяется</t>
        </is>
      </c>
    </row>
    <row r="31" ht="19" customHeight="1">
      <c r="A31" s="156" t="inlineStr">
        <is>
          <t>--c-g-50</t>
        </is>
      </c>
      <c r="B31" s="156" t="inlineStr">
        <is>
          <t>#F5FBF7</t>
        </is>
      </c>
      <c r="C31" s="169" t="inlineStr"/>
      <c r="D31" s="158" t="inlineStr">
        <is>
          <t>самый светлый зелёный фон</t>
        </is>
      </c>
    </row>
    <row r="32" ht="19" customHeight="1">
      <c r="A32" s="156" t="inlineStr">
        <is>
          <t>--c-g-100</t>
        </is>
      </c>
      <c r="B32" s="156" t="inlineStr">
        <is>
          <t>#EAF6EE</t>
        </is>
      </c>
      <c r="C32" s="170" t="inlineStr"/>
      <c r="D32" s="158" t="inlineStr">
        <is>
          <t>фон зелёных плашек</t>
        </is>
      </c>
    </row>
    <row r="33" ht="19" customHeight="1">
      <c r="A33" s="156" t="inlineStr">
        <is>
          <t>--c-g-200</t>
        </is>
      </c>
      <c r="B33" s="156" t="inlineStr">
        <is>
          <t>#D8EEDF</t>
        </is>
      </c>
      <c r="C33" s="171" t="inlineStr"/>
      <c r="D33" s="158" t="inlineStr">
        <is>
          <t>кольца, заливки</t>
        </is>
      </c>
    </row>
    <row r="34" ht="19" customHeight="1">
      <c r="A34" s="156" t="inlineStr">
        <is>
          <t>--c-g-300</t>
        </is>
      </c>
      <c r="B34" s="156" t="inlineStr">
        <is>
          <t>#A9DDB8</t>
        </is>
      </c>
      <c r="C34" s="172" t="inlineStr"/>
      <c r="D34" s="158" t="inlineStr">
        <is>
          <t>сегменты диаграмм</t>
        </is>
      </c>
    </row>
    <row r="35" ht="19" customHeight="1">
      <c r="A35" s="156" t="inlineStr">
        <is>
          <t>--c-g-350</t>
        </is>
      </c>
      <c r="B35" s="156" t="inlineStr">
        <is>
          <t>#6FD183</t>
        </is>
      </c>
      <c r="C35" s="173" t="inlineStr"/>
      <c r="D35" s="158" t="inlineStr">
        <is>
          <t>сегменты диаграмм</t>
        </is>
      </c>
    </row>
    <row r="36" ht="19" customHeight="1">
      <c r="A36" s="156" t="inlineStr">
        <is>
          <t>--c-g-400</t>
        </is>
      </c>
      <c r="B36" s="156" t="inlineStr">
        <is>
          <t>#4FC26A</t>
        </is>
      </c>
      <c r="C36" s="174" t="inlineStr"/>
      <c r="D36" s="158" t="inlineStr">
        <is>
          <t>градиенты</t>
        </is>
      </c>
    </row>
    <row r="37" ht="19" customHeight="1">
      <c r="A37" s="156" t="inlineStr">
        <is>
          <t>--c-g-500</t>
        </is>
      </c>
      <c r="B37" s="156" t="inlineStr">
        <is>
          <t>#21A038</t>
        </is>
      </c>
      <c r="C37" s="175" t="inlineStr"/>
      <c r="D37" s="158" t="inlineStr">
        <is>
          <t>основной зелёный бренда</t>
        </is>
      </c>
    </row>
    <row r="38" ht="19" customHeight="1">
      <c r="A38" s="156" t="inlineStr">
        <is>
          <t>--c-g-600</t>
        </is>
      </c>
      <c r="B38" s="156" t="inlineStr">
        <is>
          <t>#1B9331</t>
        </is>
      </c>
      <c r="C38" s="176" t="inlineStr"/>
      <c r="D38" s="158" t="inlineStr">
        <is>
          <t>бейдж ИДЕАЛЬНЫЙ, кнопки</t>
        </is>
      </c>
    </row>
    <row r="39" ht="19" customHeight="1">
      <c r="A39" s="156" t="inlineStr">
        <is>
          <t>--c-g-700</t>
        </is>
      </c>
      <c r="B39" s="156" t="inlineStr">
        <is>
          <t>#158026</t>
        </is>
      </c>
      <c r="C39" s="177" t="inlineStr"/>
      <c r="D39" s="158" t="inlineStr">
        <is>
          <t>акцентные цифры</t>
        </is>
      </c>
    </row>
    <row r="40" ht="19" customHeight="1">
      <c r="A40" s="156" t="inlineStr">
        <is>
          <t>--c-g-800</t>
        </is>
      </c>
      <c r="B40" s="156" t="inlineStr">
        <is>
          <t>#0B6B22</t>
        </is>
      </c>
      <c r="C40" s="178" t="inlineStr"/>
      <c r="D40" s="158" t="inlineStr">
        <is>
          <t>тёмный градиент</t>
        </is>
      </c>
    </row>
    <row r="41" ht="19" customHeight="1">
      <c r="A41" s="156" t="inlineStr">
        <is>
          <t>--c-g-900</t>
        </is>
      </c>
      <c r="B41" s="156" t="inlineStr">
        <is>
          <t>#14532D</t>
        </is>
      </c>
      <c r="C41" s="179" t="inlineStr"/>
      <c r="D41" s="158" t="inlineStr">
        <is>
          <t>текст на зелёном фоне</t>
        </is>
      </c>
    </row>
    <row r="42" ht="19" customHeight="1">
      <c r="A42" s="156" t="inlineStr">
        <is>
          <t>--c-g-mut</t>
        </is>
      </c>
      <c r="B42" s="156" t="inlineStr">
        <is>
          <t>#5C9C6C</t>
        </is>
      </c>
      <c r="C42" s="180" t="inlineStr"/>
      <c r="D42" s="158" t="inlineStr">
        <is>
          <t>приглушённый зелёный</t>
        </is>
      </c>
    </row>
    <row r="43">
      <c r="A43" s="146" t="inlineStr">
        <is>
          <t>Красный · убыток, предупреждение, скидка</t>
        </is>
      </c>
      <c r="B43" s="147" t="n"/>
      <c r="C43" s="147" t="n"/>
      <c r="D43" s="147" t="n"/>
    </row>
    <row r="44">
      <c r="A44" s="155" t="inlineStr">
        <is>
          <t>Токен CSS</t>
        </is>
      </c>
      <c r="B44" s="155" t="inlineStr">
        <is>
          <t>HEX</t>
        </is>
      </c>
      <c r="C44" s="155" t="inlineStr">
        <is>
          <t>Образец</t>
        </is>
      </c>
      <c r="D44" s="155" t="inlineStr">
        <is>
          <t>Где применяется</t>
        </is>
      </c>
    </row>
    <row r="45" ht="19" customHeight="1">
      <c r="A45" s="156" t="inlineStr">
        <is>
          <t>--c-r-50</t>
        </is>
      </c>
      <c r="B45" s="156" t="inlineStr">
        <is>
          <t>#FFF6F6</t>
        </is>
      </c>
      <c r="C45" s="181" t="inlineStr"/>
      <c r="D45" s="158" t="inlineStr">
        <is>
          <t>фон красных плашек</t>
        </is>
      </c>
    </row>
    <row r="46" ht="19" customHeight="1">
      <c r="A46" s="156" t="inlineStr">
        <is>
          <t>--c-r-100</t>
        </is>
      </c>
      <c r="B46" s="156" t="inlineStr">
        <is>
          <t>#FDE8E8</t>
        </is>
      </c>
      <c r="C46" s="182" t="inlineStr"/>
      <c r="D46" s="158" t="inlineStr">
        <is>
          <t>светлая заливка</t>
        </is>
      </c>
    </row>
    <row r="47" ht="19" customHeight="1">
      <c r="A47" s="156" t="inlineStr">
        <is>
          <t>--c-r-200</t>
        </is>
      </c>
      <c r="B47" s="156" t="inlineStr">
        <is>
          <t>#F7D3D3</t>
        </is>
      </c>
      <c r="C47" s="183" t="inlineStr"/>
      <c r="D47" s="158" t="inlineStr">
        <is>
          <t>границы</t>
        </is>
      </c>
    </row>
    <row r="48" ht="19" customHeight="1">
      <c r="A48" s="156" t="inlineStr">
        <is>
          <t>--c-r-300</t>
        </is>
      </c>
      <c r="B48" s="156" t="inlineStr">
        <is>
          <t>#E4A9A9</t>
        </is>
      </c>
      <c r="C48" s="184" t="inlineStr"/>
      <c r="D48" s="158" t="inlineStr">
        <is>
          <t>сегменты</t>
        </is>
      </c>
    </row>
    <row r="49" ht="19" customHeight="1">
      <c r="A49" s="156" t="inlineStr">
        <is>
          <t>--c-r-400</t>
        </is>
      </c>
      <c r="B49" s="156" t="inlineStr">
        <is>
          <t>#E8828E</t>
        </is>
      </c>
      <c r="C49" s="185" t="inlineStr"/>
      <c r="D49" s="158" t="inlineStr">
        <is>
          <t>бейдж, акценты</t>
        </is>
      </c>
    </row>
    <row r="50" ht="19" customHeight="1">
      <c r="A50" s="156" t="inlineStr">
        <is>
          <t>--c-r-500</t>
        </is>
      </c>
      <c r="B50" s="156" t="inlineStr">
        <is>
          <t>#EF4444</t>
        </is>
      </c>
      <c r="C50" s="186" t="inlineStr"/>
      <c r="D50" s="158" t="inlineStr">
        <is>
          <t>сердечки, ошибки</t>
        </is>
      </c>
    </row>
    <row r="51" ht="19" customHeight="1">
      <c r="A51" s="156" t="inlineStr">
        <is>
          <t>--c-r-550</t>
        </is>
      </c>
      <c r="B51" s="156" t="inlineStr">
        <is>
          <t>#D6566A</t>
        </is>
      </c>
      <c r="C51" s="187" t="inlineStr"/>
      <c r="D51" s="158" t="inlineStr">
        <is>
          <t>бейдж В НОЛЬ</t>
        </is>
      </c>
    </row>
    <row r="52" ht="19" customHeight="1">
      <c r="A52" s="156" t="inlineStr">
        <is>
          <t>--c-r-600</t>
        </is>
      </c>
      <c r="B52" s="156" t="inlineStr">
        <is>
          <t>#C43D51</t>
        </is>
      </c>
      <c r="C52" s="188" t="inlineStr"/>
      <c r="D52" s="158" t="inlineStr">
        <is>
          <t>цифры в красном</t>
        </is>
      </c>
    </row>
    <row r="53" ht="19" customHeight="1">
      <c r="A53" s="156" t="inlineStr">
        <is>
          <t>--c-r-650</t>
        </is>
      </c>
      <c r="B53" s="156" t="inlineStr">
        <is>
          <t>#D0342F</t>
        </is>
      </c>
      <c r="C53" s="189" t="inlineStr"/>
      <c r="D53" s="158" t="inlineStr">
        <is>
          <t>плашка «Скидка»</t>
        </is>
      </c>
    </row>
    <row r="54" ht="19" customHeight="1">
      <c r="A54" s="156" t="inlineStr">
        <is>
          <t>--c-r-700</t>
        </is>
      </c>
      <c r="B54" s="156" t="inlineStr">
        <is>
          <t>#B91C1C</t>
        </is>
      </c>
      <c r="C54" s="190" t="inlineStr"/>
      <c r="D54" s="158" t="inlineStr">
        <is>
          <t>текст предупреждений</t>
        </is>
      </c>
    </row>
    <row r="55" ht="19" customHeight="1">
      <c r="A55" s="156" t="inlineStr">
        <is>
          <t>--c-r-800</t>
        </is>
      </c>
      <c r="B55" s="156" t="inlineStr">
        <is>
          <t>#991B1B</t>
        </is>
      </c>
      <c r="C55" s="191" t="inlineStr"/>
      <c r="D55" s="158" t="inlineStr">
        <is>
          <t>заголовки в красном</t>
        </is>
      </c>
    </row>
    <row r="56" ht="19" customHeight="1">
      <c r="A56" s="156" t="inlineStr">
        <is>
          <t>--c-r-900</t>
        </is>
      </c>
      <c r="B56" s="156" t="inlineStr">
        <is>
          <t>#7F1D1D</t>
        </is>
      </c>
      <c r="C56" s="192" t="inlineStr"/>
      <c r="D56" s="158" t="inlineStr">
        <is>
          <t>самый тёмный красный</t>
        </is>
      </c>
    </row>
    <row r="57">
      <c r="A57" s="146" t="inlineStr">
        <is>
          <t>Янтарный · внимание, знак ⚠</t>
        </is>
      </c>
      <c r="B57" s="147" t="n"/>
      <c r="C57" s="147" t="n"/>
      <c r="D57" s="147" t="n"/>
    </row>
    <row r="58">
      <c r="A58" s="155" t="inlineStr">
        <is>
          <t>Токен CSS</t>
        </is>
      </c>
      <c r="B58" s="155" t="inlineStr">
        <is>
          <t>HEX</t>
        </is>
      </c>
      <c r="C58" s="155" t="inlineStr">
        <is>
          <t>Образец</t>
        </is>
      </c>
      <c r="D58" s="155" t="inlineStr">
        <is>
          <t>Где применяется</t>
        </is>
      </c>
    </row>
    <row r="59" ht="19" customHeight="1">
      <c r="A59" s="156" t="inlineStr">
        <is>
          <t>--c-a-50</t>
        </is>
      </c>
      <c r="B59" s="156" t="inlineStr">
        <is>
          <t>#FFFBEF</t>
        </is>
      </c>
      <c r="C59" s="193" t="inlineStr"/>
      <c r="D59" s="158" t="inlineStr">
        <is>
          <t>фон жёлтых плашек</t>
        </is>
      </c>
    </row>
    <row r="60" ht="19" customHeight="1">
      <c r="A60" s="156" t="inlineStr">
        <is>
          <t>--c-a-100</t>
        </is>
      </c>
      <c r="B60" s="156" t="inlineStr">
        <is>
          <t>#FEF3D6</t>
        </is>
      </c>
      <c r="C60" s="194" t="inlineStr"/>
      <c r="D60" s="158" t="inlineStr">
        <is>
          <t>светлая заливка</t>
        </is>
      </c>
    </row>
    <row r="61" ht="19" customHeight="1">
      <c r="A61" s="156" t="inlineStr">
        <is>
          <t>--c-a-200</t>
        </is>
      </c>
      <c r="B61" s="156" t="inlineStr">
        <is>
          <t>#FBE3AE</t>
        </is>
      </c>
      <c r="C61" s="195" t="inlineStr"/>
      <c r="D61" s="158" t="inlineStr">
        <is>
          <t>границы</t>
        </is>
      </c>
    </row>
    <row r="62" ht="19" customHeight="1">
      <c r="A62" s="156" t="inlineStr">
        <is>
          <t>--c-a-300</t>
        </is>
      </c>
      <c r="B62" s="156" t="inlineStr">
        <is>
          <t>#F2C48A</t>
        </is>
      </c>
      <c r="C62" s="196" t="inlineStr"/>
      <c r="D62" s="158" t="inlineStr">
        <is>
          <t>сегменты</t>
        </is>
      </c>
    </row>
    <row r="63" ht="19" customHeight="1">
      <c r="A63" s="156" t="inlineStr">
        <is>
          <t>--c-a-350</t>
        </is>
      </c>
      <c r="B63" s="156" t="inlineStr">
        <is>
          <t>#E8A05C</t>
        </is>
      </c>
      <c r="C63" s="197" t="inlineStr"/>
      <c r="D63" s="158" t="inlineStr">
        <is>
          <t>акценты</t>
        </is>
      </c>
    </row>
    <row r="64" ht="19" customHeight="1">
      <c r="A64" s="156" t="inlineStr">
        <is>
          <t>--c-a-400</t>
        </is>
      </c>
      <c r="B64" s="156" t="inlineStr">
        <is>
          <t>#F5B301</t>
        </is>
      </c>
      <c r="C64" s="198" t="inlineStr"/>
      <c r="D64" s="158" t="inlineStr">
        <is>
          <t>ЗНАК ВОСКЛИЦАНИЯ (треугольник)</t>
        </is>
      </c>
    </row>
    <row r="65" ht="19" customHeight="1">
      <c r="A65" s="156" t="inlineStr">
        <is>
          <t>--c-a-500</t>
        </is>
      </c>
      <c r="B65" s="156" t="inlineStr">
        <is>
          <t>#D9762E</t>
        </is>
      </c>
      <c r="C65" s="199" t="inlineStr"/>
      <c r="D65" s="158" t="inlineStr">
        <is>
          <t>скидка средняя</t>
        </is>
      </c>
    </row>
    <row r="66" ht="19" customHeight="1">
      <c r="A66" s="156" t="inlineStr">
        <is>
          <t>--c-a-600</t>
        </is>
      </c>
      <c r="B66" s="156" t="inlineStr">
        <is>
          <t>#C4551F</t>
        </is>
      </c>
      <c r="C66" s="200" t="inlineStr"/>
      <c r="D66" s="158" t="inlineStr">
        <is>
          <t>скидка крупная</t>
        </is>
      </c>
    </row>
    <row r="67" ht="19" customHeight="1">
      <c r="A67" s="156" t="inlineStr">
        <is>
          <t>--c-a-700</t>
        </is>
      </c>
      <c r="B67" s="156" t="inlineStr">
        <is>
          <t>#B45309</t>
        </is>
      </c>
      <c r="C67" s="201" t="inlineStr"/>
      <c r="D67" s="158" t="inlineStr">
        <is>
          <t>текст</t>
        </is>
      </c>
    </row>
    <row r="68" ht="19" customHeight="1">
      <c r="A68" s="156" t="inlineStr">
        <is>
          <t>--c-a-800</t>
        </is>
      </c>
      <c r="B68" s="156" t="inlineStr">
        <is>
          <t>#92400E</t>
        </is>
      </c>
      <c r="C68" s="202" t="inlineStr"/>
      <c r="D68" s="158" t="inlineStr">
        <is>
          <t>тёмный текст</t>
        </is>
      </c>
    </row>
    <row r="69" ht="19" customHeight="1">
      <c r="A69" s="156" t="inlineStr">
        <is>
          <t>--c-a-900</t>
        </is>
      </c>
      <c r="B69" s="156" t="inlineStr">
        <is>
          <t>#7A5309</t>
        </is>
      </c>
      <c r="C69" s="203" t="inlineStr"/>
      <c r="D69" s="158" t="inlineStr">
        <is>
          <t>текст на жёлтом</t>
        </is>
      </c>
    </row>
    <row r="70" ht="19" customHeight="1">
      <c r="A70" s="156" t="inlineStr">
        <is>
          <t>--c-a-br</t>
        </is>
      </c>
      <c r="B70" s="156" t="inlineStr">
        <is>
          <t>#8A5C4A</t>
        </is>
      </c>
      <c r="C70" s="204" t="inlineStr"/>
      <c r="D70" s="158" t="inlineStr">
        <is>
          <t>коричневый текст</t>
        </is>
      </c>
    </row>
    <row r="71" ht="19" customHeight="1">
      <c r="A71" s="156" t="inlineStr">
        <is>
          <t>--c-a-br2</t>
        </is>
      </c>
      <c r="B71" s="156" t="inlineStr">
        <is>
          <t>#5F3B2E</t>
        </is>
      </c>
      <c r="C71" s="205" t="inlineStr"/>
      <c r="D71" s="158" t="inlineStr">
        <is>
          <t>тёмно-коричневый</t>
        </is>
      </c>
    </row>
    <row r="72">
      <c r="A72" s="146" t="inlineStr">
        <is>
          <t>Синий · нейтральные акценты, реальный сценарий</t>
        </is>
      </c>
      <c r="B72" s="147" t="n"/>
      <c r="C72" s="147" t="n"/>
      <c r="D72" s="147" t="n"/>
    </row>
    <row r="73">
      <c r="A73" s="155" t="inlineStr">
        <is>
          <t>Токен CSS</t>
        </is>
      </c>
      <c r="B73" s="155" t="inlineStr">
        <is>
          <t>HEX</t>
        </is>
      </c>
      <c r="C73" s="155" t="inlineStr">
        <is>
          <t>Образец</t>
        </is>
      </c>
      <c r="D73" s="155" t="inlineStr">
        <is>
          <t>Где применяется</t>
        </is>
      </c>
    </row>
    <row r="74" ht="19" customHeight="1">
      <c r="A74" s="156" t="inlineStr">
        <is>
          <t>--c-b-50</t>
        </is>
      </c>
      <c r="B74" s="156" t="inlineStr">
        <is>
          <t>#F6FAFE</t>
        </is>
      </c>
      <c r="C74" s="206" t="inlineStr"/>
      <c r="D74" s="158" t="inlineStr">
        <is>
          <t>фон синих плашек</t>
        </is>
      </c>
    </row>
    <row r="75" ht="19" customHeight="1">
      <c r="A75" s="156" t="inlineStr">
        <is>
          <t>--c-b-100</t>
        </is>
      </c>
      <c r="B75" s="156" t="inlineStr">
        <is>
          <t>#E7F0FA</t>
        </is>
      </c>
      <c r="C75" s="207" t="inlineStr"/>
      <c r="D75" s="158" t="inlineStr">
        <is>
          <t>светлая заливка</t>
        </is>
      </c>
    </row>
    <row r="76" ht="19" customHeight="1">
      <c r="A76" s="156" t="inlineStr">
        <is>
          <t>--c-b-200</t>
        </is>
      </c>
      <c r="B76" s="156" t="inlineStr">
        <is>
          <t>#CFE0F3</t>
        </is>
      </c>
      <c r="C76" s="208" t="inlineStr"/>
      <c r="D76" s="158" t="inlineStr">
        <is>
          <t>границы</t>
        </is>
      </c>
    </row>
    <row r="77" ht="19" customHeight="1">
      <c r="A77" s="156" t="inlineStr">
        <is>
          <t>--c-b-250</t>
        </is>
      </c>
      <c r="B77" s="156" t="inlineStr">
        <is>
          <t>#B7C9E8</t>
        </is>
      </c>
      <c r="C77" s="209" t="inlineStr"/>
      <c r="D77" s="158" t="inlineStr">
        <is>
          <t>сегменты</t>
        </is>
      </c>
    </row>
    <row r="78" ht="19" customHeight="1">
      <c r="A78" s="156" t="inlineStr">
        <is>
          <t>--c-b-300</t>
        </is>
      </c>
      <c r="B78" s="156" t="inlineStr">
        <is>
          <t>#8FC7E8</t>
        </is>
      </c>
      <c r="C78" s="210" t="inlineStr"/>
      <c r="D78" s="158" t="inlineStr">
        <is>
          <t>роль маркетолога</t>
        </is>
      </c>
    </row>
    <row r="79" ht="19" customHeight="1">
      <c r="A79" s="156" t="inlineStr">
        <is>
          <t>--c-b-400</t>
        </is>
      </c>
      <c r="B79" s="156" t="inlineStr">
        <is>
          <t>#5CA8E0</t>
        </is>
      </c>
      <c r="C79" s="211" t="inlineStr"/>
      <c r="D79" s="158" t="inlineStr">
        <is>
          <t>градиент</t>
        </is>
      </c>
    </row>
    <row r="80" ht="19" customHeight="1">
      <c r="A80" s="156" t="inlineStr">
        <is>
          <t>--c-b-500</t>
        </is>
      </c>
      <c r="B80" s="156" t="inlineStr">
        <is>
          <t>#3B82F6</t>
        </is>
      </c>
      <c r="C80" s="212" t="inlineStr"/>
      <c r="D80" s="158" t="inlineStr">
        <is>
          <t>акцент</t>
        </is>
      </c>
    </row>
    <row r="81" ht="19" customHeight="1">
      <c r="A81" s="156" t="inlineStr">
        <is>
          <t>--c-b-600</t>
        </is>
      </c>
      <c r="B81" s="156" t="inlineStr">
        <is>
          <t>#2F80C4</t>
        </is>
      </c>
      <c r="C81" s="213" t="inlineStr"/>
      <c r="D81" s="158" t="inlineStr">
        <is>
          <t>бейдж РЕАЛЬНЫЙ</t>
        </is>
      </c>
    </row>
    <row r="82" ht="19" customHeight="1">
      <c r="A82" s="156" t="inlineStr">
        <is>
          <t>--c-b-700</t>
        </is>
      </c>
      <c r="B82" s="156" t="inlineStr">
        <is>
          <t>#2A6FAB</t>
        </is>
      </c>
      <c r="C82" s="214" t="inlineStr"/>
      <c r="D82" s="158" t="inlineStr">
        <is>
          <t>цифры</t>
        </is>
      </c>
    </row>
    <row r="83" ht="19" customHeight="1">
      <c r="A83" s="156" t="inlineStr">
        <is>
          <t>--c-b-800</t>
        </is>
      </c>
      <c r="B83" s="156" t="inlineStr">
        <is>
          <t>#1D4ED8</t>
        </is>
      </c>
      <c r="C83" s="215" t="inlineStr"/>
      <c r="D83" s="158" t="inlineStr">
        <is>
          <t>иконка роста</t>
        </is>
      </c>
    </row>
    <row r="84" ht="19" customHeight="1">
      <c r="A84" s="156" t="inlineStr">
        <is>
          <t>--c-b-900</t>
        </is>
      </c>
      <c r="B84" s="156" t="inlineStr">
        <is>
          <t>#3B6398</t>
        </is>
      </c>
      <c r="C84" s="216" t="inlineStr"/>
      <c r="D84" s="158" t="inlineStr">
        <is>
          <t>тёмный текст</t>
        </is>
      </c>
    </row>
    <row r="85" ht="19" customHeight="1">
      <c r="A85" s="156" t="inlineStr">
        <is>
          <t>--c-b-mut</t>
        </is>
      </c>
      <c r="B85" s="156" t="inlineStr">
        <is>
          <t>#7189AE</t>
        </is>
      </c>
      <c r="C85" s="217" t="inlineStr"/>
      <c r="D85" s="158" t="inlineStr">
        <is>
          <t>приглушённый</t>
        </is>
      </c>
    </row>
    <row r="86">
      <c r="A86" s="146" t="inlineStr">
        <is>
          <t>Фиолетовый · цитата, математика</t>
        </is>
      </c>
      <c r="B86" s="147" t="n"/>
      <c r="C86" s="147" t="n"/>
      <c r="D86" s="147" t="n"/>
    </row>
    <row r="87">
      <c r="A87" s="155" t="inlineStr">
        <is>
          <t>Токен CSS</t>
        </is>
      </c>
      <c r="B87" s="155" t="inlineStr">
        <is>
          <t>HEX</t>
        </is>
      </c>
      <c r="C87" s="155" t="inlineStr">
        <is>
          <t>Образец</t>
        </is>
      </c>
      <c r="D87" s="155" t="inlineStr">
        <is>
          <t>Где применяется</t>
        </is>
      </c>
    </row>
    <row r="88" ht="19" customHeight="1">
      <c r="A88" s="156" t="inlineStr">
        <is>
          <t>--c-v-50</t>
        </is>
      </c>
      <c r="B88" s="156" t="inlineStr">
        <is>
          <t>#F8F5FE</t>
        </is>
      </c>
      <c r="C88" s="218" t="inlineStr"/>
      <c r="D88" s="158" t="inlineStr">
        <is>
          <t>фон блока цитаты</t>
        </is>
      </c>
    </row>
    <row r="89" ht="19" customHeight="1">
      <c r="A89" s="156" t="inlineStr">
        <is>
          <t>--c-v-300</t>
        </is>
      </c>
      <c r="B89" s="156" t="inlineStr">
        <is>
          <t>#C7B9EC</t>
        </is>
      </c>
      <c r="C89" s="219" t="inlineStr"/>
      <c r="D89" s="158" t="inlineStr">
        <is>
          <t>сегмент</t>
        </is>
      </c>
    </row>
    <row r="90" ht="19" customHeight="1">
      <c r="A90" s="156" t="inlineStr">
        <is>
          <t>--c-v-500</t>
        </is>
      </c>
      <c r="B90" s="156" t="inlineStr">
        <is>
          <t>#8B5CF6</t>
        </is>
      </c>
      <c r="C90" s="220" t="inlineStr"/>
      <c r="D90" s="158" t="inlineStr">
        <is>
          <t>акцент</t>
        </is>
      </c>
    </row>
    <row r="91" ht="19" customHeight="1">
      <c r="A91" s="156" t="inlineStr">
        <is>
          <t>--c-v-700</t>
        </is>
      </c>
      <c r="B91" s="156" t="inlineStr">
        <is>
          <t>#6D3FD4</t>
        </is>
      </c>
      <c r="C91" s="221" t="inlineStr"/>
      <c r="D91" s="158" t="inlineStr">
        <is>
          <t>«потому что»</t>
        </is>
      </c>
    </row>
    <row r="92">
      <c r="A92" s="146" t="inlineStr">
        <is>
          <t>Розовый · обработка, SMM</t>
        </is>
      </c>
      <c r="B92" s="147" t="n"/>
      <c r="C92" s="147" t="n"/>
      <c r="D92" s="147" t="n"/>
    </row>
    <row r="93">
      <c r="A93" s="155" t="inlineStr">
        <is>
          <t>Токен CSS</t>
        </is>
      </c>
      <c r="B93" s="155" t="inlineStr">
        <is>
          <t>HEX</t>
        </is>
      </c>
      <c r="C93" s="155" t="inlineStr">
        <is>
          <t>Образец</t>
        </is>
      </c>
      <c r="D93" s="155" t="inlineStr">
        <is>
          <t>Где применяется</t>
        </is>
      </c>
    </row>
    <row r="94" ht="19" customHeight="1">
      <c r="A94" s="156" t="inlineStr">
        <is>
          <t>--c-p-50</t>
        </is>
      </c>
      <c r="B94" s="156" t="inlineStr">
        <is>
          <t>#FFF7FB</t>
        </is>
      </c>
      <c r="C94" s="222" t="inlineStr"/>
      <c r="D94" s="158" t="inlineStr">
        <is>
          <t>фон розовых плашек</t>
        </is>
      </c>
    </row>
    <row r="95" ht="19" customHeight="1">
      <c r="A95" s="156" t="inlineStr">
        <is>
          <t>--c-p-100</t>
        </is>
      </c>
      <c r="B95" s="156" t="inlineStr">
        <is>
          <t>#FCE7F3</t>
        </is>
      </c>
      <c r="C95" s="223" t="inlineStr"/>
      <c r="D95" s="158" t="inlineStr">
        <is>
          <t>иконка обработки</t>
        </is>
      </c>
    </row>
    <row r="96" ht="19" customHeight="1">
      <c r="A96" s="156" t="inlineStr">
        <is>
          <t>--c-p-500</t>
        </is>
      </c>
      <c r="B96" s="156" t="inlineStr">
        <is>
          <t>#EC4899</t>
        </is>
      </c>
      <c r="C96" s="224" t="inlineStr"/>
      <c r="D96" s="158" t="inlineStr">
        <is>
          <t>SMM</t>
        </is>
      </c>
    </row>
    <row r="97" ht="19" customHeight="1">
      <c r="A97" s="156" t="inlineStr">
        <is>
          <t>--c-p-700</t>
        </is>
      </c>
      <c r="B97" s="156" t="inlineStr">
        <is>
          <t>#9D174D</t>
        </is>
      </c>
      <c r="C97" s="225" t="inlineStr"/>
      <c r="D97" s="158" t="inlineStr">
        <is>
          <t>текст обработки</t>
        </is>
      </c>
    </row>
    <row r="99">
      <c r="A99" s="154" t="inlineStr">
        <is>
          <t>ПРАВИЛА</t>
        </is>
      </c>
    </row>
    <row r="100">
      <c r="A100" s="226" t="inlineStr">
        <is>
          <t>• Новый цвет в вёрстку не добавляем — берём ближайший токен из этого списка.</t>
        </is>
      </c>
    </row>
    <row r="101">
      <c r="A101" s="226" t="inlineStr">
        <is>
          <t>• Знак восклицания везде один: равносторонний треугольник со скруглёнными углами, заливка --c-a-400, знак белый.</t>
        </is>
      </c>
    </row>
    <row r="102">
      <c r="A102" s="226" t="inlineStr">
        <is>
          <t>• Размеры знака только два: 17×16 px в тексте (класс .iwt) и 42×39 px в плашке (класс .iwt.lg).</t>
        </is>
      </c>
    </row>
    <row r="103">
      <c r="A103" s="226" t="inlineStr">
        <is>
          <t>• Галочка подтверждения — круг --c-g-600 с белой галкой, класс .iok, те же два размера.</t>
        </is>
      </c>
    </row>
    <row r="104">
      <c r="A104" s="226" t="inlineStr">
        <is>
          <t>• Смысл цвета закреплён: зелёный — доход, красный — потеря, янтарный — внимание, синий — нейтраль.</t>
        </is>
      </c>
    </row>
    <row r="105">
      <c r="A105" s="226" t="inlineStr">
        <is>
          <t>• Общие классы плашек в обоих файлах: .warn2 (янтарная, внимание), .note2 (зелёная, подтверждение), .info2 (синяя, нейтральная информация).</t>
        </is>
      </c>
    </row>
    <row r="106">
      <c r="A106" s="226" t="inlineStr">
        <is>
          <t>• Новую плашку или подсказку оформляем этими классами — тогда она автоматически получит правильные цвета и отступы.</t>
        </is>
      </c>
    </row>
    <row r="107">
      <c r="A107" s="226" t="inlineStr">
        <is>
          <t>• Подсказка-вопрос в форме: класс .tip, круг --c-ln, при наведении --c-g-500.</t>
        </is>
      </c>
    </row>
    <row r="109">
      <c r="A109" s="154" t="inlineStr">
        <is>
          <t>ЛОГОТИП</t>
        </is>
      </c>
    </row>
    <row r="110">
      <c r="A110" s="226" t="inlineStr">
        <is>
          <t>• Знак: четыре ромба, сторона 10,10, смещение от центра 8,86, скругление 1,90 (viewBox 32×32).</t>
        </is>
      </c>
    </row>
    <row r="111">
      <c r="A111" s="226" t="inlineStr">
        <is>
          <t>• Активный юнит подсвечивается --c-g-500, остальные --c-ln. По умолчанию горит нижний (прибыль).</t>
        </is>
      </c>
    </row>
    <row r="112">
      <c r="A112" s="226" t="inlineStr">
        <is>
          <t>• Замок горизонтальный: знак 46 px, справа «счётикс» 19 px с разрядкой .11em, под ним подпись 9 px.</t>
        </is>
      </c>
    </row>
    <row r="113">
      <c r="A113" s="226" t="inlineStr">
        <is>
          <t>• Подпись «твоя юнит-экономика» растянута по ширине названия через space-between (буквы в &lt;i&gt;).</t>
        </is>
      </c>
    </row>
    <row r="114">
      <c r="A114" s="226" t="inlineStr">
        <is>
          <t>• В подвале: знак 20 px + «счётикс» 12 px, серым, прозрачность .55.</t>
        </is>
      </c>
    </row>
    <row r="115">
      <c r="A115" s="226" t="inlineStr">
        <is>
          <t>• Фоновая графика: ромбы знака, контур камеры и диафрагма — только --c-g-200/300, --c-b-250, --c-a-200.</t>
        </is>
      </c>
    </row>
    <row r="116">
      <c r="A116" s="243" t="inlineStr">
        <is>
          <t>--c-p-200</t>
        </is>
      </c>
      <c r="B116" s="243" t="inlineStr">
        <is>
          <t>#F9BBD4</t>
        </is>
      </c>
      <c r="C116" s="244" t="n"/>
      <c r="D116" s="245" t="inlineStr">
        <is>
          <t>розовая шкала яблока и полос</t>
        </is>
      </c>
    </row>
    <row r="117">
      <c r="A117" s="243" t="inlineStr">
        <is>
          <t>--c-p-300</t>
        </is>
      </c>
      <c r="B117" s="243" t="inlineStr">
        <is>
          <t>#F5C6DC</t>
        </is>
      </c>
      <c r="C117" s="246" t="n"/>
      <c r="D117" s="245" t="inlineStr">
        <is>
          <t>розовая шкала яблока и полос</t>
        </is>
      </c>
    </row>
    <row r="118">
      <c r="A118" s="243" t="inlineStr">
        <is>
          <t>--c-p-400</t>
        </is>
      </c>
      <c r="B118" s="243" t="inlineStr">
        <is>
          <t>#F385B4</t>
        </is>
      </c>
      <c r="C118" s="247" t="n"/>
      <c r="D118" s="245" t="inlineStr">
        <is>
          <t>розовая шкала яблока и полос</t>
        </is>
      </c>
    </row>
    <row r="119">
      <c r="A119" s="243" t="inlineStr">
        <is>
          <t>--c-p-600</t>
        </is>
      </c>
      <c r="B119" s="243" t="inlineStr">
        <is>
          <t>#B93A6B</t>
        </is>
      </c>
      <c r="C119" s="248" t="n"/>
      <c r="D119" s="245" t="inlineStr">
        <is>
          <t>розовая шкала яблока и полос</t>
        </is>
      </c>
    </row>
    <row r="121">
      <c r="A121" s="2" t="inlineStr">
        <is>
          <t>ГАММА БЛОКА 08 — добавлено 06.08.2026</t>
        </is>
      </c>
    </row>
    <row r="122">
      <c r="A122" t="inlineStr">
        <is>
          <t>--c-ig-1</t>
        </is>
      </c>
      <c r="B122" s="290" t="inlineStr">
        <is>
          <t>#833AB4</t>
        </is>
      </c>
      <c r="C122" t="inlineStr">
        <is>
          <t>фиолетово-малиновый, тёмный конец</t>
        </is>
      </c>
    </row>
    <row r="123">
      <c r="A123" t="inlineStr">
        <is>
          <t>--c-ig-2</t>
        </is>
      </c>
      <c r="B123" s="291" t="inlineStr">
        <is>
          <t>#C13584</t>
        </is>
      </c>
      <c r="C123" t="inlineStr">
        <is>
          <t>малиновый</t>
        </is>
      </c>
    </row>
    <row r="124">
      <c r="A124" t="inlineStr">
        <is>
          <t>--c-ig-3</t>
        </is>
      </c>
      <c r="B124" s="292" t="inlineStr">
        <is>
          <t>#E1306C</t>
        </is>
      </c>
      <c r="C124" t="inlineStr">
        <is>
          <t>коралловый</t>
        </is>
      </c>
    </row>
    <row r="125">
      <c r="A125" t="inlineStr">
        <is>
          <t>--c-ig-4</t>
        </is>
      </c>
      <c r="B125" s="293" t="inlineStr">
        <is>
          <t>#F56040</t>
        </is>
      </c>
      <c r="C125" t="inlineStr">
        <is>
          <t>янтарный, светлый конец</t>
        </is>
      </c>
    </row>
    <row r="126">
      <c r="A126" t="inlineStr">
        <is>
          <t>прямой hex</t>
        </is>
      </c>
      <c r="B126" t="inlineStr">
        <is>
          <t>#D42A62</t>
        </is>
      </c>
      <c r="C126" t="inlineStr">
        <is>
          <t>плашка «Предельная ставка», верх — инста-красный</t>
        </is>
      </c>
    </row>
    <row r="127">
      <c r="A127" t="inlineStr">
        <is>
          <t>прямой hex</t>
        </is>
      </c>
      <c r="B127" t="inlineStr">
        <is>
          <t>#8E1A3F</t>
        </is>
      </c>
      <c r="C127" t="inlineStr">
        <is>
          <t>плашка «Предельная ставка», низ</t>
        </is>
      </c>
    </row>
    <row r="128">
      <c r="A128" t="inlineStr">
        <is>
          <t>прямой hex</t>
        </is>
      </c>
      <c r="B128" t="inlineStr">
        <is>
          <t>#C9432C</t>
        </is>
      </c>
      <c r="C128" t="inlineStr">
        <is>
          <t>шапка таблицы режимов, верх — инста-гамма</t>
        </is>
      </c>
    </row>
    <row r="129">
      <c r="A129" t="inlineStr">
        <is>
          <t>прямой hex</t>
        </is>
      </c>
      <c r="B129" t="inlineStr">
        <is>
          <t>#9B2F52</t>
        </is>
      </c>
      <c r="C129" t="inlineStr">
        <is>
          <t>шапка таблицы режимов, низ</t>
        </is>
      </c>
    </row>
    <row r="130">
      <c r="A130" s="260" t="inlineStr">
        <is>
          <t>Плашки блока 08 — соседние пары: s1 = ig-2→ig-1, s2 = ig-3→ig-2, s3 = ig-4→ig-3. Единая тёплая гамма, белый текст проходит контраст 3,17 и выше</t>
        </is>
      </c>
    </row>
    <row r="132">
      <c r="A132" s="2" t="inlineStr">
        <is>
          <t>ШКАЛА ВЫГОДНОСТИ БЛОКА 04 — холодная, 07.08.2026</t>
        </is>
      </c>
    </row>
    <row r="133">
      <c r="A133" t="inlineStr">
        <is>
          <t>rgb(214,240,228)</t>
        </is>
      </c>
      <c r="B133" t="inlineStr">
        <is>
          <t>#D6F0E4</t>
        </is>
      </c>
      <c r="C133" t="inlineStr">
        <is>
          <t>светлый холодный зелёный — самый выгодный режим</t>
        </is>
      </c>
    </row>
    <row r="134">
      <c r="A134" t="inlineStr">
        <is>
          <t>rgb(201,226,246)</t>
        </is>
      </c>
      <c r="B134" t="inlineStr">
        <is>
          <t>#C9E2F6</t>
        </is>
      </c>
      <c r="C134" t="inlineStr">
        <is>
          <t>голубой — середина шкалы (был жёлтый, тёплый резонанс)</t>
        </is>
      </c>
    </row>
    <row r="135">
      <c r="A135" t="inlineStr">
        <is>
          <t>rgb(246,204,216)</t>
        </is>
      </c>
      <c r="B135" t="inlineStr">
        <is>
          <t>#F6CCD8</t>
        </is>
      </c>
      <c r="C135" t="inlineStr">
        <is>
          <t>холодный красный — самый дорогой режим</t>
        </is>
      </c>
    </row>
    <row r="136">
      <c r="A136" t="inlineStr">
        <is>
          <t>Заливка ячейки: сверху цвет высветлен к белому на 55 %, снизу — чистый цвет шкалы</t>
        </is>
      </c>
    </row>
    <row r="138">
      <c r="A138" s="2" t="inlineStr">
        <is>
          <t>СЕКТОР РАСХОДОВ В КОЛЬЦАХ БЛОКА 05 — 07.08.2026</t>
        </is>
      </c>
    </row>
    <row r="139">
      <c r="A139" t="inlineStr">
        <is>
          <t>прямой hex</t>
        </is>
      </c>
      <c r="B139" t="inlineStr">
        <is>
          <t>#C7CBD1</t>
        </is>
      </c>
      <c r="C139" t="inlineStr">
        <is>
          <t>серый сектор «Расходы в совокупности», верх</t>
        </is>
      </c>
    </row>
    <row r="140">
      <c r="A140" t="inlineStr">
        <is>
          <t>прямой hex</t>
        </is>
      </c>
      <c r="B140" t="inlineStr">
        <is>
          <t>#A9AEB6</t>
        </is>
      </c>
      <c r="C140" t="inlineStr">
        <is>
          <t>серый сектор, низ — был #E5E7EB, сливался с подложкой</t>
        </is>
      </c>
    </row>
    <row r="141">
      <c r="A141" t="inlineStr">
        <is>
          <t>Плашки блока 05</t>
        </is>
      </c>
      <c r="B141" t="inlineStr">
        <is>
          <t>1 реальный #5CA8E0→#2F80C4 (гамма «Условий труда») · 2 идеальный #4FC26A→#1B9331 · 3 в ноль #E1306C→#C13584 (гамма блока 08)</t>
        </is>
      </c>
    </row>
    <row r="143">
      <c r="A143" s="2" t="inlineStr">
        <is>
          <t>КОЛЬЦА БЛОКА 05 — ОБЪЁМ, 07.08.2026</t>
        </is>
      </c>
    </row>
    <row r="144">
      <c r="A144" t="inlineStr">
        <is>
          <t>Зелёный сектор</t>
        </is>
      </c>
      <c r="B144" t="inlineStr">
        <is>
          <t>#5FCC79 → #2BA845 → #14762A</t>
        </is>
      </c>
      <c r="C144" t="inlineStr">
        <is>
          <t>три стопа: светлый верх, основной тон, тень внизу</t>
        </is>
      </c>
    </row>
    <row r="145">
      <c r="A145" t="inlineStr">
        <is>
          <t>Серый сектор</t>
        </is>
      </c>
      <c r="B145" t="inlineStr">
        <is>
          <t>#D3D7DC → #B4B9C1 → #8E949E</t>
        </is>
      </c>
      <c r="C145" t="inlineStr">
        <is>
          <t>было два стопа #C7CBD1 → #A9AEB6</t>
        </is>
      </c>
    </row>
    <row r="146">
      <c r="A146" t="inlineStr">
        <is>
          <t>Направление</t>
        </is>
      </c>
      <c r="B146" t="inlineStr">
        <is>
          <t>x1=0.12 y1=0 → x2=0.78 y2=1</t>
        </is>
      </c>
      <c r="C146" t="inlineStr">
        <is>
          <t>диагональ: свет сверху-слева, тень снизу-справа</t>
        </is>
      </c>
    </row>
    <row r="147">
      <c r="A147" t="inlineStr">
        <is>
          <t>Центральный круг</t>
        </is>
      </c>
      <c r="B147" t="inlineStr">
        <is>
          <t>как метка .bbwin блока 04: градиент по диагонали, feDropShadow dy=4 blur=5 30%, белое кольцо r=48 stroke 4px 55%</t>
        </is>
      </c>
    </row>
    <row r="149">
      <c r="A149" s="2" t="inlineStr">
        <is>
          <t>ВРЕЗКА «ТОЧКА БЕЗУБЫТОЧНОСТИ» — 07.08.2026</t>
        </is>
      </c>
    </row>
    <row r="150">
      <c r="A150" t="inlineStr">
        <is>
          <t>Было</t>
        </is>
      </c>
      <c r="B150" t="inlineStr">
        <is>
          <t>янтарная: рамка --c-a-200, фон --c-a-50, заголовок --c-a-800</t>
        </is>
      </c>
    </row>
    <row r="151">
      <c r="A151" t="inlineStr">
        <is>
          <t>Стало</t>
        </is>
      </c>
      <c r="B151" t="inlineStr">
        <is>
          <t>розово-серая: рамка --c-p-200, фон --c-p-50, заголовок --c-p-700</t>
        </is>
      </c>
      <c r="C151" t="inlineStr">
        <is>
          <t>гамма сценария «в ноль» — связь блоков видна по цвету</t>
        </is>
      </c>
    </row>
    <row r="152">
      <c r="A152" t="inlineStr">
        <is>
          <t>Знак ✕ в списке</t>
        </is>
      </c>
      <c r="B152" t="inlineStr">
        <is>
          <t>--c-p-100 / --c-p-600</t>
        </is>
      </c>
      <c r="C152" t="inlineStr">
        <is>
          <t>был красный --c-r-100 / --c-r-600</t>
        </is>
      </c>
    </row>
    <row r="153">
      <c r="A153" t="inlineStr">
        <is>
          <t>.scdeco</t>
        </is>
      </c>
      <c r="B153" t="inlineStr">
        <is>
          <t>rgba(255,255,255,.62)</t>
        </is>
      </c>
      <c r="C153" t="inlineStr">
        <is>
          <t>круг светлее подложки, как .cn:before; цветной круг темнее фона выглядел грязным</t>
        </is>
      </c>
    </row>
    <row r="154">
      <c r="A154" t="inlineStr">
        <is>
          <t>.scn3</t>
        </is>
      </c>
      <c r="B154" t="inlineStr">
        <is>
          <t>анимация наведения убрана</t>
        </is>
      </c>
      <c r="C154" t="inlineStr">
        <is>
          <t>плашки некликабельны — подъём и смена тени сняты</t>
        </is>
      </c>
    </row>
    <row r="156">
      <c r="A156" s="2" t="inlineStr">
        <is>
          <t>БЛОК 06 «БОЛЬШЕ ЗАКАЗОВ» — ИНСТА-ГАММА, 07.08.2026</t>
        </is>
      </c>
    </row>
    <row r="157">
      <c r="A157" t="inlineStr">
        <is>
          <t>Было</t>
        </is>
      </c>
      <c r="B157" t="inlineStr">
        <is>
          <t>плоская подложка --c-r-50, белые плашки, цифры --c-r-800</t>
        </is>
      </c>
    </row>
    <row r="158">
      <c r="A158" t="inlineStr">
        <is>
          <t>Стало</t>
        </is>
      </c>
      <c r="B158" t="inlineStr">
        <is>
          <t>силуэт .npd из блока 04 в гамме блока 08: рамка --c-p-200, фон --c-p-50 → белый → --c-p-50</t>
        </is>
      </c>
    </row>
    <row r="159">
      <c r="A159" t="inlineStr">
        <is>
          <t>Плашка 1</t>
        </is>
      </c>
      <c r="B159" t="inlineStr">
        <is>
          <t>--c-ig-2 → --c-ig-1</t>
        </is>
      </c>
      <c r="C159" t="inlineStr">
        <is>
          <t>малина → фиолет</t>
        </is>
      </c>
    </row>
    <row r="160">
      <c r="A160" t="inlineStr">
        <is>
          <t>Плашка 2</t>
        </is>
      </c>
      <c r="B160" t="inlineStr">
        <is>
          <t>--c-ig-3 → --c-ig-2</t>
        </is>
      </c>
      <c r="C160" t="inlineStr">
        <is>
          <t>коралл → малина</t>
        </is>
      </c>
    </row>
    <row r="161">
      <c r="A161" t="inlineStr">
        <is>
          <t>Плашка 3</t>
        </is>
      </c>
      <c r="B161" t="inlineStr">
        <is>
          <t>#EE4A5A → --c-ig-3</t>
        </is>
      </c>
    </row>
    <row r="162">
      <c r="A162" t="inlineStr">
        <is>
          <t>Плашка 4</t>
        </is>
      </c>
      <c r="B162" t="inlineStr">
        <is>
          <t>--c-ig-4 → #E14A4A</t>
        </is>
      </c>
      <c r="C162" t="inlineStr">
        <is>
          <t>янтарь → красный</t>
        </is>
      </c>
    </row>
    <row r="163">
      <c r="A163" t="inlineStr">
        <is>
          <t>Вывод .out</t>
        </is>
      </c>
      <c r="B163" t="inlineStr">
        <is>
          <t>белая полоса с рамкой --c-p-200, заголовок --c-ig-1 — как .npdlim</t>
        </is>
      </c>
    </row>
    <row r="165">
      <c r="A165" s="2" t="inlineStr">
        <is>
          <t>ПЛАШКА «В НОЛЬ» БЛОКА 05 — ГАММА .cn.s3, 07.08.2026</t>
        </is>
      </c>
      <c r="H165" s="297" t="inlineStr">
        <is>
          <t>ОТКАЧЕНО 07.08.2026: гамма получилась теплее, вернули розовую --c-ig-3 → --c-ig-2</t>
        </is>
      </c>
    </row>
    <row r="166">
      <c r="A166" t="inlineStr">
        <is>
          <t>Было</t>
        </is>
      </c>
      <c r="B166" t="inlineStr">
        <is>
          <t>подложка --c-p-100 → --c-p-50, метка --c-ig-3 → --c-ig-2, цифры --c-ig-2</t>
        </is>
      </c>
      <c r="C166" t="inlineStr">
        <is>
          <t>розовая гамма, не совпадала с референсом</t>
        </is>
      </c>
      <c r="H166" s="297" t="inlineStr">
        <is>
          <t>ОТКАЧЕНО 07.08.2026: гамма получилась теплее, вернули розовую --c-ig-3 → --c-ig-2</t>
        </is>
      </c>
    </row>
    <row r="167">
      <c r="A167" t="inlineStr">
        <is>
          <t>Стало — метка</t>
        </is>
      </c>
      <c r="B167" t="inlineStr">
        <is>
          <t>--c-ig-4 → --c-ig-3</t>
        </is>
      </c>
      <c r="C167" t="inlineStr">
        <is>
          <t>точно как .cn.s3 «Выше ценник» в блоке 08</t>
        </is>
      </c>
      <c r="H167" s="297" t="inlineStr">
        <is>
          <t>ОТКАЧЕНО 07.08.2026: гамма получилась теплее, вернули розовую --c-ig-3 → --c-ig-2</t>
        </is>
      </c>
    </row>
    <row r="168">
      <c r="A168" t="inlineStr">
        <is>
          <t>Стало — подложка</t>
        </is>
      </c>
      <c r="B168" t="inlineStr">
        <is>
          <t>#FDE4DC → #FFF6F3</t>
        </is>
      </c>
      <c r="C168" t="inlineStr">
        <is>
          <t>светлые производные той же гаммы</t>
        </is>
      </c>
      <c r="H168" s="297" t="inlineStr">
        <is>
          <t>ОТКАЧЕНО 07.08.2026: гамма получилась теплее, вернули розовую --c-ig-3 → --c-ig-2</t>
        </is>
      </c>
    </row>
    <row r="169">
      <c r="A169" t="inlineStr">
        <is>
          <t>Стало — центр кольца</t>
        </is>
      </c>
      <c r="B169" t="inlineStr">
        <is>
          <t>#F56040 → #E1306C</t>
        </is>
      </c>
      <c r="C169" t="inlineStr">
        <is>
          <t xml:space="preserve">--c-ig-4 → --c-ig-3</t>
        </is>
      </c>
      <c r="H169" s="297" t="inlineStr">
        <is>
          <t>ОТКАЧЕНО 07.08.2026: гамма получилась теплее, вернули розовую --c-ig-3 → --c-ig-2</t>
        </is>
      </c>
    </row>
    <row r="170">
      <c r="A170" t="inlineStr">
        <is>
          <t>Стало — цифры</t>
        </is>
      </c>
      <c r="B170" t="inlineStr">
        <is>
          <t>#D1442A</t>
        </is>
      </c>
      <c r="H170" s="297" t="inlineStr">
        <is>
          <t>ОТКАЧЕНО 07.08.2026: гамма получилась теплее, вернули розовую --c-ig-3 → --c-ig-2</t>
        </is>
      </c>
    </row>
    <row r="171">
      <c r="A171" t="inlineStr">
        <is>
          <t>Стало — декор-круг</t>
        </is>
      </c>
      <c r="B171" t="inlineStr">
        <is>
          <t>rgba(245,96,64,.10)</t>
        </is>
      </c>
      <c r="H171" s="297" t="inlineStr">
        <is>
          <t>ОТКАЧЕНО 07.08.2026: гамма получилась теплее, вернули розовую --c-ig-3 → --c-ig-2</t>
        </is>
      </c>
    </row>
  </sheetData>
  <mergeCells count="14">
    <mergeCell ref="A102:D102"/>
    <mergeCell ref="A103:D103"/>
    <mergeCell ref="A110:D110"/>
    <mergeCell ref="A106:D106"/>
    <mergeCell ref="A105:D105"/>
    <mergeCell ref="A114:D114"/>
    <mergeCell ref="A100:D100"/>
    <mergeCell ref="A101:D101"/>
    <mergeCell ref="A104:D104"/>
    <mergeCell ref="A112:D112"/>
    <mergeCell ref="A113:D113"/>
    <mergeCell ref="A107:D107"/>
    <mergeCell ref="A115:D115"/>
    <mergeCell ref="A111:D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74" customWidth="1" min="3" max="3"/>
  </cols>
  <sheetData>
    <row r="1">
      <c r="A1" s="144" t="inlineStr">
        <is>
          <t>09d · ЛОГОТИП — эталон, менять только здесь</t>
        </is>
      </c>
    </row>
    <row r="2" ht="28" customHeight="1">
      <c r="A2" s="145" t="inlineStr">
        <is>
          <t>Знак зафиксирован. Любая правка вёрстки должна сверяться с этим листом. Если логотип в файле отличается от кода ниже — это ошибка, привести к эталону.</t>
        </is>
      </c>
    </row>
    <row r="4">
      <c r="A4" s="146" t="inlineStr">
        <is>
          <t>ПРАВИЛА — нарушать нельзя</t>
        </is>
      </c>
      <c r="B4" s="147" t="n"/>
      <c r="C4" s="147" t="n"/>
    </row>
    <row r="5">
      <c r="A5" s="148" t="inlineStr">
        <is>
          <t>Параметр</t>
        </is>
      </c>
      <c r="B5" s="148" t="inlineStr">
        <is>
          <t>Значение</t>
        </is>
      </c>
      <c r="C5" s="148" t="inlineStr">
        <is>
          <t>Пояснение</t>
        </is>
      </c>
    </row>
    <row r="6" ht="30" customHeight="1">
      <c r="A6" s="149" t="inlineStr">
        <is>
          <t>Порядок в замке</t>
        </is>
      </c>
      <c r="B6" s="152" t="inlineStr">
        <is>
          <t>надпись СЛЕВА, знак СПРАВА</t>
        </is>
      </c>
      <c r="C6" s="152" t="inlineStr">
        <is>
          <t>Во всех местах обоих файлов: шапка отчёта, шапка формы, подвалы.</t>
        </is>
      </c>
    </row>
    <row r="7" ht="30" customHeight="1">
      <c r="A7" s="149" t="inlineStr">
        <is>
          <t>Зелёный элемент</t>
        </is>
      </c>
      <c r="B7" s="152" t="inlineStr">
        <is>
          <t>ПРАВЫЙ ромб</t>
        </is>
      </c>
      <c r="C7" s="152" t="inlineStr">
        <is>
          <t>Крайний правый. Не нижний, не верхний. Фиксировано, не меняется при прокрутке.</t>
        </is>
      </c>
    </row>
    <row r="8" ht="30" customHeight="1">
      <c r="A8" s="149" t="inlineStr">
        <is>
          <t>Цвет зелёного</t>
        </is>
      </c>
      <c r="B8" s="152" t="inlineStr">
        <is>
          <t>var(--c-g-500) = #21A038</t>
        </is>
      </c>
      <c r="C8" s="152" t="inlineStr">
        <is>
          <t>Основной зелёный бренда из листа 09c. Другие оттенки не использовать.</t>
        </is>
      </c>
    </row>
    <row r="9" ht="30" customHeight="1">
      <c r="A9" s="149" t="inlineStr">
        <is>
          <t>Цвет серых</t>
        </is>
      </c>
      <c r="B9" s="152" t="inlineStr">
        <is>
          <t>var(--c-ln) = #E5E7EB</t>
        </is>
      </c>
      <c r="C9" s="152" t="inlineStr">
        <is>
          <t>Три остальных ромба. В подвале те же цвета, гасится прозрачностью .55.</t>
        </is>
      </c>
    </row>
    <row r="10" ht="44" customHeight="1">
      <c r="A10" s="149" t="inlineStr">
        <is>
          <t>Анимация</t>
        </is>
      </c>
      <c r="B10" s="152" t="inlineStr">
        <is>
          <t>ЗАПРЕЩЕНА</t>
        </is>
      </c>
      <c r="C10" s="152" t="inlineStr">
        <is>
          <t>Знак статичен. Подсветка «активного юнита» по прокрутке была удалена — из-за неё логотип менялся на каждом экране.</t>
        </is>
      </c>
    </row>
    <row r="12">
      <c r="A12" s="146" t="inlineStr">
        <is>
          <t>ГЕОМЕТРИЯ · viewBox 32 × 32</t>
        </is>
      </c>
      <c r="B12" s="147" t="n"/>
      <c r="C12" s="147" t="n"/>
    </row>
    <row r="13">
      <c r="A13" s="148" t="inlineStr">
        <is>
          <t>Параметр</t>
        </is>
      </c>
      <c r="B13" s="148" t="inlineStr">
        <is>
          <t>Значение</t>
        </is>
      </c>
      <c r="C13" s="148" t="inlineStr">
        <is>
          <t>Пояснение</t>
        </is>
      </c>
    </row>
    <row r="14" ht="30" customHeight="1">
      <c r="A14" s="149" t="inlineStr">
        <is>
          <t>Сторона квадрата</t>
        </is>
      </c>
      <c r="B14" s="152" t="inlineStr">
        <is>
          <t>10,10</t>
        </is>
      </c>
      <c r="C14" s="152" t="inlineStr">
        <is>
          <t>Замерено по макету заказчика попиксельно.</t>
        </is>
      </c>
    </row>
    <row r="15" ht="30" customHeight="1">
      <c r="A15" s="149" t="inlineStr">
        <is>
          <t>Смещение от центра</t>
        </is>
      </c>
      <c r="B15" s="152" t="inlineStr">
        <is>
          <t>8,86</t>
        </is>
      </c>
      <c r="C15" s="152" t="inlineStr">
        <is>
          <t>Отношение к габариту ромба 0,62 — даёт воздушный зазор.</t>
        </is>
      </c>
    </row>
    <row r="16" ht="30" customHeight="1">
      <c r="A16" s="149" t="inlineStr">
        <is>
          <t>Скругление rx</t>
        </is>
      </c>
      <c r="B16" s="152" t="inlineStr">
        <is>
          <t>1,90</t>
        </is>
      </c>
      <c r="C16" s="152" t="inlineStr">
        <is>
          <t>19% стороны.</t>
        </is>
      </c>
    </row>
    <row r="17" ht="30" customHeight="1">
      <c r="A17" s="149" t="inlineStr">
        <is>
          <t>Поворот</t>
        </is>
      </c>
      <c r="B17" s="152" t="inlineStr">
        <is>
          <t>rotate(45)</t>
        </is>
      </c>
      <c r="C17" s="152" t="inlineStr">
        <is>
          <t>Вокруг центра каждого квадрата.</t>
        </is>
      </c>
    </row>
    <row r="18" ht="30" customHeight="1">
      <c r="A18" s="149" t="inlineStr">
        <is>
          <t>Размеры вывода</t>
        </is>
      </c>
      <c r="B18" s="152" t="inlineStr">
        <is>
          <t>46 px шапка · 20 px подвал</t>
        </is>
      </c>
      <c r="C18" s="152" t="inlineStr">
        <is>
          <t>Меняется только атрибут width/height, геометрия не трогается.</t>
        </is>
      </c>
    </row>
    <row r="20">
      <c r="A20" s="146" t="inlineStr">
        <is>
          <t>ТИПОГРАФИКА</t>
        </is>
      </c>
      <c r="B20" s="147" t="n"/>
      <c r="C20" s="147" t="n"/>
    </row>
    <row r="21">
      <c r="A21" s="148" t="inlineStr">
        <is>
          <t>Элемент</t>
        </is>
      </c>
      <c r="B21" s="148" t="inlineStr">
        <is>
          <t>Значение</t>
        </is>
      </c>
      <c r="C21" s="148" t="inlineStr">
        <is>
          <t>Пояснение</t>
        </is>
      </c>
    </row>
    <row r="22" ht="30" customHeight="1">
      <c r="A22" s="149" t="inlineStr">
        <is>
          <t>Название</t>
        </is>
      </c>
      <c r="B22" s="152" t="inlineStr">
        <is>
          <t>счётикс</t>
        </is>
      </c>
      <c r="C22" s="152" t="inlineStr">
        <is>
          <t>Строчными. 19 px, вес 700, разрядка .11em, цвет --c-ink.</t>
        </is>
      </c>
    </row>
    <row r="23" ht="40" customHeight="1">
      <c r="A23" s="149" t="inlineStr">
        <is>
          <t>Подпись</t>
        </is>
      </c>
      <c r="B23" s="152" t="inlineStr">
        <is>
          <t>твоя юнит-экономика</t>
        </is>
      </c>
      <c r="C23" s="152" t="inlineStr">
        <is>
          <t>9 px, --c-gr2, растянута по ширине названия через space-between (каждая буква в теге i).</t>
        </is>
      </c>
    </row>
    <row r="24" ht="30" customHeight="1">
      <c r="A24" s="149" t="inlineStr">
        <is>
          <t>Подвал</t>
        </is>
      </c>
      <c r="B24" s="152" t="inlineStr">
        <is>
          <t>счётикс</t>
        </is>
      </c>
      <c r="C24" s="152" t="inlineStr">
        <is>
          <t>12 px, вес 700, --c-gr, прозрачность блока .55.</t>
        </is>
      </c>
    </row>
    <row r="25" ht="30" customHeight="1">
      <c r="A25" s="149" t="inlineStr">
        <is>
          <t>Зазор знак↔текст</t>
        </is>
      </c>
      <c r="B25" s="152" t="inlineStr">
        <is>
          <t>12 px шапка · 7 px подвал</t>
        </is>
      </c>
      <c r="C25" s="152" t="inlineStr"/>
    </row>
    <row r="27">
      <c r="A27" s="146" t="inlineStr">
        <is>
          <t>ИСХОДНЫЙ КОД — копировать отсюда</t>
        </is>
      </c>
      <c r="B27" s="147" t="n"/>
      <c r="C27" s="147" t="n"/>
    </row>
    <row r="28">
      <c r="A28" s="148" t="inlineStr">
        <is>
          <t>Что</t>
        </is>
      </c>
      <c r="B28" s="148" t="inlineStr">
        <is>
          <t>Где применяется</t>
        </is>
      </c>
      <c r="C28" s="148" t="inlineStr">
        <is>
          <t>Код</t>
        </is>
      </c>
    </row>
    <row r="29" ht="96" customHeight="1">
      <c r="A29" s="149" t="inlineStr">
        <is>
          <t>Знак</t>
        </is>
      </c>
      <c r="B29" s="152" t="inlineStr">
        <is>
          <t>шапка (class=bx)</t>
        </is>
      </c>
      <c r="C29" s="231" t="inlineStr">
        <is>
          <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t>
        </is>
      </c>
    </row>
    <row r="30" ht="96" customHeight="1">
      <c r="A30" s="149" t="inlineStr">
        <is>
          <t>Замок целиком</t>
        </is>
      </c>
      <c r="B30" s="152" t="inlineStr">
        <is>
          <t>шапка отчёта и формы</t>
        </is>
      </c>
      <c r="C30" s="231" t="inlineStr">
        <is>
          <t>&lt;div class="brand" title="Счётикс — твоя юнит-экономика"&gt;&lt;span class="btx"&gt;&lt;span class="bt"&gt;счётикс&lt;/span&gt;&lt;span class="bd" data-t="bt_02"&gt;&lt;i&gt;т&lt;/i&gt;&lt;i&gt;в&lt;/i&gt;&lt;i&gt;о&lt;/i&gt;&lt;i&gt;я&lt;/i&gt;&lt;i&gt;&amp;nbsp;&lt;/i&gt;&lt;i&gt;ю&lt;/i&gt;&lt;i&gt;н&lt;/i&gt;&lt;i&gt;и&lt;/i&gt;&lt;i&gt;т&lt;/i&gt;&lt;i&gt;-&lt;/i&gt;&lt;i&gt;э&lt;/i&gt;&lt;i&gt;к&lt;/i&gt;&lt;i&gt;о&lt;/i&gt;&lt;i&gt;н&lt;/i&gt;&lt;i&gt;о&lt;/i&gt;&lt;i&gt;м&lt;/i&gt;&lt;i&gt;и&lt;/i&gt;&lt;i&gt;к&lt;/i&gt;&lt;i&gt;а&lt;/i&gt;&lt;/span&gt;&lt;/span&g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fill="var(--c-ln)"/&gt;&lt;/svg&gt;&lt;/div&gt;</t>
        </is>
      </c>
    </row>
    <row r="31" ht="70" customHeight="1">
      <c r="A31" s="149" t="inlineStr">
        <is>
          <t>Подвал</t>
        </is>
      </c>
      <c r="B31" s="152" t="inlineStr">
        <is>
          <t>низ обоих файлов</t>
        </is>
      </c>
      <c r="C31" s="231" t="inlineStr">
        <is>
          <t>&lt;span class="lgs" title="Счётикс — твоя юнит-экономика"&gt;&lt;span class="lt"&gt;счётикс&lt;/span&gt;&lt;svg class="lx"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fill="var(--c-ln)"/&gt;&lt;/svg&gt;&lt;/span&gt;&lt;/span&gt;</t>
        </is>
      </c>
    </row>
    <row r="33">
      <c r="A33" s="146" t="inlineStr">
        <is>
          <t>ПРОВЕРКА ПОСЛЕ ЛЮБОЙ ПРАВКИ</t>
        </is>
      </c>
      <c r="B33" s="147" t="n"/>
      <c r="C33" s="147" t="n"/>
    </row>
    <row r="34">
      <c r="A34" s="226" t="inlineStr">
        <is>
          <t>• В обоих файлах ровно один зелёный ромб на знак, атрибут x="19.81".</t>
        </is>
      </c>
    </row>
    <row r="35">
      <c r="A35" s="226" t="inlineStr">
        <is>
          <t>• Порядок дочерних элементов: сначала span с текстом, потом svg.</t>
        </is>
      </c>
    </row>
    <row r="36">
      <c r="A36" s="226" t="inlineStr">
        <is>
          <t>• В коде нет классов u-inc / u-exp / u-res / u-prof — это следы удалённой анимации.</t>
        </is>
      </c>
    </row>
    <row r="37">
      <c r="A37" s="226" t="inlineStr">
        <is>
          <t>• В CSS нет правил .bx .u и .lx .u — цвет задаётся прямо в атрибутах fill.</t>
        </is>
      </c>
    </row>
    <row r="38">
      <c r="A38" s="226" t="inlineStr">
        <is>
          <t>• Фоновые знаки в блоке 01 тоже с зелёным справа.</t>
        </is>
      </c>
    </row>
    <row r="40">
      <c r="A40" s="154" t="inlineStr">
        <is>
          <t>ВЕРТИКАЛЬНЫЙ ВАРИАНТ · подвал</t>
        </is>
      </c>
    </row>
    <row r="41">
      <c r="A41" s="226" t="inlineStr">
        <is>
          <t>• В подвале обоих файлов знак стоит СВЕРХУ, надпись «счётикс» — под ним.</t>
        </is>
      </c>
    </row>
    <row r="42">
      <c r="A42" s="226" t="inlineStr">
        <is>
          <t>• Знак 26 px, надпись 11 px с разрядкой .17em, цвет --c-gr2, прозрачность блока .6.</t>
        </is>
      </c>
    </row>
    <row r="43">
      <c r="A43" s="226" t="inlineStr">
        <is>
          <t>• Горизонтальный вариант (надпись слева, знак справа) — только в шапке.</t>
        </is>
      </c>
    </row>
    <row r="44">
      <c r="A44" s="226" t="inlineStr">
        <is>
          <t>• Причина: в подвале мало места по ширине, горизонтальный замок расползался.</t>
        </is>
      </c>
    </row>
    <row r="46">
      <c r="A46" s="154" t="inlineStr">
        <is>
          <t>ФОНОВАЯ ГРАФИКА</t>
        </is>
      </c>
    </row>
    <row r="47">
      <c r="A47" s="226" t="inlineStr">
        <is>
          <t>• Зелёная плашка (hero): знак, камера, диафрагма — белым, прозрачность .05–.09.</t>
        </is>
      </c>
    </row>
    <row r="48">
      <c r="A48" s="226" t="inlineStr">
        <is>
          <t>• Блок 01: под кольцом белый диск 46%, чтобы фоновые рисунки не просвечивали в отверстие.</t>
        </is>
      </c>
    </row>
    <row r="49">
      <c r="A49" s="226" t="inlineStr">
        <is>
          <t>• Декор всегда z-index:0, контент — z-index:1. Фон не должен перекрывать цифры.</t>
        </is>
      </c>
    </row>
    <row r="51">
      <c r="A51" s="146" t="inlineStr">
        <is>
          <t>ФИРМЕННАЯ ГРАФИКА — три элемента, других не добавляем</t>
        </is>
      </c>
      <c r="B51" s="147" t="n"/>
      <c r="C51" s="147" t="n"/>
    </row>
    <row r="52">
      <c r="A52" s="232" t="inlineStr">
        <is>
          <t>Элемент</t>
        </is>
      </c>
      <c r="B52" s="232" t="inlineStr">
        <is>
          <t>Где применяется</t>
        </is>
      </c>
      <c r="C52" s="232" t="inlineStr">
        <is>
          <t>Как задан</t>
        </is>
      </c>
    </row>
    <row r="53" ht="56" customHeight="1">
      <c r="A53" s="149" t="inlineStr">
        <is>
          <t>1. Знак — четыре ромба</t>
        </is>
      </c>
      <c r="B53" s="152" t="inlineStr">
        <is>
          <t>Шапка и подвал обоих файлов. Фон блока 01 (три размера). Фон зелёной плашки, белым 7%. Фон блока «Почему можно верить», зелёным 5%.</t>
        </is>
      </c>
      <c r="C53" s="234" t="inlineStr">
        <is>
          <t>&lt;svg viewBox='0 0 32 32'&gt; + 4 rect, геометрия из раздела выше</t>
        </is>
      </c>
    </row>
    <row r="54" ht="56" customHeight="1">
      <c r="A54" s="149" t="inlineStr">
        <is>
          <t>2. Камера — контур</t>
        </is>
      </c>
      <c r="B54" s="152" t="inlineStr">
        <is>
          <t>Фон блока 01 (справа сверху, 92px). Фон зелёной плашки (справа сверху, белым 9%). Обозначает нишу: для другой профессии меняется на свою иконку.</t>
        </is>
      </c>
      <c r="C54" s="234" t="inlineStr">
        <is>
          <t>&lt;rect&gt; корпус + &lt;path&gt; выступ + 2 &lt;circle&gt; объектив, stroke-width 1–1.1</t>
        </is>
      </c>
    </row>
    <row r="55" ht="56" customHeight="1">
      <c r="A55" s="149" t="inlineStr">
        <is>
          <t>3. Круг — мягкое пятно</t>
        </is>
      </c>
      <c r="B55" s="152" t="inlineStr">
        <is>
          <t>Плашки условий труда: right:-30px, top:-30px, 130×130, белый 10%. Фон блока 01: два больших круга 320 и 340px, заливка --c-g-50 и --c-b-50.</t>
        </is>
      </c>
      <c r="C55" s="234" t="inlineStr">
        <is>
          <t>border-radius:50% + background:rgba(255,255,255,.10)
или &lt;circle&gt; с заливкой из палитры</t>
        </is>
      </c>
    </row>
    <row r="57">
      <c r="A57" s="226" t="inlineStr">
        <is>
          <t>• Прозрачность фоновой графики: 5–13%. Она должна читаться только если присматриваться.</t>
        </is>
      </c>
    </row>
    <row r="58">
      <c r="A58" s="226" t="inlineStr">
        <is>
          <t>• Цвета — строго из палитры 09c. На цветных подложках белый с прозрачностью.</t>
        </is>
      </c>
    </row>
    <row r="59">
      <c r="A59" s="226" t="inlineStr">
        <is>
          <t>• Абстрактных иконок (часы, стрелки, звёзды, диафрагма) больше не используем — только эти три элемента.</t>
        </is>
      </c>
    </row>
    <row r="60">
      <c r="A60" s="226" t="inlineStr">
        <is>
          <t>• Диафрагма объектива была удалена с зелёной плашки: читалась как посторонний символ.</t>
        </is>
      </c>
    </row>
    <row r="62">
      <c r="A62" s="154" t="inlineStr">
        <is>
          <t>ЦВЕТ ЗНАКА ЗАВИСИТ ОТ ФОНА</t>
        </is>
      </c>
    </row>
    <row r="63">
      <c r="A63" s="226" t="inlineStr">
        <is>
          <t>• На белом фоне серые ромбы — var(--c-ln) #E5E7EB.</t>
        </is>
      </c>
    </row>
    <row r="64">
      <c r="A64" s="226" t="inlineStr">
        <is>
          <t>• На сером фоне страницы (--c-bg #F5F6F8) — var(--c-gr3) #B6BCC4, иначе знак сливается: контраст 1,14 против 1,77.</t>
        </is>
      </c>
    </row>
    <row r="65">
      <c r="A65" s="226" t="inlineStr">
        <is>
          <t>• Зелёный ромб всегда var(--c-g-500), контраст к обоим фонам достаточный.</t>
        </is>
      </c>
    </row>
    <row r="67">
      <c r="A67" s="154" t="inlineStr">
        <is>
          <t>ЗНАЧКИ В ТЕКСТЕ</t>
        </is>
      </c>
    </row>
    <row r="68">
      <c r="A68" s="226" t="inlineStr">
        <is>
          <t>• В текстовых блоках используем системные эмодзи: ⚠️ «важно», ☝️ «внимание».</t>
        </is>
      </c>
    </row>
    <row r="69">
      <c r="A69" s="226" t="inlineStr">
        <is>
          <t>• Векторный треугольник остаётся только в плашках-предупреждениях (классы .iwt, .scwarn).</t>
        </is>
      </c>
    </row>
    <row r="70">
      <c r="A70" s="226" t="inlineStr">
        <is>
          <t>• Эмодзи ставим в &lt;span class="wic"&gt;, размер 17px, ширина колонки 22px.</t>
        </is>
      </c>
    </row>
    <row r="72">
      <c r="A72" s="2" t="inlineStr">
        <is>
          <t>ПОДВАЛ — обновлено 06.08.2026</t>
        </is>
      </c>
    </row>
    <row r="73">
      <c r="A73" t="inlineStr">
        <is>
          <t>Конструкция</t>
        </is>
      </c>
      <c r="C73" s="275" t="inlineStr">
        <is>
          <t>Та же, что в шапке: надпись СЛЕВА, знак СПРАВА</t>
        </is>
      </c>
    </row>
    <row r="74">
      <c r="A74" t="inlineStr">
        <is>
          <t>Знак</t>
        </is>
      </c>
      <c r="C74" s="275" t="inlineStr">
        <is>
          <t>46 px (в шапке 62 px)</t>
        </is>
      </c>
    </row>
    <row r="75">
      <c r="A75" t="inlineStr">
        <is>
          <t>«счётикс»</t>
        </is>
      </c>
      <c r="C75" s="275" t="inlineStr">
        <is>
          <t>14 px, --c-ink, letter-spacing .11em (в шапке 19 px)</t>
        </is>
      </c>
    </row>
    <row r="76">
      <c r="A76" t="inlineStr">
        <is>
          <t>«твоя юнит-экономика»</t>
        </is>
      </c>
      <c r="C76" s="275" t="inlineStr">
        <is>
          <t>6,6 px, растянута через space-between (в шапке 9 px)</t>
        </is>
      </c>
    </row>
    <row r="77">
      <c r="A77" t="inlineStr">
        <is>
          <t>Серые ромбы</t>
        </is>
      </c>
      <c r="C77" s="275" t="inlineStr">
        <is>
          <t>--c-gr3, не --c-ln: на сером фоне контраст 1,77 против 1,14</t>
        </is>
      </c>
    </row>
    <row r="78">
      <c r="A78" t="inlineStr">
        <is>
          <t>Зелёный ромб</t>
        </is>
      </c>
      <c r="C78" s="275" t="inlineStr">
        <is>
          <t>правый, x=19.81 — как везде</t>
        </is>
      </c>
    </row>
  </sheetData>
  <mergeCells count="23">
    <mergeCell ref="A41:C41"/>
    <mergeCell ref="A37:C37"/>
    <mergeCell ref="A57:C57"/>
    <mergeCell ref="A2:C2"/>
    <mergeCell ref="A42:C42"/>
    <mergeCell ref="A47:C47"/>
    <mergeCell ref="A35:C35"/>
    <mergeCell ref="A43:C43"/>
    <mergeCell ref="A38:C38"/>
    <mergeCell ref="A68:C68"/>
    <mergeCell ref="A63:C63"/>
    <mergeCell ref="A44:C44"/>
    <mergeCell ref="A58:C58"/>
    <mergeCell ref="A34:C34"/>
    <mergeCell ref="A59:C59"/>
    <mergeCell ref="A48:C48"/>
    <mergeCell ref="A64:C64"/>
    <mergeCell ref="A60:C60"/>
    <mergeCell ref="A36:C36"/>
    <mergeCell ref="A49:C49"/>
    <mergeCell ref="A70:C70"/>
    <mergeCell ref="A69:C69"/>
    <mergeCell ref="A65:C6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6" customWidth="1" min="3" max="3"/>
    <col width="26" customWidth="1" min="4" max="4"/>
    <col width="18" customWidth="1" min="5" max="5"/>
  </cols>
  <sheetData>
    <row r="1">
      <c r="A1" s="230" t="inlineStr">
        <is>
          <t>09e · КАК СЧИТАЕТСЯ СТОИМОСТЬ ЧАСА СЪЁМКИ</t>
        </is>
      </c>
    </row>
    <row r="2" ht="30" customHeight="1">
      <c r="A2" s="227" t="inlineStr">
        <is>
          <t>Полная цепочка расчёта по шагам — ровно так, как считает калькулятор. Все ID в колонке «Формула» ссылаются на лист 02_Параметры. Цифры в колонке «Результат» — для демо-набора (доход 108 999 ₽/мес, съёмка 2 ч, обработка ×3).</t>
        </is>
      </c>
    </row>
    <row r="4" ht="22" customHeight="1">
      <c r="A4" s="235" t="inlineStr">
        <is>
          <t>№</t>
        </is>
      </c>
      <c r="B4" s="235" t="inlineStr">
        <is>
          <t>Что считаем</t>
        </is>
      </c>
      <c r="C4" s="235" t="inlineStr">
        <is>
          <t>Как считаем — словами</t>
        </is>
      </c>
      <c r="D4" s="235" t="inlineStr">
        <is>
          <t>Формула (ID)</t>
        </is>
      </c>
      <c r="E4" s="235" t="inlineStr">
        <is>
          <t>Результат</t>
        </is>
      </c>
    </row>
    <row r="5" ht="79" customHeight="1">
      <c r="A5" s="236" t="inlineStr">
        <is>
          <t>1</t>
        </is>
      </c>
      <c r="B5" s="149" t="inlineStr">
        <is>
          <t>Рабочие дни за вычетом отпуска и больничного</t>
        </is>
      </c>
      <c r="C5" s="152" t="inlineStr">
        <is>
          <t>Берём производственный календарь — 247 рабочих дней. Вычитаем отпуск 20 рабочих дней (28 календарных по ТК РФ) и больничный 8 рабочих дней (10 календарных). Столько дней вы действительно на работе.</t>
        </is>
      </c>
      <c r="D5" s="237" t="inlineStr">
        <is>
          <t>net_days =
work_days − vacation_work − sick_work</t>
        </is>
      </c>
      <c r="E5" s="238" t="inlineStr">
        <is>
          <t>247 − 20 − 8 =
219 дней</t>
        </is>
      </c>
    </row>
    <row r="6" ht="79" customHeight="1">
      <c r="A6" s="236" t="inlineStr">
        <is>
          <t>2</t>
        </is>
      </c>
      <c r="B6" s="149" t="inlineStr">
        <is>
          <t>Чистое рабочее время в часах</t>
        </is>
      </c>
      <c r="C6" s="152" t="inlineStr">
        <is>
          <t>Номинальный день 8 часов, но продуктивных из них 7. Восьмой час уходит на подготовку и уборку рабочего места, зарядку и проверку техники, разминку и паузы — он размазан по всему дню и в проектное время не попадает.</t>
        </is>
      </c>
      <c r="D6" s="237" t="inlineStr">
        <is>
          <t>net_time =
net_days × eff_hours</t>
        </is>
      </c>
      <c r="E6" s="238" t="inlineStr">
        <is>
          <t>219 × 7 =
1 533 часа</t>
        </is>
      </c>
    </row>
    <row r="7" ht="79" customHeight="1">
      <c r="A7" s="236" t="inlineStr">
        <is>
          <t>3</t>
        </is>
      </c>
      <c r="B7" s="149" t="inlineStr">
        <is>
          <t>Вычитаем операционное время</t>
        </is>
      </c>
      <c r="C7" s="152" t="inlineStr">
        <is>
          <t>Продвижение — 2 часа в день: съёмка контента, монтаж рилсов, тексты постов, ответы в директ, настройка рекламы. Учёт и отчётность — 3 часа в квартал. Это работа, но она не привязана к конкретному заказу.</t>
        </is>
      </c>
      <c r="D7" s="237" t="inlineStr">
        <is>
          <t>side_time =
promo_time + accounting_time
pool_gross = net_time − side_time</t>
        </is>
      </c>
      <c r="E7" s="238" t="inlineStr">
        <is>
          <t>продвижение 438 ч
учёт 12 ч
1533 − 450 =
1 083 часа</t>
        </is>
      </c>
    </row>
    <row r="8" ht="79" customHeight="1">
      <c r="A8" s="236" t="inlineStr">
        <is>
          <t>4</t>
        </is>
      </c>
      <c r="B8" s="149" t="inlineStr">
        <is>
          <t>Откладываем резерв на форс-мажоры</t>
        </is>
      </c>
      <c r="C8" s="152" t="inlineStr">
        <is>
          <t>5% времени уходит на переносы, отмены, повторные выезды по вине клиента. Это время вы тратите, но денег за него не получаете, поэтому убираем его из фонда, доступного под заказы.</t>
        </is>
      </c>
      <c r="D8" s="237" t="inlineStr">
        <is>
          <t>fm_time = pool_gross × fm_pct
project_pool = pool_gross − fm_time</t>
        </is>
      </c>
      <c r="E8" s="238" t="inlineStr">
        <is>
          <t>1083 × 5% = 54,15 ч
1083 − 54,15 =
1 028,85 часа</t>
        </is>
      </c>
    </row>
    <row r="9" ht="92" customHeight="1">
      <c r="A9" s="236" t="inlineStr">
        <is>
          <t>5</t>
        </is>
      </c>
      <c r="B9" s="149" t="inlineStr">
        <is>
          <t>Считаем, сколько часов съедает один заказ</t>
        </is>
      </c>
      <c r="C9" s="152" t="inlineStr">
        <is>
          <t>Пользователь задаёт три величины: типовая длительность съёмки (2 ч), сколько часов обработки приходится на час съёмки (3), сколько времени уходит на переписку и согласование одного заказа (1 ч). Полный цикл заказа складывается из них.</t>
        </is>
      </c>
      <c r="D9" s="237" t="inlineStr">
        <is>
          <t>project_time =
shoot_duration × (1 + post_ratio)
+ client_time</t>
        </is>
      </c>
      <c r="E9" s="238" t="inlineStr">
        <is>
          <t>2 × (1+3) + 1 =
9 часов</t>
        </is>
      </c>
    </row>
    <row r="10" ht="66" customHeight="1">
      <c r="A10" s="236" t="inlineStr">
        <is>
          <t>6</t>
        </is>
      </c>
      <c r="B10" s="149" t="inlineStr">
        <is>
          <t>Сколько заказов помещается в год</t>
        </is>
      </c>
      <c r="C10" s="152" t="inlineStr">
        <is>
          <t>Делим доступное проектное время на длительность одного заказа. Дробное число — это нормально: часть заказа переходит на следующий период.</t>
        </is>
      </c>
      <c r="D10" s="237" t="inlineStr">
        <is>
          <t>projects_year =
project_pool / project_time</t>
        </is>
      </c>
      <c r="E10" s="238" t="inlineStr">
        <is>
          <t>1028,85 / 9 =
114,32 заказа</t>
        </is>
      </c>
    </row>
    <row r="11" ht="79" customHeight="1">
      <c r="A11" s="236" t="inlineStr">
        <is>
          <t>7</t>
        </is>
      </c>
      <c r="B11" s="149" t="inlineStr">
        <is>
          <t>Сколько из них — ОПЛАЧИВАЕМЫЕ часы съёмки</t>
        </is>
      </c>
      <c r="C11" s="152" t="inlineStr">
        <is>
          <t>КЛЮЧЕВОЙ ШАГ. Клиент покупает только часы на площадке. Обработка, переписка, продвижение и паузы в его счёт не попадают. Из 1 752 часов вашей работы в году продаётся только 229 — это 13%.</t>
        </is>
      </c>
      <c r="D11" s="237" t="inlineStr">
        <is>
          <t>shooting_time =
projects_year × shoot_duration</t>
        </is>
      </c>
      <c r="E11" s="238" t="inlineStr">
        <is>
          <t>114,32 × 2 =
228,63 часа</t>
        </is>
      </c>
    </row>
    <row r="12" ht="66" customHeight="1">
      <c r="A12" s="236" t="inlineStr">
        <is>
          <t>8</t>
        </is>
      </c>
      <c r="B12" s="149" t="inlineStr">
        <is>
          <t>Сколько денег нужно собрать за год</t>
        </is>
      </c>
      <c r="C12" s="152" t="inlineStr">
        <is>
          <t>Складываем желаемый доход на руки и все расходы бизнеса: амортизацию техники, офиса, ПО, обучения и сайта плюс переменные — рекламу, подписки, аренду, банк.</t>
        </is>
      </c>
      <c r="D12" s="237" t="inlineStr">
        <is>
          <t>target_income = income_month × 12
total_costs = investment + variable_costs</t>
        </is>
      </c>
      <c r="E12" s="238" t="inlineStr">
        <is>
          <t>1 307 988 ₽ доход
666 026 ₽ расходы</t>
        </is>
      </c>
    </row>
    <row r="13" ht="92" customHeight="1">
      <c r="A13" s="236" t="inlineStr">
        <is>
          <t>9</t>
        </is>
      </c>
      <c r="B13" s="149" t="inlineStr">
        <is>
          <t>Раскручиваем выручку назад через налоги</t>
        </is>
      </c>
      <c r="C13" s="152" t="inlineStr">
        <is>
          <t>Здесь нельзя просто сложить доход и расходы. С выручки ещё уйдёт налог по вашему режиму и комиссия банка за приём платежей. Поэтому мы ДЕЛИМ нужную сумму на оставшуюся долю — так получается выручка, из которой после всех вычетов останется ровно желаемый доход.</t>
        </is>
      </c>
      <c r="D13" s="237" t="inlineStr">
        <is>
          <t>R = (target_income + total_costs)
/ (1 − acquiring − rate_current)</t>
        </is>
      </c>
      <c r="E13" s="238" t="inlineStr">
        <is>
          <t>(1 307 988 + 666 026)
/ (1 − 0,028 − 0,06) =
2 164 489 ₽</t>
        </is>
      </c>
    </row>
    <row r="14" ht="66" customHeight="1">
      <c r="A14" s="236" t="inlineStr">
        <is>
          <t>10</t>
        </is>
      </c>
      <c r="B14" s="149" t="inlineStr">
        <is>
          <t>Делим выручку на оплачиваемые часы</t>
        </is>
      </c>
      <c r="C14" s="152" t="inlineStr">
        <is>
          <t>Вся годовая выручка должна собраться с тех самых 229 съёмочных часов, потому что больше клиент ничего не покупает. Это и есть ставка часа.</t>
        </is>
      </c>
      <c r="D14" s="237" t="inlineStr">
        <is>
          <t>СТАВКА = R / shooting_time</t>
        </is>
      </c>
      <c r="E14" s="238" t="inlineStr">
        <is>
          <t>2 164 489 / 228,63 =
9 467 ₽/час</t>
        </is>
      </c>
    </row>
    <row r="16">
      <c r="A16" s="239" t="inlineStr">
        <is>
          <t>ПРОВЕРКА — сходится ли</t>
        </is>
      </c>
      <c r="B16" s="147" t="n"/>
      <c r="C16" s="147" t="n"/>
      <c r="D16" s="147" t="n"/>
      <c r="E16" s="147" t="n"/>
    </row>
    <row r="17" ht="30" customHeight="1">
      <c r="B17" s="149" t="inlineStr">
        <is>
          <t>Выручка минус всё</t>
        </is>
      </c>
      <c r="C17" s="152" t="inlineStr">
        <is>
          <t>2 164 489 − 666 026 расходов − 60 606 эквайринга − 129 869 налога</t>
        </is>
      </c>
      <c r="D17" s="240" t="inlineStr">
        <is>
          <t>'= 1 307 988 ₽</t>
        </is>
      </c>
      <c r="E17" s="152" t="inlineStr">
        <is>
          <t>совпало с желаемым доходом</t>
        </is>
      </c>
    </row>
    <row r="18" ht="30" customHeight="1">
      <c r="B18" s="149" t="inlineStr">
        <is>
          <t>Легенда блока 01</t>
        </is>
      </c>
      <c r="C18" s="152" t="inlineStr">
        <is>
          <t>сумма всех 15 строк</t>
        </is>
      </c>
      <c r="D18" s="240" t="inlineStr">
        <is>
          <t>'= 9 467 ₽</t>
        </is>
      </c>
      <c r="E18" s="152" t="inlineStr">
        <is>
          <t>совпало со ставкой часа</t>
        </is>
      </c>
    </row>
    <row r="19" ht="30" customHeight="1">
      <c r="B19" s="149" t="inlineStr">
        <is>
          <t>Шапка отчёта</t>
        </is>
      </c>
      <c r="C19" s="152" t="inlineStr">
        <is>
          <t>108 999 доход + 71 375 расходы</t>
        </is>
      </c>
      <c r="D19" s="240" t="inlineStr">
        <is>
          <t>'= 180 374 ₽</t>
        </is>
      </c>
      <c r="E19" s="152" t="inlineStr">
        <is>
          <t>совпало с выручкой в месяц</t>
        </is>
      </c>
    </row>
    <row r="21">
      <c r="A21" s="239" t="inlineStr">
        <is>
          <t>ДВЕ РАЗНЫЕ СТАВКИ — не путать</t>
        </is>
      </c>
      <c r="B21" s="147" t="n"/>
      <c r="C21" s="147" t="n"/>
      <c r="D21" s="147" t="n"/>
      <c r="E21" s="147" t="n"/>
    </row>
    <row r="22" ht="42" customHeight="1">
      <c r="B22" s="149" t="inlineStr">
        <is>
          <t>Ставка за час съёмки</t>
        </is>
      </c>
      <c r="C22" s="152" t="inlineStr">
        <is>
          <t>Цена в прайсе. Её платит клиент за час вашего присутствия на площадке.</t>
        </is>
      </c>
      <c r="D22" s="237" t="inlineStr">
        <is>
          <t>R / shooting_time</t>
        </is>
      </c>
      <c r="E22" s="238" t="inlineStr">
        <is>
          <t>9 467 ₽</t>
        </is>
      </c>
    </row>
    <row r="23" ht="42" customHeight="1">
      <c r="B23" s="149" t="inlineStr">
        <is>
          <t>Фактическая стоимость часа</t>
        </is>
      </c>
      <c r="C23" s="152" t="inlineStr">
        <is>
          <t>Сколько вы реально зарабатываете за час ЛЮБОЙ работы — с камерой или за компьютером.</t>
        </is>
      </c>
      <c r="D23" s="237" t="inlineStr">
        <is>
          <t>target_income / (net_time + idle_time)</t>
        </is>
      </c>
      <c r="E23" s="238" t="inlineStr">
        <is>
          <t>747 ₽</t>
        </is>
      </c>
    </row>
    <row r="24" ht="30" customHeight="1">
      <c r="B24" s="241" t="inlineStr">
        <is>
          <t>Разница в 12,7 раза возникает по двум причинам сразу: оплачивается только 13% рабочего времени (229 часов съёмки из 1 752), и ещё 40% выручки уходит на расходы и налоги.</t>
        </is>
      </c>
    </row>
  </sheetData>
  <mergeCells count="3">
    <mergeCell ref="A2:E2"/>
    <mergeCell ref="A1:E1"/>
    <mergeCell ref="B24:E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34" customWidth="1" min="4" max="4"/>
    <col width="15" customWidth="1" min="5" max="5"/>
  </cols>
  <sheetData>
    <row r="1">
      <c r="A1" s="144" t="inlineStr">
        <is>
          <t>09f · ГРУППЫ ЗАТРАТ — основа для всех диаграмм</t>
        </is>
      </c>
    </row>
    <row r="2">
      <c r="A2" s="145" t="inlineStr">
        <is>
          <t>Единая группировка. Все графики отчёта строятся на этих группах. Добавляете новый расход — определяете, в какую группу он идёт.</t>
        </is>
      </c>
    </row>
    <row r="4">
      <c r="A4" s="146" t="inlineStr">
        <is>
          <t>ВРЕМЯ · 6 групп</t>
        </is>
      </c>
      <c r="B4" s="147" t="n"/>
      <c r="C4" s="147" t="n"/>
      <c r="D4" s="147" t="n"/>
      <c r="E4" s="147" t="n"/>
    </row>
    <row r="5">
      <c r="A5" s="145" t="inlineStr">
        <is>
          <t>Всего 1 752 ч/год = 40 ч/нед. Проверка: сумма групп = норма рабочей недели</t>
        </is>
      </c>
    </row>
    <row r="6">
      <c r="A6" s="232" t="inlineStr">
        <is>
          <t>№</t>
        </is>
      </c>
      <c r="B6" s="232" t="inlineStr">
        <is>
          <t>Группа</t>
        </is>
      </c>
      <c r="C6" s="232" t="inlineStr">
        <is>
          <t>Что входит</t>
        </is>
      </c>
      <c r="D6" s="232" t="inlineStr">
        <is>
          <t>Параметры (ID)</t>
        </is>
      </c>
      <c r="E6" s="232" t="inlineStr">
        <is>
          <t>Значение</t>
        </is>
      </c>
    </row>
    <row r="7" ht="32" customHeight="1">
      <c r="A7" s="233" t="inlineStr">
        <is>
          <t>1</t>
        </is>
      </c>
      <c r="B7" s="149" t="inlineStr">
        <is>
          <t>Съёмка на площадке</t>
        </is>
      </c>
      <c r="C7" s="233" t="inlineStr">
        <is>
          <t>Часы с камерой. ЕДИНСТВЕННОЕ, что оплачивает клиент</t>
        </is>
      </c>
      <c r="D7" s="151" t="inlineStr">
        <is>
          <t>shooting_time</t>
        </is>
      </c>
      <c r="E7" s="233" t="inlineStr">
        <is>
          <t>228,6 ч/год · 5,2 ч/нед</t>
        </is>
      </c>
    </row>
    <row r="8" ht="32" customHeight="1">
      <c r="A8" s="233" t="inlineStr">
        <is>
          <t>2</t>
        </is>
      </c>
      <c r="B8" s="149" t="inlineStr">
        <is>
          <t>Обработка материала</t>
        </is>
      </c>
      <c r="C8" s="233" t="inlineStr">
        <is>
          <t>Отбор, кадрирование, цвет, ретушь, экспорт, заливка в облако, правки</t>
        </is>
      </c>
      <c r="D8" s="151" t="inlineStr">
        <is>
          <t>post_time</t>
        </is>
      </c>
      <c r="E8" s="233" t="inlineStr">
        <is>
          <t>685,9 ч/год · 15,7 ч/нед</t>
        </is>
      </c>
    </row>
    <row r="9" ht="32" customHeight="1">
      <c r="A9" s="233" t="inlineStr">
        <is>
          <t>3</t>
        </is>
      </c>
      <c r="B9" s="149" t="inlineStr">
        <is>
          <t>Продвижение и поиск заказов</t>
        </is>
      </c>
      <c r="C9" s="233" t="inlineStr">
        <is>
          <t>Контент, рилсы, тексты, реклама, директ, портфолио, отзывы</t>
        </is>
      </c>
      <c r="D9" s="151" t="inlineStr">
        <is>
          <t>promo_time</t>
        </is>
      </c>
      <c r="E9" s="233" t="inlineStr">
        <is>
          <t>438 ч/год · 10,0 ч/нед</t>
        </is>
      </c>
    </row>
    <row r="10" ht="32" customHeight="1">
      <c r="A10" s="233" t="inlineStr">
        <is>
          <t>4</t>
        </is>
      </c>
      <c r="B10" s="149" t="inlineStr">
        <is>
          <t>Работа с клиентом</t>
        </is>
      </c>
      <c r="C10" s="233" t="inlineStr">
        <is>
          <t>Переписка, согласование даты и референсов, договор, предоплата</t>
        </is>
      </c>
      <c r="D10" s="151" t="inlineStr">
        <is>
          <t>client_total</t>
        </is>
      </c>
      <c r="E10" s="233" t="inlineStr">
        <is>
          <t>114,3 ч/год · 2,6 ч/нед</t>
        </is>
      </c>
    </row>
    <row r="11" ht="32" customHeight="1">
      <c r="A11" s="233" t="inlineStr">
        <is>
          <t>5</t>
        </is>
      </c>
      <c r="B11" s="149" t="inlineStr">
        <is>
          <t>Учёт и отчётность</t>
        </is>
      </c>
      <c r="C11" s="233" t="inlineStr">
        <is>
          <t>Чеки, декларации, взносы по срокам, книга учёта</t>
        </is>
      </c>
      <c r="D11" s="151" t="inlineStr">
        <is>
          <t>accounting_time</t>
        </is>
      </c>
      <c r="E11" s="233" t="inlineStr">
        <is>
          <t>12 ч/год · 0,3 ч/нед</t>
        </is>
      </c>
    </row>
    <row r="12" ht="32" customHeight="1">
      <c r="A12" s="233" t="inlineStr">
        <is>
          <t>6</t>
        </is>
      </c>
      <c r="B12" s="149" t="inlineStr">
        <is>
          <t>Рабочие паузы и форс-мажоры</t>
        </is>
      </c>
      <c r="C12" s="233" t="inlineStr">
        <is>
          <t>Подготовка места, зарядка техники, разминка, переносы, отмены</t>
        </is>
      </c>
      <c r="D12" s="151" t="inlineStr">
        <is>
          <t>idle_time + fm_time</t>
        </is>
      </c>
      <c r="E12" s="233" t="inlineStr">
        <is>
          <t>273,2 ч/год · 6,2 ч/нед</t>
        </is>
      </c>
    </row>
    <row r="14">
      <c r="A14" s="146" t="inlineStr">
        <is>
          <t>ДЕНЬГИ · 8 групп</t>
        </is>
      </c>
      <c r="B14" s="147" t="n"/>
      <c r="C14" s="147" t="n"/>
      <c r="D14" s="147" t="n"/>
      <c r="E14" s="147" t="n"/>
    </row>
    <row r="15">
      <c r="A15" s="145" t="inlineStr">
        <is>
          <t>Всего 856 500 ₽/год = 71 375 ₽/мес. Проверка: сумма групп = строка «Всего расходов» в шапке</t>
        </is>
      </c>
    </row>
    <row r="16">
      <c r="A16" s="232" t="inlineStr">
        <is>
          <t>№</t>
        </is>
      </c>
      <c r="B16" s="232" t="inlineStr">
        <is>
          <t>Группа</t>
        </is>
      </c>
      <c r="C16" s="232" t="inlineStr">
        <is>
          <t>Что входит</t>
        </is>
      </c>
      <c r="D16" s="232" t="inlineStr">
        <is>
          <t>Параметры (ID)</t>
        </is>
      </c>
      <c r="E16" s="232" t="inlineStr">
        <is>
          <t>Значение</t>
        </is>
      </c>
    </row>
    <row r="17" ht="32" customHeight="1">
      <c r="A17" s="233" t="inlineStr">
        <is>
          <t>1</t>
        </is>
      </c>
      <c r="B17" s="149" t="inlineStr">
        <is>
          <t>Съёмочная техника</t>
        </is>
      </c>
      <c r="C17" s="233" t="inlineStr">
        <is>
          <t>Камера, оптика, свет, синхронизаторы, карты, сумки, аккумуляторы</t>
        </is>
      </c>
      <c r="D17" s="151" t="inlineStr">
        <is>
          <t>dep_shoot (Form001)</t>
        </is>
      </c>
      <c r="E17" s="233" t="inlineStr">
        <is>
          <t>137 893 ₽/год · 11 491 ₽/мес</t>
        </is>
      </c>
    </row>
    <row r="18" ht="32" customHeight="1">
      <c r="A18" s="233" t="inlineStr">
        <is>
          <t>2</t>
        </is>
      </c>
      <c r="B18" s="149" t="inlineStr">
        <is>
          <t>Компьютер и рабочее место</t>
        </is>
      </c>
      <c r="C18" s="233" t="inlineStr">
        <is>
          <t>Системный блок, монитор, периферия, мебель, ремонт</t>
        </is>
      </c>
      <c r="D18" s="151" t="inlineStr">
        <is>
          <t>dep_office + dep_workspace</t>
        </is>
      </c>
      <c r="E18" s="233" t="inlineStr">
        <is>
          <t>75 019 ₽/год · 6 252 ₽/мес</t>
        </is>
      </c>
    </row>
    <row r="19" ht="32" customHeight="1">
      <c r="A19" s="233" t="inlineStr">
        <is>
          <t>3</t>
        </is>
      </c>
      <c r="B19" s="149" t="inlineStr">
        <is>
          <t>Программное обеспечение</t>
        </is>
      </c>
      <c r="C19" s="233" t="inlineStr">
        <is>
          <t>Плагины разово (Form004) плюс подписки помесячно (Form003)</t>
        </is>
      </c>
      <c r="D19" s="151" t="inlineStr">
        <is>
          <t>dep_software + var_software</t>
        </is>
      </c>
      <c r="E19" s="233" t="inlineStr">
        <is>
          <t>45 100 ₽/год · 3 758 ₽/мес</t>
        </is>
      </c>
    </row>
    <row r="20" ht="32" customHeight="1">
      <c r="A20" s="233" t="inlineStr">
        <is>
          <t>4</t>
        </is>
      </c>
      <c r="B20" s="149" t="inlineStr">
        <is>
          <t>Обучение и сайт</t>
        </is>
      </c>
      <c r="C20" s="233" t="inlineStr">
        <is>
          <t>Курсы и сайт, разложенные по сроку амортизации</t>
        </is>
      </c>
      <c r="D20" s="151" t="inlineStr">
        <is>
          <t>dep_education + dep_website</t>
        </is>
      </c>
      <c r="E20" s="233" t="inlineStr">
        <is>
          <t>83 714 ₽/год · 6 976 ₽/мес</t>
        </is>
      </c>
    </row>
    <row r="21" ht="32" customHeight="1">
      <c r="A21" s="233" t="inlineStr">
        <is>
          <t>5</t>
        </is>
      </c>
      <c r="B21" s="149" t="inlineStr">
        <is>
          <t>Реклама и продвижение</t>
        </is>
      </c>
      <c r="C21" s="233" t="inlineStr">
        <is>
          <t>Директ, таргет, размещения у блогеров, домен и хостинг</t>
        </is>
      </c>
      <c r="D21" s="151" t="inlineStr">
        <is>
          <t>var_ads (Form010)</t>
        </is>
      </c>
      <c r="E21" s="233" t="inlineStr">
        <is>
          <t>295 000 ₽/год · 24 583 ₽/мес</t>
        </is>
      </c>
    </row>
    <row r="22" ht="32" customHeight="1">
      <c r="A22" s="233" t="inlineStr">
        <is>
          <t>6</t>
        </is>
      </c>
      <c r="B22" s="149" t="inlineStr">
        <is>
          <t>Аренда и связь</t>
        </is>
      </c>
      <c r="C22" s="233" t="inlineStr">
        <is>
          <t>Помещение или доля квартиры, коммунальные, РКО, СМС</t>
        </is>
      </c>
      <c r="D22" s="151" t="inlineStr">
        <is>
          <t>var_workspace + var_bank</t>
        </is>
      </c>
      <c r="E22" s="233" t="inlineStr">
        <is>
          <t>29 300 ₽/год · 2 442 ₽/мес</t>
        </is>
      </c>
    </row>
    <row r="23" ht="32" customHeight="1">
      <c r="A23" s="233" t="inlineStr">
        <is>
          <t>7</t>
        </is>
      </c>
      <c r="B23" s="149" t="inlineStr">
        <is>
          <t>Налоги и взносы</t>
        </is>
      </c>
      <c r="C23" s="233" t="inlineStr">
        <is>
          <t>По выбранному режиму, вместе со страховыми взносами ИП</t>
        </is>
      </c>
      <c r="D23" s="151" t="inlineStr">
        <is>
          <t>taxAll (05_Расчёт)</t>
        </is>
      </c>
      <c r="E23" s="233" t="inlineStr">
        <is>
          <t>129 869 ₽/год · 10 822 ₽/мес</t>
        </is>
      </c>
    </row>
    <row r="24" ht="32" customHeight="1">
      <c r="A24" s="233" t="inlineStr">
        <is>
          <t>8</t>
        </is>
      </c>
      <c r="B24" s="149" t="inlineStr">
        <is>
          <t>Банковский эквайринг</t>
        </is>
      </c>
      <c r="C24" s="233" t="inlineStr">
        <is>
          <t>Комиссия 2,8% с каждого поступления</t>
        </is>
      </c>
      <c r="D24" s="151" t="inlineStr">
        <is>
          <t>acquiring</t>
        </is>
      </c>
      <c r="E24" s="233" t="inlineStr">
        <is>
          <t>60 606 ₽/год · 5 050 ₽/мес</t>
        </is>
      </c>
    </row>
    <row r="26">
      <c r="A26" s="154" t="inlineStr">
        <is>
          <t>ПРАВИЛА</t>
        </is>
      </c>
    </row>
    <row r="27">
      <c r="A27" s="242" t="inlineStr">
        <is>
          <t>• Новый расход — сначала определяем группу, потом добавляем в 03_Каталоги с нужным кодом формы.</t>
        </is>
      </c>
    </row>
    <row r="28">
      <c r="A28" s="242" t="inlineStr">
        <is>
          <t>• Группы не пересекаются: каждый рубль и каждый час попадает ровно в одну.</t>
        </is>
      </c>
    </row>
    <row r="29">
      <c r="A29" s="242" t="inlineStr">
        <is>
          <t>• Диаграммы блока 01 и блока 05 строятся на этих же группах — при изменении списка правим и там.</t>
        </is>
      </c>
    </row>
    <row r="30">
      <c r="A30" s="242" t="inlineStr">
        <is>
          <t>• Строки с нулевым значением в отчёте скрываются автоматически.</t>
        </is>
      </c>
    </row>
  </sheetData>
  <mergeCells count="7">
    <mergeCell ref="A30:E30"/>
    <mergeCell ref="A29:E29"/>
    <mergeCell ref="A2:E2"/>
    <mergeCell ref="A15:E15"/>
    <mergeCell ref="A28:E28"/>
    <mergeCell ref="A5:E5"/>
    <mergeCell ref="A27:E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4"/>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26" customWidth="1" min="3" max="3"/>
    <col width="24" customWidth="1" min="4" max="4"/>
    <col width="30" customWidth="1" min="5" max="5"/>
  </cols>
  <sheetData>
    <row r="1">
      <c r="A1" s="1" t="inlineStr">
        <is>
          <t>09g · СОКРАЩЕНИЯ — единый стандарт для книги, calc.html и report.html</t>
        </is>
      </c>
    </row>
    <row r="2">
      <c r="A2" s="250" t="inlineStr">
        <is>
          <t>Правило: составные единицы пишем через слэш, без пробелов вокруг. Между числом и единицей — неразрывный пробел. Знак ₽ после числа.</t>
        </is>
      </c>
    </row>
    <row r="4">
      <c r="A4" s="256" t="inlineStr">
        <is>
          <t>ЕДИНИЦЫ ИЗМЕРЕНИЯ</t>
        </is>
      </c>
    </row>
    <row r="5">
      <c r="A5" s="257" t="inlineStr">
        <is>
          <t>Смысл</t>
        </is>
      </c>
      <c r="B5" s="257" t="inlineStr">
        <is>
          <t>ПИШЕМ ТАК</t>
        </is>
      </c>
      <c r="C5" s="257" t="inlineStr">
        <is>
          <t>НЕ пишем</t>
        </is>
      </c>
      <c r="D5" s="257" t="inlineStr">
        <is>
          <t>Пример</t>
        </is>
      </c>
      <c r="E5" s="257" t="inlineStr">
        <is>
          <t>Где применяется</t>
        </is>
      </c>
    </row>
    <row r="6">
      <c r="A6" s="229" t="inlineStr">
        <is>
          <t>Деньги за час</t>
        </is>
      </c>
      <c r="B6" s="258" t="inlineStr">
        <is>
          <t>₽/ч</t>
        </is>
      </c>
      <c r="C6" s="259" t="inlineStr">
        <is>
          <t>₽ в час · ₽/час · руб/ч</t>
        </is>
      </c>
      <c r="D6" s="229" t="inlineStr">
        <is>
          <t>747 ₽/ч</t>
        </is>
      </c>
      <c r="E6" s="260" t="inlineStr">
        <is>
          <t>ставка, легенда, итог</t>
        </is>
      </c>
    </row>
    <row r="7">
      <c r="A7" s="229" t="inlineStr">
        <is>
          <t>Деньги в месяц</t>
        </is>
      </c>
      <c r="B7" s="258" t="inlineStr">
        <is>
          <t>₽/мес</t>
        </is>
      </c>
      <c r="C7" s="259" t="inlineStr">
        <is>
          <t>₽ в месяц · ₽ в мес</t>
        </is>
      </c>
      <c r="D7" s="229" t="inlineStr">
        <is>
          <t>71 375 ₽/мес</t>
        </is>
      </c>
      <c r="E7" s="260" t="inlineStr">
        <is>
          <t>расходы, формы</t>
        </is>
      </c>
    </row>
    <row r="8">
      <c r="A8" s="229" t="inlineStr">
        <is>
          <t>Деньги в год</t>
        </is>
      </c>
      <c r="B8" s="258" t="inlineStr">
        <is>
          <t>₽/год</t>
        </is>
      </c>
      <c r="C8" s="259" t="inlineStr">
        <is>
          <t>₽ в год</t>
        </is>
      </c>
      <c r="D8" s="229" t="inlineStr">
        <is>
          <t>856 500 ₽/год</t>
        </is>
      </c>
      <c r="E8" s="260" t="inlineStr">
        <is>
          <t>расходы, группы затрат</t>
        </is>
      </c>
    </row>
    <row r="9">
      <c r="A9" s="229" t="inlineStr">
        <is>
          <t>Деньги за проект</t>
        </is>
      </c>
      <c r="B9" s="258" t="inlineStr">
        <is>
          <t>₽/проект</t>
        </is>
      </c>
      <c r="C9" s="259" t="inlineStr">
        <is>
          <t>₽ за проект</t>
        </is>
      </c>
      <c r="D9" s="229" t="inlineStr">
        <is>
          <t>18 934 ₽/проект</t>
        </is>
      </c>
      <c r="E9" s="260" t="inlineStr">
        <is>
          <t>сценарии</t>
        </is>
      </c>
    </row>
    <row r="10">
      <c r="A10" s="229" t="inlineStr">
        <is>
          <t>Часы в год</t>
        </is>
      </c>
      <c r="B10" s="258" t="inlineStr">
        <is>
          <t>ч/год</t>
        </is>
      </c>
      <c r="C10" s="259" t="inlineStr">
        <is>
          <t>часов в год · ч в год</t>
        </is>
      </c>
      <c r="D10" s="229" t="inlineStr">
        <is>
          <t>228,6 ч/год</t>
        </is>
      </c>
      <c r="E10" s="260" t="inlineStr">
        <is>
          <t>легенда, время</t>
        </is>
      </c>
    </row>
    <row r="11">
      <c r="A11" s="229" t="inlineStr">
        <is>
          <t>Часы в неделю</t>
        </is>
      </c>
      <c r="B11" s="258" t="inlineStr">
        <is>
          <t>ч/нед</t>
        </is>
      </c>
      <c r="C11" s="259" t="inlineStr">
        <is>
          <t>часов в неделю</t>
        </is>
      </c>
      <c r="D11" s="229" t="inlineStr">
        <is>
          <t>5,2 ч/нед</t>
        </is>
      </c>
      <c r="E11" s="260" t="inlineStr">
        <is>
          <t>неделя, группы</t>
        </is>
      </c>
    </row>
    <row r="12">
      <c r="A12" s="229" t="inlineStr">
        <is>
          <t>Часы в день</t>
        </is>
      </c>
      <c r="B12" s="258" t="inlineStr">
        <is>
          <t>ч/день</t>
        </is>
      </c>
      <c r="C12" s="259" t="inlineStr">
        <is>
          <t>часов в день</t>
        </is>
      </c>
      <c r="D12" s="229" t="inlineStr">
        <is>
          <t>8 ч/день</t>
        </is>
      </c>
      <c r="E12" s="260" t="inlineStr">
        <is>
          <t>условия труда</t>
        </is>
      </c>
    </row>
    <row r="13">
      <c r="A13" s="229" t="inlineStr">
        <is>
          <t>Часы (просто)</t>
        </is>
      </c>
      <c r="B13" s="258" t="inlineStr">
        <is>
          <t>ч</t>
        </is>
      </c>
      <c r="C13" s="259" t="inlineStr">
        <is>
          <t>часа · часов</t>
        </is>
      </c>
      <c r="D13" s="229" t="inlineStr">
        <is>
          <t>7,7 ч</t>
        </is>
      </c>
      <c r="E13" s="260" t="inlineStr">
        <is>
          <t>итог под кольцом</t>
        </is>
      </c>
    </row>
    <row r="14">
      <c r="A14" s="229" t="inlineStr">
        <is>
          <t>Дни в году</t>
        </is>
      </c>
      <c r="B14" s="258" t="inlineStr">
        <is>
          <t>дн/год</t>
        </is>
      </c>
      <c r="C14" s="259" t="inlineStr">
        <is>
          <t>дней в году</t>
        </is>
      </c>
      <c r="D14" s="229" t="inlineStr">
        <is>
          <t>219 дн/год</t>
        </is>
      </c>
      <c r="E14" s="260" t="inlineStr">
        <is>
          <t>условия труда</t>
        </is>
      </c>
    </row>
    <row r="15">
      <c r="A15" s="229" t="inlineStr">
        <is>
          <t>Проценты</t>
        </is>
      </c>
      <c r="B15" s="258" t="inlineStr">
        <is>
          <t>%</t>
        </is>
      </c>
      <c r="C15" s="259" t="inlineStr">
        <is>
          <t>процентов</t>
        </is>
      </c>
      <c r="D15" s="229" t="inlineStr">
        <is>
          <t>2,8 %</t>
        </is>
      </c>
      <c r="E15" s="260" t="inlineStr">
        <is>
          <t>налоги, эквайринг</t>
        </is>
      </c>
    </row>
    <row r="16">
      <c r="A16" s="229" t="inlineStr">
        <is>
          <t>Штуки</t>
        </is>
      </c>
      <c r="B16" s="258" t="inlineStr">
        <is>
          <t>шт</t>
        </is>
      </c>
      <c r="C16" s="259" t="inlineStr">
        <is>
          <t>штук</t>
        </is>
      </c>
      <c r="D16" s="229" t="inlineStr">
        <is>
          <t>80 шт</t>
        </is>
      </c>
      <c r="E16" s="260" t="inlineStr">
        <is>
          <t>кадры</t>
        </is>
      </c>
    </row>
    <row r="18">
      <c r="A18" s="256" t="inlineStr">
        <is>
          <t>ЧИСЛА И ЗНАКИ</t>
        </is>
      </c>
    </row>
    <row r="19">
      <c r="A19" s="257" t="inlineStr">
        <is>
          <t>Что</t>
        </is>
      </c>
      <c r="B19" s="257" t="inlineStr">
        <is>
          <t>ПИШЕМ ТАК</t>
        </is>
      </c>
      <c r="C19" s="257" t="inlineStr">
        <is>
          <t>НЕ пишем</t>
        </is>
      </c>
      <c r="D19" s="257" t="inlineStr">
        <is>
          <t>Пример</t>
        </is>
      </c>
      <c r="E19" s="257" t="inlineStr">
        <is>
          <t>Примечание</t>
        </is>
      </c>
    </row>
    <row r="20">
      <c r="A20" s="229" t="inlineStr">
        <is>
          <t>Разряды</t>
        </is>
      </c>
      <c r="B20" s="258" t="inlineStr">
        <is>
          <t>пробел</t>
        </is>
      </c>
      <c r="C20" s="259" t="inlineStr">
        <is>
          <t>запятая · точка</t>
        </is>
      </c>
      <c r="D20" s="229" t="inlineStr">
        <is>
          <t>2 164 489</t>
        </is>
      </c>
      <c r="E20" s="260" t="inlineStr">
        <is>
          <t>неразрывный пробел</t>
        </is>
      </c>
    </row>
    <row r="21">
      <c r="A21" s="229" t="inlineStr">
        <is>
          <t>Дробная часть</t>
        </is>
      </c>
      <c r="B21" s="258" t="inlineStr">
        <is>
          <t>запятая</t>
        </is>
      </c>
      <c r="C21" s="259" t="inlineStr">
        <is>
          <t>точка</t>
        </is>
      </c>
      <c r="D21" s="229" t="inlineStr">
        <is>
          <t>7,7 · 228,6</t>
        </is>
      </c>
      <c r="E21" s="260" t="inlineStr">
        <is>
          <t>одна цифра после запятой</t>
        </is>
      </c>
    </row>
    <row r="22">
      <c r="A22" s="229" t="inlineStr">
        <is>
          <t>Рубли в тексте</t>
        </is>
      </c>
      <c r="B22" s="258" t="inlineStr">
        <is>
          <t>₽</t>
        </is>
      </c>
      <c r="C22" s="259" t="inlineStr">
        <is>
          <t>руб. · р. · rub</t>
        </is>
      </c>
      <c r="D22" s="229" t="inlineStr">
        <is>
          <t>9 467 ₽</t>
        </is>
      </c>
      <c r="E22" s="260" t="inlineStr">
        <is>
          <t>знак после числа</t>
        </is>
      </c>
    </row>
    <row r="23">
      <c r="A23" s="229" t="inlineStr">
        <is>
          <t>Тире между словами</t>
        </is>
      </c>
      <c r="B23" s="258" t="inlineStr">
        <is>
          <t>—</t>
        </is>
      </c>
      <c r="C23" s="259" t="inlineStr">
        <is>
          <t>- · –</t>
        </is>
      </c>
      <c r="D23" s="229" t="inlineStr">
        <is>
          <t>Как фотограф — съёмка</t>
        </is>
      </c>
      <c r="E23" s="260" t="inlineStr">
        <is>
          <t>длинное тире с пробелами</t>
        </is>
      </c>
    </row>
    <row r="24">
      <c r="A24" s="229" t="inlineStr">
        <is>
          <t>Диапазон</t>
        </is>
      </c>
      <c r="B24" s="258" t="inlineStr">
        <is>
          <t>–</t>
        </is>
      </c>
      <c r="C24" s="259" t="inlineStr">
        <is>
          <t>- · —</t>
        </is>
      </c>
      <c r="D24" s="229" t="inlineStr">
        <is>
          <t>5–7 ч</t>
        </is>
      </c>
      <c r="E24" s="260" t="inlineStr">
        <is>
          <t>короткое тире без пробелов</t>
        </is>
      </c>
    </row>
    <row r="25">
      <c r="A25" s="229" t="inlineStr">
        <is>
          <t>Округление</t>
        </is>
      </c>
      <c r="B25" s="258" t="inlineStr">
        <is>
          <t>до рубля</t>
        </is>
      </c>
      <c r="C25" s="259" t="inlineStr">
        <is>
          <t>до сотен</t>
        </is>
      </c>
      <c r="D25" s="229" t="inlineStr">
        <is>
          <t>9 467 ₽</t>
        </is>
      </c>
      <c r="E25" s="260" t="inlineStr">
        <is>
          <t>кроме крупной цифры в шапке</t>
        </is>
      </c>
    </row>
    <row r="26">
      <c r="A26" s="256" t="inlineStr">
        <is>
          <t>ПОДПИСИ МЕТРИК</t>
        </is>
      </c>
      <c r="B26" s="256" t="inlineStr"/>
      <c r="C26" s="256" t="inlineStr"/>
    </row>
    <row r="27">
      <c r="A27" s="257" t="inlineStr">
        <is>
          <t>Что</t>
        </is>
      </c>
    </row>
    <row r="28">
      <c r="A28" s="229" t="inlineStr">
        <is>
          <t>Сумма за период</t>
        </is>
      </c>
      <c r="B28" s="229" t="inlineStr">
        <is>
          <t>Налоги и взносы / год</t>
        </is>
      </c>
      <c r="C28" s="229" t="inlineStr">
        <is>
          <t>Налоги и взносы за год</t>
        </is>
      </c>
    </row>
    <row r="29">
      <c r="A29" s="229" t="inlineStr">
        <is>
          <t>Сумма в месяц</t>
        </is>
      </c>
      <c r="B29" s="229" t="inlineStr">
        <is>
          <t>Налоги и взносы / мес</t>
        </is>
      </c>
      <c r="C29" s="229" t="inlineStr">
        <is>
          <t>В месяц государству</t>
        </is>
      </c>
    </row>
    <row r="30">
      <c r="A30" s="229" t="inlineStr">
        <is>
          <t>Количество за период</t>
        </is>
      </c>
      <c r="B30" s="229" t="inlineStr">
        <is>
          <t>Проектов / год · Съёмок / мес</t>
        </is>
      </c>
      <c r="C30" s="229" t="inlineStr">
        <is>
          <t>Проектов в год · Съёмок в месяц</t>
        </is>
      </c>
    </row>
    <row r="31">
      <c r="A31" s="229" t="inlineStr">
        <is>
          <t>Выручка</t>
        </is>
      </c>
      <c r="B31" s="229" t="inlineStr">
        <is>
          <t>Расчётная выручка / год</t>
        </is>
      </c>
      <c r="C31" s="229" t="inlineStr">
        <is>
          <t>Ваша расчётная выручка</t>
        </is>
      </c>
    </row>
    <row r="32">
      <c r="A32" s="229" t="inlineStr">
        <is>
          <t>Где НЕ применяем</t>
        </is>
      </c>
      <c r="B32" s="229" t="inlineStr">
        <is>
          <t>в связном тексте: «платятся даже в месяцы без заказов»</t>
        </is>
      </c>
      <c r="C32" s="229" t="inlineStr"/>
    </row>
    <row r="34">
      <c r="A34" s="250" t="inlineStr">
        <is>
          <t>Правило одно на все три файла. Появилась новая единица — сначала строка здесь, потом в вёрстку.</t>
        </is>
      </c>
    </row>
  </sheetData>
  <mergeCells count="5">
    <mergeCell ref="A4:E4"/>
    <mergeCell ref="A2:E2"/>
    <mergeCell ref="A1:E1"/>
    <mergeCell ref="A18:E18"/>
    <mergeCell ref="A27:E2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495"/>
  <sheetViews>
    <sheetView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2" customWidth="1" min="4" max="4"/>
    <col width="40" customWidth="1" min="5" max="5"/>
  </cols>
  <sheetData>
    <row r="1">
      <c r="A1" s="1" t="inlineStr">
        <is>
          <t>09h · ПОВТОРЯЮЩИЕСЯ ЭЛЕМЕНТЫ — единый стиль для всех документов</t>
        </is>
      </c>
    </row>
    <row r="2">
      <c r="A2" s="250" t="inlineStr">
        <is>
          <t>Одна сущность — один класс. Появился похожий элемент — сначала строка здесь, потом вёрстка. Свои hex запрещены, только токены палитры 09c.</t>
        </is>
      </c>
    </row>
    <row r="4">
      <c r="A4" s="256" t="inlineStr">
        <is>
          <t>ЗНАЧОК В КРУЖКЕ — общая геометрия</t>
        </is>
      </c>
    </row>
    <row r="5">
      <c r="A5" s="257" t="inlineStr">
        <is>
          <t>Параметр</t>
        </is>
      </c>
      <c r="B5" s="257" t="inlineStr">
        <is>
          <t>Значение</t>
        </is>
      </c>
      <c r="C5" s="257" t="inlineStr">
        <is>
          <t>Примечание</t>
        </is>
      </c>
    </row>
    <row r="6">
      <c r="A6" s="229" t="inlineStr">
        <is>
          <t>диаметр</t>
        </is>
      </c>
      <c r="B6" s="258" t="inlineStr">
        <is>
          <t>18 px</t>
        </is>
      </c>
      <c r="C6" s="260" t="inlineStr">
        <is>
          <t>одинаков во всех документах</t>
        </is>
      </c>
    </row>
    <row r="7">
      <c r="A7" s="229" t="inlineStr">
        <is>
          <t>скругление</t>
        </is>
      </c>
      <c r="B7" s="258" t="inlineStr">
        <is>
          <t>50%</t>
        </is>
      </c>
      <c r="C7" s="260" t="inlineStr">
        <is>
          <t>идеальный круг</t>
        </is>
      </c>
    </row>
    <row r="8">
      <c r="A8" s="229" t="inlineStr">
        <is>
          <t>размер знака</t>
        </is>
      </c>
      <c r="B8" s="258" t="inlineStr">
        <is>
          <t>11 px</t>
        </is>
      </c>
      <c r="C8" s="260" t="inlineStr">
        <is>
          <t>font-weight 700</t>
        </is>
      </c>
    </row>
    <row r="9">
      <c r="A9" s="229" t="inlineStr">
        <is>
          <t>выравнивание</t>
        </is>
      </c>
      <c r="B9" s="258" t="inlineStr">
        <is>
          <t>flex, по центру</t>
        </is>
      </c>
      <c r="C9" s="260" t="inlineStr">
        <is>
          <t>align-items и justify-content center</t>
        </is>
      </c>
    </row>
    <row r="10">
      <c r="A10" s="229" t="inlineStr">
        <is>
          <t>отступ до текста</t>
        </is>
      </c>
      <c r="B10" s="258" t="inlineStr">
        <is>
          <t>10 px</t>
        </is>
      </c>
      <c r="C10" s="260" t="inlineStr">
        <is>
          <t>padding-left у блока текста</t>
        </is>
      </c>
    </row>
    <row r="11">
      <c r="A11" s="229" t="inlineStr">
        <is>
          <t>положение</t>
        </is>
      </c>
      <c r="B11" s="258" t="inlineStr">
        <is>
          <t>absolute, left 0</t>
        </is>
      </c>
      <c r="C11" s="260" t="inlineStr">
        <is>
          <t>верх выровнен по первой строке</t>
        </is>
      </c>
    </row>
    <row r="13">
      <c r="A13" s="256" t="inlineStr">
        <is>
          <t>ВИДЫ ЗНАЧКА</t>
        </is>
      </c>
    </row>
    <row r="14">
      <c r="A14" s="257" t="inlineStr">
        <is>
          <t>Класс</t>
        </is>
      </c>
      <c r="B14" s="257" t="inlineStr">
        <is>
          <t>Знак</t>
        </is>
      </c>
      <c r="C14" s="257" t="inlineStr">
        <is>
          <t>Кружок</t>
        </is>
      </c>
      <c r="D14" s="257" t="inlineStr">
        <is>
          <t>Знак — цвет</t>
        </is>
      </c>
      <c r="E14" s="257" t="inlineStr">
        <is>
          <t>Когда применяем</t>
        </is>
      </c>
    </row>
    <row r="15">
      <c r="A15" s="258" t="inlineStr">
        <is>
          <t>.ic.warn</t>
        </is>
      </c>
      <c r="B15" s="271" t="inlineStr">
        <is>
          <t>!</t>
        </is>
      </c>
      <c r="C15" s="272" t="inlineStr">
        <is>
          <t>--c-a-400</t>
        </is>
      </c>
      <c r="D15" s="272" t="inlineStr">
        <is>
          <t>--c-white</t>
        </is>
      </c>
      <c r="E15" s="229" t="inlineStr">
        <is>
          <t>предупреждение: что будет, если не сделать</t>
        </is>
      </c>
    </row>
    <row r="16">
      <c r="A16" s="258" t="inlineStr">
        <is>
          <t>.ic.info</t>
        </is>
      </c>
      <c r="B16" s="271" t="inlineStr">
        <is>
          <t>i</t>
        </is>
      </c>
      <c r="C16" s="272" t="inlineStr">
        <is>
          <t>--c-b-400</t>
        </is>
      </c>
      <c r="D16" s="272" t="inlineStr">
        <is>
          <t>--c-white</t>
        </is>
      </c>
      <c r="E16" s="229" t="inlineStr">
        <is>
          <t>важное пояснение, без тревоги</t>
        </is>
      </c>
    </row>
    <row r="17">
      <c r="A17" s="258" t="inlineStr">
        <is>
          <t>.ic.ok</t>
        </is>
      </c>
      <c r="B17" s="271" t="inlineStr">
        <is>
          <t>✓</t>
        </is>
      </c>
      <c r="C17" s="272" t="inlineStr">
        <is>
          <t>--c-g-500</t>
        </is>
      </c>
      <c r="D17" s="272" t="inlineStr">
        <is>
          <t>--c-white</t>
        </is>
      </c>
      <c r="E17" s="229" t="inlineStr">
        <is>
          <t>подтверждение, лучший вариант</t>
        </is>
      </c>
    </row>
    <row r="18">
      <c r="A18" s="258" t="inlineStr">
        <is>
          <t>.ic.tip</t>
        </is>
      </c>
      <c r="B18" s="271" t="inlineStr">
        <is>
          <t>?</t>
        </is>
      </c>
      <c r="C18" s="272" t="inlineStr">
        <is>
          <t>--c-ln</t>
        </is>
      </c>
      <c r="D18" s="272" t="inlineStr">
        <is>
          <t>--c-gr</t>
        </is>
      </c>
      <c r="E18" s="229" t="inlineStr">
        <is>
          <t>подсказка при наведении, у поля ввода</t>
        </is>
      </c>
    </row>
    <row r="20">
      <c r="A20" s="256" t="inlineStr">
        <is>
          <t>БЛОКИ-ПРИМЕЧАНИЯ</t>
        </is>
      </c>
    </row>
    <row r="21">
      <c r="A21" s="257" t="inlineStr">
        <is>
          <t>Класс</t>
        </is>
      </c>
      <c r="B21" s="257" t="inlineStr">
        <is>
          <t>Размер</t>
        </is>
      </c>
      <c r="C21" s="257" t="inlineStr">
        <is>
          <t>Цвет текста</t>
        </is>
      </c>
      <c r="D21" s="257" t="inlineStr">
        <is>
          <t>Фон и рамка</t>
        </is>
      </c>
      <c r="E21" s="257" t="inlineStr">
        <is>
          <t>Когда применяем</t>
        </is>
      </c>
    </row>
    <row r="22">
      <c r="A22" s="258" t="inlineStr">
        <is>
          <t>.note</t>
        </is>
      </c>
      <c r="B22" s="267" t="inlineStr">
        <is>
          <t>13 px</t>
        </is>
      </c>
      <c r="C22" s="272" t="inlineStr">
        <is>
          <t>--c-gr</t>
        </is>
      </c>
      <c r="D22" s="272" t="inlineStr">
        <is>
          <t>нет</t>
        </is>
      </c>
      <c r="E22" s="229" t="inlineStr">
        <is>
          <t>нейтральное пояснение под блоком</t>
        </is>
      </c>
    </row>
    <row r="23">
      <c r="A23" s="258" t="inlineStr">
        <is>
          <t>.note.sm</t>
        </is>
      </c>
      <c r="B23" s="267" t="inlineStr">
        <is>
          <t>12 px</t>
        </is>
      </c>
      <c r="C23" s="272" t="inlineStr">
        <is>
          <t>--c-gr2</t>
        </is>
      </c>
      <c r="D23" s="272" t="inlineStr">
        <is>
          <t>нет</t>
        </is>
      </c>
      <c r="E23" s="229" t="inlineStr">
        <is>
          <t>мелкая сноска под строкой</t>
        </is>
      </c>
    </row>
    <row r="24">
      <c r="A24" s="258" t="inlineStr">
        <is>
          <t>.note.warn</t>
        </is>
      </c>
      <c r="B24" s="267" t="inlineStr">
        <is>
          <t>13 px</t>
        </is>
      </c>
      <c r="C24" s="272" t="inlineStr">
        <is>
          <t>--c-a-800</t>
        </is>
      </c>
      <c r="D24" s="272" t="inlineStr">
        <is>
          <t>фон --c-a-50, рамка 1px dashed --c-a-300</t>
        </is>
      </c>
      <c r="E24" s="229" t="inlineStr">
        <is>
          <t>предупреждение о последствиях</t>
        </is>
      </c>
    </row>
    <row r="25">
      <c r="A25" s="258" t="inlineStr">
        <is>
          <t>.note.info</t>
        </is>
      </c>
      <c r="B25" s="267" t="inlineStr">
        <is>
          <t>13 px</t>
        </is>
      </c>
      <c r="C25" s="272" t="inlineStr">
        <is>
          <t>--c-b-800</t>
        </is>
      </c>
      <c r="D25" s="272" t="inlineStr">
        <is>
          <t>фон --c-b-50, рамка 1px solid --c-b-200</t>
        </is>
      </c>
      <c r="E25" s="229" t="inlineStr">
        <is>
          <t>важное пояснение</t>
        </is>
      </c>
    </row>
    <row r="26">
      <c r="A26" s="258" t="inlineStr">
        <is>
          <t>.note.ok</t>
        </is>
      </c>
      <c r="B26" s="267" t="inlineStr">
        <is>
          <t>13 px</t>
        </is>
      </c>
      <c r="C26" s="272" t="inlineStr">
        <is>
          <t>--c-g-800</t>
        </is>
      </c>
      <c r="D26" s="272" t="inlineStr">
        <is>
          <t>фон --c-g-50, рамка 1px solid --c-g-200</t>
        </is>
      </c>
      <c r="E26" s="229" t="inlineStr">
        <is>
          <t>подтверждение, всё верно</t>
        </is>
      </c>
    </row>
    <row r="27">
      <c r="A27" s="258" t="inlineStr">
        <is>
          <t>.note.plain</t>
        </is>
      </c>
      <c r="B27" s="267" t="inlineStr">
        <is>
          <t>13 px</t>
        </is>
      </c>
      <c r="C27" s="272" t="inlineStr">
        <is>
          <t>--c-gr</t>
        </is>
      </c>
      <c r="D27" s="272" t="inlineStr">
        <is>
          <t>фон --c-surf, без рамки</t>
        </is>
      </c>
      <c r="E27" s="229" t="inlineStr">
        <is>
          <t>длинная методическая сноска</t>
        </is>
      </c>
    </row>
    <row r="29">
      <c r="A29" s="256" t="inlineStr">
        <is>
          <t>ЧТО ЗАМЕНЯЕТ — старые классы, переводим постепенно</t>
        </is>
      </c>
    </row>
    <row r="30">
      <c r="A30" s="257" t="inlineStr">
        <is>
          <t>Старый класс</t>
        </is>
      </c>
      <c r="B30" s="257" t="inlineStr">
        <is>
          <t>Было</t>
        </is>
      </c>
      <c r="C30" s="257" t="inlineStr">
        <is>
          <t>Станет</t>
        </is>
      </c>
      <c r="D30" s="257" t="inlineStr">
        <is>
          <t>Блок</t>
        </is>
      </c>
      <c r="E30" s="257" t="inlineStr">
        <is>
          <t>Статус</t>
        </is>
      </c>
    </row>
    <row r="31">
      <c r="A31" s="272" t="inlineStr">
        <is>
          <t>.lgwarn</t>
        </is>
      </c>
      <c r="B31" s="273" t="inlineStr">
        <is>
          <t>13 px, кружок 14 px --c-a-400</t>
        </is>
      </c>
      <c r="C31" s="258" t="inlineStr">
        <is>
          <t>.note.warn</t>
        </is>
      </c>
      <c r="D31" s="229" t="inlineStr">
        <is>
          <t>01</t>
        </is>
      </c>
      <c r="E31" s="274" t="inlineStr">
        <is>
          <t>переведён</t>
        </is>
      </c>
    </row>
    <row r="32">
      <c r="A32" s="272" t="inlineStr">
        <is>
          <t>.lognote</t>
        </is>
      </c>
      <c r="B32" s="273" t="inlineStr">
        <is>
          <t>13 px, кружок 20 px --c-a-200</t>
        </is>
      </c>
      <c r="C32" s="258" t="inlineStr">
        <is>
          <t>.note.warn</t>
        </is>
      </c>
      <c r="D32" s="229" t="inlineStr">
        <is>
          <t>09</t>
        </is>
      </c>
      <c r="E32" s="275" t="inlineStr">
        <is>
          <t>ждёт</t>
        </is>
      </c>
    </row>
    <row r="33">
      <c r="A33" s="272" t="inlineStr">
        <is>
          <t>.lgnote</t>
        </is>
      </c>
      <c r="B33" s="273" t="inlineStr">
        <is>
          <t>12,5 px --c-gr2</t>
        </is>
      </c>
      <c r="C33" s="258" t="inlineStr">
        <is>
          <t>.note</t>
        </is>
      </c>
      <c r="D33" s="229" t="inlineStr">
        <is>
          <t>01</t>
        </is>
      </c>
      <c r="E33" s="274" t="inlineStr">
        <is>
          <t>переведён</t>
        </is>
      </c>
    </row>
    <row r="34">
      <c r="A34" s="272" t="inlineStr">
        <is>
          <t>.lgsub</t>
        </is>
      </c>
      <c r="B34" s="273" t="inlineStr">
        <is>
          <t>12,5 px --c-gr2</t>
        </is>
      </c>
      <c r="C34" s="258" t="inlineStr">
        <is>
          <t>.note.sm</t>
        </is>
      </c>
      <c r="D34" s="229" t="inlineStr">
        <is>
          <t>01</t>
        </is>
      </c>
      <c r="E34" s="274" t="inlineStr">
        <is>
          <t>переведён</t>
        </is>
      </c>
    </row>
    <row r="35">
      <c r="A35" s="272" t="inlineStr">
        <is>
          <t>.recbm</t>
        </is>
      </c>
      <c r="B35" s="273" t="inlineStr">
        <is>
          <t>12,5 px --c-gr</t>
        </is>
      </c>
      <c r="C35" s="258" t="inlineStr">
        <is>
          <t>.note</t>
        </is>
      </c>
      <c r="D35" s="229" t="inlineStr">
        <is>
          <t>cardRec</t>
        </is>
      </c>
      <c r="E35" s="275" t="inlineStr">
        <is>
          <t>ждёт</t>
        </is>
      </c>
    </row>
    <row r="36">
      <c r="A36" s="272" t="inlineStr">
        <is>
          <t>.dnote2</t>
        </is>
      </c>
      <c r="B36" s="273" t="inlineStr">
        <is>
          <t>12,5 px --c-gr2</t>
        </is>
      </c>
      <c r="C36" s="258" t="inlineStr">
        <is>
          <t>.note.sm</t>
        </is>
      </c>
      <c r="D36" s="229" t="inlineStr">
        <is>
          <t>—</t>
        </is>
      </c>
      <c r="E36" s="275" t="inlineStr">
        <is>
          <t>ждёт</t>
        </is>
      </c>
    </row>
    <row r="37">
      <c r="A37" s="272" t="inlineStr">
        <is>
          <t>.dnote3</t>
        </is>
      </c>
      <c r="B37" s="273" t="inlineStr">
        <is>
          <t>13 px --c-gr, фон --c-surf</t>
        </is>
      </c>
      <c r="C37" s="258" t="inlineStr">
        <is>
          <t>.note.plain</t>
        </is>
      </c>
      <c r="D37" s="229" t="inlineStr">
        <is>
          <t>—</t>
        </is>
      </c>
      <c r="E37" s="275" t="inlineStr">
        <is>
          <t>ждёт</t>
        </is>
      </c>
    </row>
    <row r="38">
      <c r="A38" s="272" t="inlineStr">
        <is>
          <t>.wknote</t>
        </is>
      </c>
      <c r="B38" s="273" t="inlineStr">
        <is>
          <t>14,5 px --c-ink2, фон #fff</t>
        </is>
      </c>
      <c r="C38" s="258" t="inlineStr">
        <is>
          <t>рамка 1.5px, радиус --r, градиент, левое поле 65px</t>
        </is>
      </c>
      <c r="D38" s="229" t="inlineStr">
        <is>
          <t>02</t>
        </is>
      </c>
      <c r="E38" s="275"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39">
      <c r="A39" s="272" t="inlineStr">
        <is>
          <t>.tip (calc)</t>
        </is>
      </c>
      <c r="B39" s="273" t="inlineStr">
        <is>
          <t>кружок 17 px</t>
        </is>
      </c>
      <c r="C39" s="258" t="inlineStr">
        <is>
          <t>.ic.tip</t>
        </is>
      </c>
      <c r="D39" s="229" t="inlineStr">
        <is>
          <t>анкета</t>
        </is>
      </c>
      <c r="E39" s="275" t="inlineStr">
        <is>
          <t>ждёт</t>
        </is>
      </c>
    </row>
    <row r="41">
      <c r="A41" s="250" t="inlineStr">
        <is>
          <t>ПРАВИЛО ПЕРЕВОДА: старые классы не трогаем скопом. Блок переводится на новую систему тогда, когда мы этот блок и так правим. Когда все переведены — старые правила удаляются одной операцией со сверкой «пропавшие селекторы = только удаляемые».</t>
        </is>
      </c>
    </row>
    <row r="43">
      <c r="A43" s="272" t="inlineStr">
        <is>
          <t>.saletag</t>
        </is>
      </c>
      <c r="B43" s="229" t="inlineStr">
        <is>
          <t>Стикер «Скидка»</t>
        </is>
      </c>
      <c r="C43" s="229" t="inlineStr">
        <is>
          <t>абсолют, по центру над блоком</t>
        </is>
      </c>
      <c r="D43" s="229" t="inlineStr">
        <is>
          <t>--c-r-500, белый текст</t>
        </is>
      </c>
      <c r="E43" s="229" t="inlineStr">
        <is>
          <t>Блок 03. Отступ карточки сверху 48 px — втрое больше обычного. Плашка: left 50%, top −28 px, translateX(−50%), без наклона. Выходит за верхнюю границу, до предыдущего блока остаётся 20 px. Карточке нужен overflow:visible. Заголовок и описание по центру</t>
        </is>
      </c>
    </row>
    <row r="45">
      <c r="A45" s="272" t="inlineStr">
        <is>
          <t>.cn.s1/.s2/.s3</t>
        </is>
      </c>
      <c r="B45" s="229" t="inlineStr">
        <is>
          <t>Плашка со статистикой</t>
        </is>
      </c>
      <c r="C45" s="229" t="inlineStr">
        <is>
          <t>форма из .cn</t>
        </is>
      </c>
      <c r="D45" s="229" t="inlineStr">
        <is>
          <t>лайм · мандарин · малина</t>
        </is>
      </c>
      <c r="E45" s="229" t="inlineStr">
        <is>
          <t>Блок 08. Та же геометрия, что «Условия труда»: радиус --r, padding 28/26, min-height 210, круг-блик в углу. Отличаются только градиентом</t>
        </is>
      </c>
    </row>
    <row r="47">
      <c r="A47" s="256" t="inlineStr">
        <is>
          <t>ПОВЕДЕНИЕ КНОПОК — единое во всех документах</t>
        </is>
      </c>
    </row>
    <row r="48">
      <c r="A48" s="24" t="inlineStr">
        <is>
          <t>Состояние</t>
        </is>
      </c>
      <c r="B48" s="24" t="inlineStr">
        <is>
          <t>Что происходит</t>
        </is>
      </c>
      <c r="C48" s="24" t="inlineStr">
        <is>
          <t>Как задано</t>
        </is>
      </c>
      <c r="E48" s="24" t="inlineStr">
        <is>
          <t>Правило</t>
        </is>
      </c>
    </row>
    <row r="49">
      <c r="A49" s="258" t="inlineStr">
        <is>
          <t>обычное</t>
        </is>
      </c>
      <c r="B49" s="229" t="inlineStr">
        <is>
          <t>—</t>
        </is>
      </c>
      <c r="C49" s="273" t="inlineStr">
        <is>
          <t>—</t>
        </is>
      </c>
      <c r="E49" s="229" t="inlineStr">
        <is>
          <t>базовый вид кнопки</t>
        </is>
      </c>
    </row>
    <row r="50">
      <c r="A50" s="258" t="inlineStr">
        <is>
          <t>:hover</t>
        </is>
      </c>
      <c r="B50" s="229" t="inlineStr">
        <is>
          <t>фон темнеет на ступень</t>
        </is>
      </c>
      <c r="C50" s="273" t="inlineStr">
        <is>
          <t>background --c-g-50 / --gd, либо filter brightness(.94)</t>
        </is>
      </c>
      <c r="E50" s="229" t="inlineStr">
        <is>
          <t>только цвет, размер и положение не меняются</t>
        </is>
      </c>
    </row>
    <row r="51">
      <c r="A51" s="258" t="inlineStr">
        <is>
          <t>:active</t>
        </is>
      </c>
      <c r="B51" s="229" t="inlineStr">
        <is>
          <t>слегка утапливается</t>
        </is>
      </c>
      <c r="C51" s="273" t="inlineStr">
        <is>
          <t>translateY(1px) + фон ещё темнее</t>
        </is>
      </c>
      <c r="E51" s="229" t="inlineStr">
        <is>
          <t>ощущение нажатия, сдвиг ровно 1 px</t>
        </is>
      </c>
    </row>
    <row r="52">
      <c r="A52" s="258" t="inlineStr">
        <is>
          <t>запрещено</t>
        </is>
      </c>
      <c r="B52" s="229" t="inlineStr">
        <is>
          <t>подпрыгивание, разлетающаяся тень, вращение</t>
        </is>
      </c>
      <c r="C52" s="273" t="inlineStr">
        <is>
          <t>translateY(-2px), scale, rotate</t>
        </is>
      </c>
      <c r="E52" s="229" t="inlineStr">
        <is>
          <t>никаких сложных анимаций на кнопках</t>
        </is>
      </c>
    </row>
    <row r="54">
      <c r="A54" s="250" t="inlineStr">
        <is>
          <t>Исключение: сердечко в опросе анкеты — не кнопка действия, а реакция. Допустимо scale(1.06), не больше.</t>
        </is>
      </c>
    </row>
    <row r="56">
      <c r="A56" s="256" t="inlineStr">
        <is>
          <t>КОММЕНТАРИЙ-ФЛАЖОК — вместо полоски слева</t>
        </is>
      </c>
    </row>
    <row r="57">
      <c r="A57" s="258" t="inlineStr">
        <is>
          <t>.ex</t>
        </is>
      </c>
      <c r="B57" s="229" t="inlineStr">
        <is>
          <t>комментарий в карточке</t>
        </is>
      </c>
      <c r="C57" s="229" t="inlineStr">
        <is>
          <t>рамка 1.5px, радиус --r, радиальный градиент сверху</t>
        </is>
      </c>
      <c r="E57" s="229" t="inlineStr">
        <is>
          <t>то же устройство, что у плашки дохода .dnsum. Цвета: --exb рамка, --exg подложка</t>
        </is>
      </c>
    </row>
    <row r="58">
      <c r="A58" s="258" t="inlineStr">
        <is>
          <t>.wknote</t>
        </is>
      </c>
      <c r="B58" s="229" t="inlineStr">
        <is>
          <t>комментарий под календарём</t>
        </is>
      </c>
      <c r="C58" s="229" t="inlineStr">
        <is>
          <t>рамка 1.5px, радиус --r, градиент, левое поле 65px</t>
        </is>
      </c>
      <c r="E58" s="229"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59">
      <c r="A59" s="258" t="inlineStr">
        <is>
          <t>--exb / --exg</t>
        </is>
      </c>
      <c r="B59" s="229" t="inlineStr">
        <is>
          <t>цвет рамки и подложки</t>
        </is>
      </c>
      <c r="C59" s="229" t="inlineStr">
        <is>
          <t>инлайн: style="--exb:var(--c-v-300);--exg:var(--c-v-50)"</t>
        </is>
      </c>
      <c r="E59" s="229" t="inlineStr">
        <is>
          <t>по умолчанию --c-g-200 и --c-g-50</t>
        </is>
      </c>
    </row>
    <row r="61">
      <c r="A61" s="250" t="inlineStr">
        <is>
          <t>Пояснительные плашки в блоках 02 и 03 оформлены так же, как «Ваш доход на руки»: лёгкая рамка 1,5 px, радиус --r и мягкий радиальный градиент от верхнего края. Полосок-флажков и явных границ слева больше нет.</t>
        </is>
      </c>
    </row>
    <row r="63">
      <c r="A63" s="2" t="inlineStr">
        <is>
          <t>БЛОК 07 «ЧЕТЫРЕ ЦИФРЫ» — сетка изменена 07.08.2026</t>
        </is>
      </c>
    </row>
    <row r="64">
      <c r="A64" t="inlineStr">
        <is>
          <t>Было</t>
        </is>
      </c>
      <c r="B64" t="inlineStr">
        <is>
          <t>Крест 3×3: плашка сверху, справа, снизу, слева, знак «Счётикс» в середине. На широком экране по бокам оставалось много пустого поля.</t>
        </is>
      </c>
    </row>
    <row r="65">
      <c r="A65" t="inlineStr">
        <is>
          <t>Стало</t>
        </is>
      </c>
      <c r="B65" t="inlineStr">
        <is>
          <t>Сетка 2×2 на всех ширинах — та же раскладка, что раньше была только на узком экране. Знак из середины убран (.fgmk и FGMK удалены).</t>
        </is>
      </c>
    </row>
    <row r="67">
      <c r="A67" s="2" t="inlineStr">
        <is>
          <t>БЛОК 05 — ДОРАБОТКА 07.08.2026</t>
        </is>
      </c>
    </row>
    <row r="68">
      <c r="A68" t="inlineStr">
        <is>
          <t>.scn3 тени</t>
        </is>
      </c>
      <c r="B68" t="inlineStr">
        <is>
          <t>box-shadow 0 10px 26px rgba(16,24,40,.09) + 0 2px 6px; на наведении глубже и подъём на 2px</t>
        </is>
      </c>
    </row>
    <row r="69">
      <c r="A69" t="inlineStr">
        <is>
          <t>.scdeco</t>
        </is>
      </c>
      <c r="B69" t="inlineStr">
        <is>
          <t>Фоновый круг в правом верхнем углу — тот же приём, что .cn:before и .npd .g div:before: сплошной круг 130px, right/top -30px. Отдельный слой с overflow:hidden внутри .scn3, сам .scn3 обрезать нельзя (метка .nm3 выше края).</t>
        </is>
      </c>
    </row>
    <row r="70">
      <c r="A70" t="inlineStr">
        <is>
          <t>.mbsc</t>
        </is>
      </c>
      <c r="B70" t="inlineStr">
        <is>
          <t>Схема безубыточности: две чаши весов «Пришло от клиентов» = «Ушло на работу», между ними знак =. Зелёная и янтарная подложки.</t>
        </is>
      </c>
      <c r="H70" s="297" t="inlineStr">
        <is>
          <t>ОТКАЧЕНО 07.08.2026: плашка возвращена к прежнему виду</t>
        </is>
      </c>
    </row>
    <row r="71">
      <c r="A71" t="inlineStr">
        <is>
          <t>.mbres</t>
        </is>
      </c>
      <c r="B71" t="inlineStr">
        <is>
          <t>Итог схемы — янтарная плашка с кругом «0»: себе ничего не осталось.</t>
        </is>
      </c>
      <c r="H71" s="297" t="inlineStr">
        <is>
          <t>ОТКАЧЕНО 07.08.2026: плашка возвращена к прежнему виду</t>
        </is>
      </c>
    </row>
    <row r="72">
      <c r="A72" t="inlineStr">
        <is>
          <t>.minb .t</t>
        </is>
      </c>
      <c r="B72" t="inlineStr">
        <is>
          <t>Заголовок врезки поднят до 21px со знаком равенства в квадрате слева — это ключевая мысль, а не строка текста.</t>
        </is>
      </c>
      <c r="H72" s="297" t="inlineStr">
        <is>
          <t>ОТКАЧЕНО 07.08.2026: заголовок вернулся к 16px без знака</t>
        </is>
      </c>
    </row>
    <row r="74">
      <c r="A74" s="2" t="inlineStr">
        <is>
          <t>УВЕДОМЛЕНИЯ — ЕДИНЫЙ ВИД, 07.08.2026</t>
        </is>
      </c>
    </row>
    <row r="75">
      <c r="A75" t="inlineStr">
        <is>
          <t>Эталон</t>
        </is>
      </c>
      <c r="B75" t="inlineStr">
        <is>
          <t>.note.warn — жёлтая подложка --c-a-50, пунктирная рамка --c-a-300, круг --c-a-400 со знаком «!», текст --c-a-800. Так оформлены уведомления блока 01.</t>
        </is>
      </c>
    </row>
    <row r="76">
      <c r="A76" t="inlineStr">
        <is>
          <t>Блок 05 «Логистика»</t>
        </is>
      </c>
      <c r="B76" t="inlineStr">
        <is>
          <t>был .lognote — серая подложка --c-surf со сплошным кругом. Переведён на .note.warn, класс .lognote удалён из CSS.</t>
        </is>
      </c>
    </row>
    <row r="77">
      <c r="A77" t="inlineStr">
        <is>
          <t>Блок 06 «Выгорание»</t>
        </is>
      </c>
      <c r="B77" t="inlineStr">
        <is>
          <t>был .note.warn.lg — та же гамма, но шрифт 17px и padding 24/28/56. Переведён на обычный .note.warn.</t>
        </is>
      </c>
    </row>
    <row r="78">
      <c r="A78" t="inlineStr">
        <is>
          <t>Многоабзацные</t>
        </is>
      </c>
      <c r="B78" t="inlineStr">
        <is>
          <t>.note.warn p{margin:0} + p+p{margin-top:10px} — раньше отступы давал только .lg</t>
        </is>
      </c>
    </row>
    <row r="80">
      <c r="A80" s="2" t="inlineStr">
        <is>
          <t>УВЕДОМЛЕНИЯ — ЕДИНАЯ ТИПОГРАФИКА, 07.08.2026</t>
        </is>
      </c>
    </row>
    <row r="81">
      <c r="A81" t="inlineStr">
        <is>
          <t>Причина разнобоя</t>
        </is>
      </c>
      <c r="B81" t="inlineStr">
        <is>
          <t>Правило #phr-root .note{font-size:12.5px;text-align:center;line-height:1.5} стояло ниже по файлу и перебивало базовое .note{13px;1.6}. Уведомления .warn/.info/.ok получали чужой кегль, центровку и межстрочный — отсюда разные отступы и интерлиньяж между блоками.</t>
        </is>
      </c>
    </row>
    <row r="82">
      <c r="A82" t="inlineStr">
        <is>
          <t>Решение</t>
        </is>
      </c>
      <c r="B82" t="inlineStr">
        <is>
          <t>Позднее правило сужено до :not(.warn):not(.info):not(.ok):not(.plain) — оно нужно только мелким сноскам (источники, подписи). Уведомлениям задана своя типографика: 13px / 1.6 / по левому краю.</t>
        </is>
      </c>
    </row>
    <row r="83">
      <c r="A83" t="inlineStr">
        <is>
          <t>Абзацы внутри</t>
        </is>
      </c>
      <c r="B83" t="inlineStr">
        <is>
          <t>p{margin:0;font-size:inherit;line-height:inherit}, между абзацами 8px. Раньше абзацы наследовали разные размеры.</t>
        </is>
      </c>
    </row>
    <row r="84">
      <c r="A84" t="inlineStr">
        <is>
          <t>Вывод последней строкой</t>
        </is>
      </c>
      <c r="B84" t="inlineStr">
        <is>
          <t>p:last-child:not(:only-child){text-align:right;font-weight:600} — только если абзацев больше одного.</t>
        </is>
      </c>
    </row>
    <row r="85">
      <c r="A85" t="inlineStr">
        <is>
          <t>Блок 06 — тип уведомления</t>
        </is>
      </c>
      <c r="B85" t="inlineStr">
        <is>
          <t>Жёлтое .note.warn заменено на синее .note.info — точная копия уведомления из блока 08. Оформление, цвета и знак «i» не менялись, только текст.</t>
        </is>
      </c>
    </row>
    <row r="87">
      <c r="A87" s="2" t="inlineStr">
        <is>
          <t>ПРОВЕРКА ВЁРСТКИ — новый скрипт, 08.08.2026</t>
        </is>
      </c>
    </row>
    <row r="88">
      <c r="A88" t="inlineStr">
        <is>
          <t>Где</t>
        </is>
      </c>
      <c r="B88" t="inlineStr">
        <is>
          <t>_архив/скрипты/проверка_вёрстки.py · встроен в собрать.py, запускается после сборки</t>
        </is>
      </c>
    </row>
    <row r="89">
      <c r="A89" t="inlineStr">
        <is>
          <t>Запуск отдельно</t>
        </is>
      </c>
      <c r="B89" t="inlineStr">
        <is>
          <t>python3 проверка_вёрстки.py файл.html [--было прежний.html] — работает на любом HTML, включая макеты в «части»</t>
        </is>
      </c>
    </row>
    <row r="90">
      <c r="A90" t="inlineStr">
        <is>
          <t>1. Скобки</t>
        </is>
      </c>
      <c r="B90" t="inlineStr">
        <is>
          <t>баланс {} в CSS и открытых/закрытых тегов, с номером строки</t>
        </is>
      </c>
    </row>
    <row r="91">
      <c r="A91" t="inlineStr">
        <is>
          <t>2. Переменные</t>
        </is>
      </c>
      <c r="B91" t="inlineStr">
        <is>
          <t>используются, но не объявлены. Не считает ошибкой var(--x,запасное), инлайн в style="" и setProperty из JS</t>
        </is>
      </c>
    </row>
    <row r="92">
      <c r="A92" t="inlineStr">
        <is>
          <t>3. Медиазапросы</t>
        </is>
      </c>
      <c r="B92" t="inlineStr">
        <is>
          <t>незакрытый @media проглатывает весь CSS ниже — правила есть, но не работают. Плюс сигнал, если @media охватывает больше 40 правил</t>
        </is>
      </c>
    </row>
    <row r="93">
      <c r="A93" t="inlineStr">
        <is>
          <t>4. Дубли селекторов</t>
        </is>
      </c>
      <c r="B93" t="inlineStr">
        <is>
          <t>два правила с одним селектором и общим свойством: нижнее молча перебивает верхнее. Так .note{text-align:center} перебивал .note.warn</t>
        </is>
      </c>
    </row>
    <row r="94">
      <c r="A94" t="inlineStr">
        <is>
          <t>5. Сверка с прежней</t>
        </is>
      </c>
      <c r="B94" t="inlineStr">
        <is>
          <t>что пропало, что добавилось и у каких свойств изменились значения. Показывает, что правка задела соседние элементы</t>
        </is>
      </c>
    </row>
    <row r="95">
      <c r="A95" t="inlineStr">
        <is>
          <t>Зачем</t>
        </is>
      </c>
      <c r="B95" t="inlineStr">
        <is>
          <t>Ловит класс ошибок «поехала разметка после правки»: потерянные отступы, сбитое оформление, случайно задетые блоки</t>
        </is>
      </c>
    </row>
    <row r="97">
      <c r="A97" t="inlineStr">
        <is>
          <t>НУМЕРАЦИЯ СПРАВОЧНИКА И ССЫЛКИ, 10.08.2026</t>
        </is>
      </c>
    </row>
    <row r="98">
      <c r="A98" t="inlineStr">
        <is>
          <t>Справочник</t>
        </is>
      </c>
      <c r="B98" s="229" t="inlineStr">
        <is>
          <t>Каждый термин пронумерован: кружок 26 px слева, номер 01–26 по порядку. Якорь ref0..ref25 — по индексу, не по названию (имена кириллические).</t>
        </is>
      </c>
    </row>
    <row r="99">
      <c r="A99" t="inlineStr">
        <is>
          <t>Ссылка из блока</t>
        </is>
      </c>
      <c r="B99" s="229" t="inlineStr">
        <is>
          <t>.refl — ОБЫЧНАЯ ТЕКСТОВАЯ ссылка «Подробнее в п. 7 Справочника»: синий цвет, тонкое подчёркивание. Никаких плашек, рамок и фона — внутри текста они не нужны. Номер без ведущего нуля. Один вид на весь отчёт.</t>
        </is>
      </c>
    </row>
    <row r="100">
      <c r="A100" t="inlineStr">
        <is>
          <t>Подсветка перехода</t>
        </is>
      </c>
      <c r="B100" s="229" t="inlineStr">
        <is>
          <t>Через :target. У целевого пункта голубой фон, номер заливается синим градиентом, термин синеет. Работает без скрипта, ничего не сбрасывает.</t>
        </is>
      </c>
    </row>
    <row r="101">
      <c r="A101" t="inlineStr">
        <is>
          <t>Блок 01</t>
        </is>
      </c>
      <c r="B101" s="229" t="inlineStr">
        <is>
          <t>13 строк легенды связаны с терминами массивом REFLB. Съёмка → 22, Обработка → 07, Работа с клиентом → 15, Продвижение → 13, Учёт → 24, Форс-мажоры → 25, Оборудование → 23, Реклама → 13, Текущие счета → 18, Налоги → 06, Эквайринг → 26, Фонд и Запас → 05. Битых ссылок нет.</t>
        </is>
      </c>
    </row>
    <row r="102">
      <c r="A102" t="inlineStr">
        <is>
          <t>Порядок объявления</t>
        </is>
      </c>
      <c r="B102" s="229" t="inlineStr">
        <is>
          <t>REFD и PHR_REF вынесены выше отрисовки блоков: легенда блока 01 строится раньше справочника и без этого ссылок не получала.</t>
        </is>
      </c>
    </row>
    <row r="104">
      <c r="A104" t="inlineStr">
        <is>
          <t>ВТОРОЙ ЭКРАН И КНОПКИ БЛАГОДАРНОСТИ, 10.08.2026</t>
        </is>
      </c>
    </row>
    <row r="105">
      <c r="A105" t="inlineStr">
        <is>
          <t>Экран 2 — рабочий месяц</t>
        </is>
      </c>
      <c r="B105" s="229" t="inlineStr">
        <is>
          <t>Всё переведено в месяц: год человек не чувствует, месяц планирует. Один заголовок «Ваш рабочий месяц» и три рамки: съёмок в месяц, часов на работу с заказом (обработка + клиент), продвижение и прочее. Рамки прозрачные, только контур. Проверка: 18+72+56=146 ч = всё рабочее время за месяц.</t>
        </is>
      </c>
    </row>
    <row r="106">
      <c r="A106" t="inlineStr">
        <is>
          <t>Гамма и фон</t>
        </is>
      </c>
      <c r="B106" s="229" t="inlineStr">
        <is>
          <t>Морская волна #176B77 → #58B1B9 — взята из карточки «Ставка в ноль» блока «Четыре цифры» (.fct.b). Ближе к зелёному, чем прежний синий. Фоновый рисунок — часы вместо фотоаппарата, прозрачность 13%.</t>
        </is>
      </c>
    </row>
    <row r="107">
      <c r="A107" t="inlineStr">
        <is>
          <t>Кнопка благодарности</t>
        </is>
      </c>
      <c r="B107" s="229" t="inlineStr">
        <is>
          <t>.thxb — форма от .savebtn (ширина 100%, высота 72px, кегль 17px, радиус, отступы 0/30, зазор 11px), оформление от плашек блока 08 (.cn.s1..s3): инста-градиент заливкой --c-ig-1 → --c-ig-2 → --c-ig-4, белый текст и сердце, круг-блик :before в углу, тень. Рамки нет. При наведении яркость +6%. Мест три: под кнопкой PDF, между блоками 04 и 05, баннер перед справочником. Из шапки убрана 10.08.2026.</t>
        </is>
      </c>
    </row>
    <row r="108">
      <c r="A108" t="inlineStr">
        <is>
          <t>Баннер</t>
        </is>
      </c>
      <c r="B108" s="229" t="inlineStr">
        <is>
          <t>.cta.thx — тот же приём, что «30 сценариев», гамма тёплая (--c-a-700 → --c-a-500), декор-сердце вместо стопки карточек.</t>
        </is>
      </c>
    </row>
    <row r="109">
      <c r="A109" t="inlineStr">
        <is>
          <t>THANKS_URL</t>
        </is>
      </c>
      <c r="B109" s="229" t="inlineStr">
        <is>
          <t>Адрес задаётся одной переменной в скрипте отчёта, подставляется во все кнопки разом. Сейчас заглушка #thanks. Если адрес внешний — ссылки автоматически открываются в новой вкладке.</t>
        </is>
      </c>
    </row>
    <row r="110">
      <c r="A110" t="inlineStr">
        <is>
          <t>собрать.py</t>
        </is>
      </c>
      <c r="B110" s="229" t="inlineStr">
        <is>
          <t>Ожидаемое число прямых детей .wp: 19 → 22 (добавились две плашки с кнопками и баннер).</t>
        </is>
      </c>
    </row>
    <row r="112">
      <c r="A112" t="inlineStr">
        <is>
          <t>ССЫЛКИ И КНОПКИ — единый вид, 10.08.2026</t>
        </is>
      </c>
    </row>
    <row r="113">
      <c r="A113" t="inlineStr">
        <is>
          <t>Ссылка на справочник</t>
        </is>
      </c>
      <c r="B113" s="229" t="inlineStr">
        <is>
          <t>.refl — цветом НЕ выделяется: color:inherit, font:inherit. Наследует кегль, начертание и цвет того описания, вместо которого стоит. Обозначена только подчёркиванием currentColor. Текст короткий: «п. 22 Справочника», без «Подробнее в».</t>
        </is>
      </c>
    </row>
    <row r="114">
      <c r="A114" t="inlineStr">
        <is>
          <t>Ссылки в памятке</t>
        </is>
      </c>
      <c r="B114" s="229" t="inlineStr">
        <is>
          <t>Блок 04 и другие .pmknote: было своё оформление (цвет --c-fns-2, полужирный) — приведено к тому же правилу, что .refl.</t>
        </is>
      </c>
    </row>
    <row r="115">
      <c r="A115" t="inlineStr">
        <is>
          <t>Кнопки и баннер</t>
        </is>
      </c>
      <c r="B115" s="229" t="inlineStr">
        <is>
          <t>Единая гамма: инста-градиент --c-ig-1 → --c-ig-2 → --c-ig-4. Баннер был тёплый (--c-a-700), переведён в ту же гамму. Декор везде одинаковый: круг-блик плюс сердечки. На кнопках два сердца (.thxd справа 56px, .thxd2 слева 34px), на баннере два круга и два сердца.</t>
        </is>
      </c>
    </row>
    <row r="117">
      <c r="A117" t="inlineStr">
        <is>
          <t>БАННЕР «30 СЦЕНАРИЕВ» ВЫНЕСЕН, 10.08.2026</t>
        </is>
      </c>
    </row>
    <row r="118">
      <c r="A118" t="inlineStr">
        <is>
          <t>Куда</t>
        </is>
      </c>
      <c r="B118" s="229" t="inlineStr">
        <is>
          <t>части/09_баннер_сценарии.html — полноценная страница, дизайн сохранён без изменений. В собрать.py 22 → 21 блока.</t>
        </is>
      </c>
    </row>
    <row r="119">
      <c r="A119" t="inlineStr">
        <is>
          <t>Важно</t>
        </is>
      </c>
      <c r="B119" s="229" t="inlineStr">
        <is>
          <t>Стили .cta ОСТАЛИСЬ в каркасе: их наследует баннер благодарности .cta.thx. Вынесена только разметка. При первой попытке я скопировала правила в каркас поверх существующих — получились дубли, убраны.</t>
        </is>
      </c>
    </row>
    <row r="120">
      <c r="A120" t="inlineStr">
        <is>
          <t>Пояснение под кнопкой</t>
        </is>
      </c>
      <c r="B120" s="229" t="inlineStr">
        <is>
          <t>.thxn — абзац под кнопкой «Поблагодарить проект» (той, что под сохранением в PDF). Лежит ВНУТРИ .thxbar, иначе становится прямым ребёнком .wp и ломает проверку структуры. Ширина 720px, кегль 13, по центру, цвет --c-gr.</t>
        </is>
      </c>
    </row>
    <row r="122">
      <c r="A122" t="inlineStr">
        <is>
          <t>БАННЕР «30 СЦЕНАРИЕВ» — СКРЫТ, НЕ УДАЛЁН, 10.08.2026</t>
        </is>
      </c>
    </row>
    <row r="123">
      <c r="A123" t="inlineStr">
        <is>
          <t>Как сделано</t>
        </is>
      </c>
      <c r="B123" s="229" t="inlineStr">
        <is>
          <t>Баннер остаётся в каркасе с классом .hide (display:none!important). Чтобы вернуть — снять класс, ничего искать не нужно. Копия для просмотра: части/09_баннер_сценарии.html.</t>
        </is>
      </c>
    </row>
    <row r="124">
      <c r="A124" t="inlineStr">
        <is>
          <t>Что было сломано</t>
        </is>
      </c>
      <c r="B124" s="229" t="inlineStr">
        <is>
          <t>При первом выносе я удалила разметку и вырезала правила .cta. Баннер благодарности .cta.thx наследует .cta, поэтому потерял заливку, радиус 22px и отступы 40/44 — остался только мобильный вариант padding:30px 24px. Восстановлено сверкой правило-в-правило с report_prev405.</t>
        </is>
      </c>
    </row>
    <row r="125">
      <c r="A125" t="inlineStr">
        <is>
          <t>Правило .hide</t>
        </is>
      </c>
      <c r="B125" s="229" t="inlineStr">
        <is>
          <t>Общее: элементы скрываются классом, а не удаляются. Так проще вернуть и видно в разметке, что элемент есть.</t>
        </is>
      </c>
    </row>
    <row r="127">
      <c r="A127" t="inlineStr">
        <is>
          <t>ВЕРХНЕЕ МЕНЮ, 10.08.2026</t>
        </is>
      </c>
    </row>
    <row r="128">
      <c r="A128" t="inlineStr">
        <is>
          <t>Что сделано</t>
        </is>
      </c>
      <c r="B128" s="229" t="inlineStr">
        <is>
          <t>Логотип вынесен из шапки в отдельную строку .topbar. Строка липкая: position:sticky, полупрозрачный белый фон с размытием 10px. Высота строки 66px — логотип 62px размещается свободно. Отступ до заголовка «Юнит-экономика» 34px.</t>
        </is>
      </c>
    </row>
    <row r="129">
      <c r="A129" t="inlineStr">
        <is>
          <t>Прилипание</t>
        </is>
      </c>
      <c r="B129" s="229" t="inlineStr">
        <is>
          <t>Класс .stuck вешается через IntersectionObserver: сторож в 1px над полосой пропал из виду — значит прилипла, появляются черта снизу и мягкая тень. Слушать прокрутку не нужно, браузер делает сам.</t>
        </is>
      </c>
    </row>
    <row r="130">
      <c r="A130" t="inlineStr">
        <is>
          <t>Кнопки меню</t>
        </is>
      </c>
      <c r="B130" s="229" t="inlineStr">
        <is>
          <t>Слева логотип, справа в один ряд: текстовая «Редактировать данные» (без плашки, с тонким подчёркиванием) и сердце. У сердца подпись «Поблагодарить проект» раскрывается при наведении через max-width. На узких экранах подпись скрыта, остаётся значок.</t>
        </is>
      </c>
    </row>
    <row r="131">
      <c r="A131" t="inlineStr">
        <is>
          <t>Адреса</t>
        </is>
      </c>
      <c r="B131" s="229" t="inlineStr">
        <is>
          <t>EDIT_URL=calc.html — отдельная переменная рядом с THANKS_URL. При печати полоса становится обычной, без фона и тени.</t>
        </is>
      </c>
    </row>
    <row r="133">
      <c r="A133" t="inlineStr">
        <is>
          <t>ПЛАВАЮЩАЯ ПАНЕЛЬ, 10.08.2026</t>
        </is>
      </c>
    </row>
    <row r="134">
      <c r="A134" t="inlineStr">
        <is>
          <t>Что изменилось</t>
        </is>
      </c>
      <c r="B134" s="229" t="inlineStr">
        <is>
          <t>Логотип вернулся в шапку. Липкая полоса во всю ширину заменена на компактную плавающую панель справа сверху. Логотипа в ней нет.</t>
        </is>
      </c>
    </row>
    <row r="135">
      <c r="A135" t="inlineStr">
        <is>
          <t>Появление</t>
        </is>
      </c>
      <c r="B135" s="229" t="inlineStr">
        <is>
          <t>Скрыта по умолчанию (opacity:0, visibility:hidden). Всплывает после 500 px прокрутки, плавно съезжая сверху. При обратной прокрутке прячется.</t>
        </is>
      </c>
    </row>
    <row r="136">
      <c r="A136" t="inlineStr">
        <is>
          <t>Подложка</t>
        </is>
      </c>
      <c r="B136" s="229" t="inlineStr">
        <is>
          <t>Полупрозрачная белая .62 с размытием 14px и насыщением 140%. Углы как у блоков — var(--r). Отступы 12/18, зазор 14. Панель по ЦЕНТРУ экрана: left:50% + translateX(-50%), не прижата к краю.</t>
        </is>
      </c>
    </row>
    <row r="137">
      <c r="A137" t="inlineStr">
        <is>
          <t>Содержимое</t>
        </is>
      </c>
      <c r="B137" s="229" t="inlineStr">
        <is>
          <t>Текстовая «Редактировать данные» → calc.html, значок «Поделиться», значок сердца. Разворачивающаяся подпись убрана: у обоих значков всплывающая подсказка через :after с data-tip.</t>
        </is>
      </c>
    </row>
    <row r="138">
      <c r="A138" t="inlineStr">
        <is>
          <t>Поделиться</t>
        </is>
      </c>
      <c r="B138" s="229" t="inlineStr">
        <is>
          <t>navigator.share, где поддерживается (телефоны). Иначе ссылка копируется в буфер и подсказка на 1,8 с меняется на «Ссылка скопирована».</t>
        </is>
      </c>
    </row>
    <row r="139">
      <c r="A139" t="inlineStr">
        <is>
          <t>Панель — правки 10.08.2026</t>
        </is>
      </c>
      <c r="B139" s="229" t="inlineStr">
        <is>
          <t>1) Панель центрирована по горизонтали. 2) Кнопка «Редактировать данные» выделяется при наведении так же, как значки: подложка --c-bg и радиус 11px вместо подчёркивания. 3) Всплывающие подсказки оформлены как .segtip (подсказка на диаграмме блока 01): белый фон, рамка --c-ln, радиус 12px, тень 0 8px 28px, цвет --c-ink. Сверено посвойствно — совпадает полностью.</t>
        </is>
      </c>
    </row>
    <row r="141">
      <c r="A141" t="inlineStr">
        <is>
          <t>ВЕРХНЕЕ МЕНЮ — окончательный вид, 10.08.2026</t>
        </is>
      </c>
    </row>
    <row r="142">
      <c r="A142" t="inlineStr">
        <is>
          <t>Устройство</t>
        </is>
      </c>
      <c r="B142" s="229" t="inlineStr">
        <is>
          <t>.tbar — липкая строка над шапкой: логотип слева, кнопки справа (Редактировать данные · Поделиться · сердце). Логотип стоит на прежней высоте, как и был.</t>
        </is>
      </c>
    </row>
    <row r="143">
      <c r="A143" t="inlineStr">
        <is>
          <t>Без подложки</t>
        </is>
      </c>
      <c r="B143" s="229" t="inlineStr">
        <is>
          <t>Фон меню = var(--c-bg), тот же, что у страницы: меню читается как её продолжение. Размытия, тени и полупрозрачности нет. Когда меню прилипает, снизу проступает тонкая черта --c-ln, чтобы отделиться от содержимого.</t>
        </is>
      </c>
    </row>
    <row r="144">
      <c r="A144" t="inlineStr">
        <is>
          <t>Кнопки</t>
        </is>
      </c>
      <c r="B144" s="229" t="inlineStr">
        <is>
          <t>Текстовая и значки выделяются одинаково: белая подложка --c-white и радиус 11px при наведении. Подсказки как .segtip блока 01 — белый фон, рамка --c-ln, радиус 12, та же тень.</t>
        </is>
      </c>
    </row>
    <row r="145">
      <c r="A145" t="inlineStr">
        <is>
          <t>Отличие от прежнего</t>
        </is>
      </c>
      <c r="B145" s="229" t="inlineStr">
        <is>
          <t>Плавающая панель по центру с полупрозрачной подложкой и порогом 500px отменена. Меню видно всегда.</t>
        </is>
      </c>
    </row>
    <row r="147">
      <c r="A147" t="inlineStr">
        <is>
          <t>ПЕРЕЛИВАНИЕ, КНОПКА СКАЧИВАНИЯ, РЕКВИЗИТЫ — 10.08.2026</t>
        </is>
      </c>
    </row>
    <row r="148">
      <c r="A148" t="inlineStr">
        <is>
          <t>Анимация</t>
        </is>
      </c>
      <c r="B148" s="229" t="inlineStr">
        <is>
          <t>@keyframes thxSheen — светлая полоса под углом 105° проходит по кнопке слева направо за 55% цикла, остальное время пауза. На кнопках .thxb цикл 5,5 с, на баннере .cta.thx 7 с и полоса бледнее. Идёт постоянно, но мягко. При системной настройке «уменьшить движение» гасится — правило стоит ПОСЛЕ обычного, иначе не сработает.</t>
        </is>
      </c>
    </row>
    <row r="149">
      <c r="A149" t="inlineStr">
        <is>
          <t>Кнопка скачивания</t>
        </is>
      </c>
      <c r="B149" s="229" t="inlineStr">
        <is>
          <t>#dlBtn в меню, перед «Поделиться». Значок стрелки вниз, как у .savebtn. Запускает ту же печать в PDF с подстановкой имени файла.</t>
        </is>
      </c>
    </row>
    <row r="150">
      <c r="A150" t="inlineStr">
        <is>
          <t>Реквизиты</t>
        </is>
      </c>
      <c r="B150" s="229" t="inlineStr">
        <is>
          <t>.fcop под знаком в подвале: ООО «Центр маркетинговых услуг Гет Маркетинг» © 2026. Кегль 11,5, цвет --c-gr2. Подвал перестроен в столбик. Ключ текста rfc_01.</t>
        </is>
      </c>
    </row>
    <row r="152">
      <c r="A152" t="inlineStr">
        <is>
          <t>МЕНЮ, ПЛАШКА И ВРАЩЕНИЕ ГРАДИЕНТА — 10.08.2026</t>
        </is>
      </c>
    </row>
    <row r="153">
      <c r="A153" t="inlineStr">
        <is>
          <t>Меню .tbar</t>
        </is>
      </c>
      <c r="B153" s="229" t="inlineStr">
        <is>
          <t>Обычное, НЕ липкое: прокручивается вместе со страницей. Логотип справа, кнопки слева (Редактировать · Скачать · Поделиться · сердце). Фон как у страницы, подложки нет.</t>
        </is>
      </c>
    </row>
    <row r="154">
      <c r="A154" t="inlineStr">
        <is>
          <t>Плашка .fbar</t>
        </is>
      </c>
      <c r="B154" s="229" t="inlineStr">
        <is>
          <t>Отдельный элемент. Появляется после 500 px прокрутки, висит по центру сверху (left:50% + translateX). Логотипа нет, только действия. Полупрозрачная подложка с размытием, углы var(--r). Кнопки продублированы с суффиксом 2, обработчики вешаются на пары через forEach.</t>
        </is>
      </c>
    </row>
    <row r="155">
      <c r="A155" t="inlineStr">
        <is>
          <t>Анимация переливания — ОТМЕНЕНА 10.08.2026</t>
        </is>
      </c>
      <c r="B155" s="229" t="inlineStr">
        <is>
          <t>Пробовали два варианта: бегущий блик и вращение градиента (линейный, затем конический через @property). Оба выглядели некрасиво: у линейного поворот на 180° даёт зеркальную картинку, и оборот читался как два прохода. По решению заказчика анимация убрана полностью — на кнопках .thxb и баннере .cta.thx обычная неподвижная заливка linear-gradient(140deg, --c-ig-1 → --c-ig-2 42% → --c-ig-4). Удалены: @property --ang, @keyframes thxSpin, conic-gradient, правило prefers-reduced-motion.</t>
        </is>
      </c>
    </row>
    <row r="156">
      <c r="A156" t="inlineStr">
        <is>
          <t>Справочник .pmknote — без подложки, 10.08.2026</t>
        </is>
      </c>
      <c r="B156" s="229" t="inlineStr">
        <is>
          <t>Убраны фон --c-surf, скругление 16px и рамка. Фон теперь общий, как у страницы и меню. Боковые отступы сняты: текст выравнивается по общей колонке, padding 22px 0.</t>
        </is>
      </c>
    </row>
    <row r="157">
      <c r="A157" t="inlineStr">
        <is>
          <t>Отступ меню сверху, 10.08.2026</t>
        </is>
      </c>
      <c r="B157" s="229" t="inlineStr">
        <is>
          <t>Меню поднято к верхнему краю: над ним 28 px. Считается как отступ страницы 32 − собственный margin-top −12 + padding-top 8. Не вплотную, но и не провисает. На узких экранах: 32 − 8 + 6 = 30 px.</t>
        </is>
      </c>
    </row>
    <row r="159">
      <c r="A159" t="inlineStr">
        <is>
          <t>ПОЯВЛЕНИЕ ДИАГРАММ, 10.08.2026</t>
        </is>
      </c>
    </row>
    <row r="160">
      <c r="A160" t="inlineStr">
        <is>
          <t>Что сделано</t>
        </is>
      </c>
      <c r="B160" s="229" t="inlineStr">
        <is>
          <t>Перенесено из анкеты: диаграмма оживает, когда доезжает до экрана. Охвачены все 10: кольцо блока 01, две легенды-полосы блока 01, сетка недели блока 02, кольцо фонда и две группы полос блока 03, три кольца сценариев блока 05.</t>
        </is>
      </c>
    </row>
    <row r="161">
      <c r="A161" t="inlineStr">
        <is>
          <t>Кольцевые диаграммы — посекторное появление</t>
        </is>
      </c>
      <c r="B161" s="229" t="inlineStr">
        <is>
          <t>Перенесено полностью из анкеты: каждый сектор выезжает отдельно, с задержкой 90 мс между соседними. Кольцо фонда блока 03 нарисовано обводкой — там тот же приём, что в анкете: &lt;animate&gt; по stroke-dasharray прямо на circle. Кольца блоков 01 и 05 — секторы-path, к ним stroke-dasharray неприменим: для каждого сектора создаётся МАСКА с дугой по средней линии кольца, и растёт обводка внутри маски, открывая сектор от начала к концу. Всего 20 секторов в 5 кольцах, id масок уникальны (счётчик donut._n). Запуск через beginElement() по наблюдателю, begin="indefinite". Подписи процентов проступают через .55 с, когда секторы уже на местах.</t>
        </is>
      </c>
    </row>
    <row r="162">
      <c r="A162" t="inlineStr">
        <is>
          <t>Полосы</t>
        </is>
      </c>
      <c r="B162" s="229" t="inlineStr">
        <is>
          <t>Ширина вынесена в переменную --w, сама width обнуляется до появления и возвращается к --w с переходом .9s. Иначе анимации нечего было бы восстанавливать.</t>
        </is>
      </c>
    </row>
    <row r="163">
      <c r="A163" t="inlineStr">
        <is>
          <t>Наблюдатель</t>
        </is>
      </c>
      <c r="B163" s="229" t="inlineStr">
        <is>
          <t>IntersectionObserver, порог .18 и rootMargin −8% снизу. Срабатывает ОДИН раз (unobserve), при обратной прокрутке диаграмма не схлопывается. Без поддержки наблюдателя всё показывается сразу. При печати и «уменьшить движение» анимация отключена, значения конечные.</t>
        </is>
      </c>
    </row>
    <row r="164">
      <c r="A164" t="inlineStr">
        <is>
          <t>Шапка отчёта — во всю ширину, 10.08.2026</t>
        </is>
      </c>
      <c r="B164" s="229" t="inlineStr">
        <is>
          <t>Снято max-width:660px у .sub — оно рвало подзаголовок посередине строки. Убран флекс на две колонки у .hdr: логотип теперь в меню, делить ширину не с кем. Заголовок, подзаголовок и описание занимают всю колонку 1080px. Заодно убрано мобильное правило column-reverse — оно относилось к паре «текст + логотип».</t>
        </is>
      </c>
    </row>
    <row r="166">
      <c r="A166" t="inlineStr">
        <is>
          <t>КНОПКА ИСПРАВЛЕНИЯ В ПРЕДУПРЕЖДЕНИЯХ, 10.08.2026</t>
        </is>
      </c>
    </row>
    <row r="167">
      <c r="A167" t="inlineStr">
        <is>
          <t>Что сделано</t>
        </is>
      </c>
      <c r="B167" s="229" t="inlineStr">
        <is>
          <t>В плашках .note.warn внутри легенды блока 01 появилась кнопка .lgwb: ведёт прямо к нужному полю анкеты, человек исправляет сразу, не разыскивая вопрос. «Заложить фонд развития» → calc.html#fund_on, «Заложить запас на скидку» → calc.html#disc_on.</t>
        </is>
      </c>
    </row>
    <row r="168">
      <c r="A168" t="inlineStr">
        <is>
          <t>Как устроено</t>
        </is>
      </c>
      <c r="B168" s="229" t="inlineStr">
        <is>
          <t>Блок 01: массив ZWA[i] = [id поля, надпись] рядом с ZW[i]. Блок 03 (#zapbox, резерв не заложен): кнопка дописана прямо в innerHTML уведомления. Всего три кнопки: фонд развития (блок 01), запас на скидку (блок 01), резерв на скидку (блок 03) — последние две ведут на одно поле disc_on. Адрес анкеты из общей переменной EDIT_URL.</t>
        </is>
      </c>
    </row>
    <row r="169">
      <c r="A169" t="inlineStr">
        <is>
          <t>Оформление</t>
        </is>
      </c>
      <c r="B169" s="229" t="inlineStr">
        <is>
          <t>Кнопка .lgwb стоит ОТДЕЛЬНОЙ строкой под текстом плашки: display:table прижимает её по содержимому и переносит с новой строки (inline-flex вставлял её в конец последнего абзаца). Отступ сверху 12px. Гамма предупреждения: белый фон, рамка --c-a-300, текст --c-a-800. Стрелки перед надписью нет. При печати скрыта.</t>
        </is>
      </c>
    </row>
    <row r="170">
      <c r="A170" t="inlineStr">
        <is>
          <t>Текст</t>
        </is>
      </c>
      <c r="B170" s="229" t="inlineStr">
        <is>
          <t>«Отложите в фонд развития» → «Отложите запас средств в фонд развития».</t>
        </is>
      </c>
    </row>
    <row r="172">
      <c r="A172" t="inlineStr">
        <is>
          <t>ПРЕДВАРИТЕЛЬНЫЙ ОТЧЁТ ВЫНЕСЕН ИЗ АНКЕТЫ, 10.08.2026</t>
        </is>
      </c>
    </row>
    <row r="173">
      <c r="A173" t="inlineStr">
        <is>
          <t>Куда</t>
        </is>
      </c>
      <c r="B173" s="229" t="inlineStr">
        <is>
          <t>части/предварительный_отчёт.html — самодостаточная страница: стили и скрипт анкеты внутри, можно открыть и посмотреть. Перенесено всё после кнопки «Рассчитать стоимость часа»: индикатор #ld, весь результат #res (7 карточек, 6 заголовков, размытие lockwrap и блок оплаты paywall), полоса лимитов #limBar. Всего 224 строки.</t>
        </is>
      </c>
    </row>
    <row r="174">
      <c r="A174" t="inlineStr">
        <is>
          <t>Дословность</t>
        </is>
      </c>
      <c r="B174" s="229" t="inlineStr">
        <is>
          <t>Проверено посимвольно: 80 210 знаков до и после, совпадение полное. Баланс тегов нулевой в обоих файлах.</t>
        </is>
      </c>
    </row>
    <row r="175">
      <c r="A175" t="inlineStr">
        <is>
          <t>Что пришлось поправить</t>
        </is>
      </c>
      <c r="B175" s="229" t="inlineStr">
        <is>
          <t>Скрипт анкеты обращался к кнопкам отчёта напрямую ($(buy), $(dlpdf)) и падал — обращения защищены проверкой. В вынесенном файле зеркальная проблема: скрипт зовёт поля анкеты, которых там нет, — добавлена заглушка getElementById, отдающая невидимую пустышку. Тот же приём, что в файлах блоков.</t>
        </is>
      </c>
    </row>
    <row r="176">
      <c r="A176" t="inlineStr">
        <is>
          <t>calc.html</t>
        </is>
      </c>
      <c r="B176" s="229" t="inlineStr">
        <is>
          <t>234 812 → 154 600 байт. Осталась только анкета: 14 карточек и кнопка расчёта. Загружается без ошибок.</t>
        </is>
      </c>
    </row>
    <row r="177">
      <c r="A177" t="inlineStr">
        <is>
          <t>Предварительный отчёт — показ в вынесенном файле, 10.08.2026</t>
        </is>
      </c>
      <c r="B177" s="229" t="inlineStr">
        <is>
          <t>Была видна одна плашка: #res скрыт до нажатия «Рассчитать», а кнопка осталась в анкете; плюс пять карточек лежат в .lockwrap ЗА пределами #res (так в исходнике) и прятались paywall-логикой. Добавлен блок стилей ТОЛЬКО для этого файла: #res показан, размытие и лимит высоты сняты, .paywall скрыт. Расчёт запускается изнутри замыкания — снаружи render/calc не видны. Значения по умолчанию собраны из самой анкеты (24 поля), поэтому цифры живые: ставка 8 959 ₽. Разметка блока между метками не тронута.</t>
        </is>
      </c>
    </row>
    <row r="179">
      <c r="A179" t="inlineStr">
        <is>
          <t>РАЗБОР ПРЕДВАРИТЕЛЬНОГО ОТЧЁТА, 10.08.2026</t>
        </is>
      </c>
      <c r="B179" s="229" t="n"/>
    </row>
    <row r="180">
      <c r="A180" t="inlineStr">
        <is>
          <t>Что осталось в анкете</t>
        </is>
      </c>
      <c r="B180" s="229" t="inlineStr">
        <is>
          <t>Сама анкета, кнопка «Рассчитать стоимость часа» и анимация расчёта. Больше в calc.html ничего нет.</t>
        </is>
      </c>
    </row>
    <row r="181">
      <c r="A181" t="inlineStr">
        <is>
          <t>Анимация расчёта</t>
        </is>
      </c>
      <c r="B181" s="229" t="inlineStr">
        <is>
          <t>Была карточкой в потоке страницы, стала слоем во весь экран: #ld — position:fixed;inset:0, внутри карточка .ldin по центру. Подложка как у полосы лимитов — полупрозрачный фон и размытие. Кольцо, проценты и подписи этапов не тронуты.</t>
        </is>
      </c>
    </row>
    <row r="182">
      <c r="A182" t="inlineStr">
        <is>
          <t>Что происходит после 100%</t>
        </is>
      </c>
      <c r="B182" s="229" t="inlineStr">
        <is>
          <t>Результат кладётся в localStorage (saveReport) и в phc_state (saveState), затем переход на report.html. Раньше отчёт разворачивался прямо в анкете.</t>
        </is>
      </c>
    </row>
    <row r="183">
      <c r="A183" t="inlineStr">
        <is>
          <t>Перенесено в части/предварительный_отчёт.html</t>
        </is>
      </c>
      <c r="B183" s="229" t="inlineStr">
        <is>
          <t>Три блока подряд: «Куда уходит каждый час съёмки», «Сравните со своим текущим доходом» и «Скачать детальный отчёт» целиком — с ценой, преимуществами, кнопками, опросом, подпиской, строкой «Оплатили, но отчёт не открылся?» и логотипом.</t>
        </is>
      </c>
    </row>
    <row r="184">
      <c r="A184" t="inlineStr">
        <is>
          <t>Удалено совсем</t>
        </is>
      </c>
      <c r="B184" s="229" t="inlineStr">
        <is>
          <t>Главный экран со ставкой, «Спасибо за поддержку» с кнопкой PDF и пять карточек размытого превью: блоки 17, 18, 19, 19b и 20. Полоса лимитов #limBar осталась в анкете — она работает во время заполнения.</t>
        </is>
      </c>
    </row>
    <row r="185">
      <c r="A185" t="inlineStr">
        <is>
          <t>Что убрано из скрипта</t>
        </is>
      </c>
      <c r="B185" s="229" t="inlineStr">
        <is>
          <t>render, donut, parts, visIdx, массивы CO и LB, PWL и fillPW, isPaid, unlock, lockOn, setPrice с ценами, обработчики кнопок оплаты и PDF, опрос и подписка, goEdit, ветка возврата из оплаты. Остались calc, recalc, лимиты, saveReport, saveState, restoreState.</t>
        </is>
      </c>
    </row>
    <row r="186">
      <c r="A186" t="inlineStr">
        <is>
          <t>Размер</t>
        </is>
      </c>
      <c r="B186" s="229" t="inlineStr">
        <is>
          <t>calc.html: 249 268 → 106 675 байт. Разметка и скрипт сходятся: баланс тегов ноль, ни одного обращения к несуществующему id.</t>
        </is>
      </c>
    </row>
    <row r="188">
      <c r="A188" t="inlineStr">
        <is>
          <t>ВТОРАЯ КНОПКА «ПОБЛАГОДАРИТЬ ПРОЕКТ» ПЕРЕЕХАЛА, 10.08.2026</t>
        </is>
      </c>
      <c r="B188" s="229" t="n"/>
    </row>
    <row r="189">
      <c r="A189" t="inlineStr">
        <is>
          <t>Было</t>
        </is>
      </c>
      <c r="B189" s="229" t="inlineStr">
        <is>
          <t>Стояла между блоками 04 и 05 — после таблицы налоговых режимов.</t>
        </is>
      </c>
    </row>
    <row r="190">
      <c r="A190" t="inlineStr">
        <is>
          <t>Стало</t>
        </is>
      </c>
      <c r="B190" s="229" t="inlineStr">
        <is>
          <t>Стоит между блоками 03 и 04 — сразу после программы лояльности, перед «Ваш идеальный налоговый режим».</t>
        </is>
      </c>
    </row>
    <row r="191">
      <c r="A191" t="inlineStr">
        <is>
          <t>Что изменилось в вёрстке</t>
        </is>
      </c>
      <c r="B191" s="229" t="inlineStr">
        <is>
          <t>Только положение строки .thxbar в каркасе. Разметка, классы и текст не тронуты, оформление сверка с прошлой сборкой не показала.</t>
        </is>
      </c>
    </row>
    <row r="193">
      <c r="A193" t="inlineStr">
        <is>
          <t>ШАПКА И ПОДВАЛ АНКЕТЫ ПРИВЕДЕНЫ К ОТЧЁТУ, 10.08.2026</t>
        </is>
      </c>
      <c r="B193" s="229" t="n"/>
    </row>
    <row r="194">
      <c r="A194" t="inlineStr">
        <is>
          <t>Образец</t>
        </is>
      </c>
      <c r="B194" s="229" t="inlineStr">
        <is>
          <t>report.html — самый проработанный файл. Правила скопированы дословно, сверка селекторов показала полное совпадение.</t>
        </is>
      </c>
    </row>
    <row r="195">
      <c r="A195" t="inlineStr">
        <is>
          <t>Шапка</t>
        </is>
      </c>
      <c r="B195" s="229" t="inlineStr">
        <is>
          <t>Заголовок и обе строки под ним теперь общие: rh_01, rh_02, rh_03. Ширина не ограничена, .htx без верхнего отступа, на узком экране заголовок 26 px. В анкете нет верхнего меню с кнопками, плавающей плашки, логотипа справа и строки с датой расчёта — даты в анкете быть не может, расчёта ещё нет.</t>
        </is>
      </c>
    </row>
    <row r="196">
      <c r="A196" t="inlineStr">
        <is>
          <t>Подвал</t>
        </is>
      </c>
      <c r="B196" s="229" t="inlineStr">
        <is>
          <t>Взят из отчёта целиком: знак с растянутой подписью «твоя юнит-экономика» и под ним реквизиты .fcop. Был маленький значок со словом «счётикс» в одну строку.</t>
        </is>
      </c>
    </row>
    <row r="197">
      <c r="A197" t="inlineStr">
        <is>
          <t>Что вышло из употребления</t>
        </is>
      </c>
      <c r="B197" s="229" t="inlineStr">
        <is>
          <t>Ключи h1_01, sub_01 и bt_01 больше не в вёрстке — помечены красным в 09_Тексты. Правила .brand, .lt и .lx из анкеты убраны: логотип в шапке не выводится.</t>
        </is>
      </c>
    </row>
    <row r="199">
      <c r="A199" t="inlineStr">
        <is>
          <t>ЗНАК В ШАПКЕ АНКЕТЫ ВОЗВРАЩЁН, 10.08.2026</t>
        </is>
      </c>
      <c r="B199" s="229" t="n"/>
    </row>
    <row r="200">
      <c r="A200" t="inlineStr">
        <is>
          <t>Что было не так</t>
        </is>
      </c>
      <c r="B200" s="229" t="inlineStr">
        <is>
          <t>При выравнивании шапки по отчёту знак из анкеты убрали. Он должен стоять везде и выглядеть одинаково.</t>
        </is>
      </c>
    </row>
    <row r="201">
      <c r="A201" t="inlineStr">
        <is>
          <t>Как сделано</t>
        </is>
      </c>
      <c r="B201" s="229" t="inlineStr">
        <is>
          <t>Перенесена строка .tbar из отчёта вместе со знаком .brand. Разметка знака скопирована посимвольно — совпадение полное, и в шапке, и в подвале. Правила .tbar, .brand и всех вложенных совпадают с отчётом, включая мобильный и печатный медиазапросы.</t>
        </is>
      </c>
    </row>
    <row r="202">
      <c r="A202" t="inlineStr">
        <is>
          <t>Единственное отличие</t>
        </is>
      </c>
      <c r="B202" s="229" t="inlineStr">
        <is>
          <t>В отчёте знак прижат вправо кнопками слева. В анкете кнопок нет, поэтому у .tbar добавлено justify-content:flex-end — иначе знак уехал бы к левому краю. Место, размеры, цвета и тональность те же.</t>
        </is>
      </c>
    </row>
    <row r="204">
      <c r="A204" t="inlineStr">
        <is>
          <t>ЗАПАС ПРОЧНОСТИ РАЗДЕЛЁН НА ДВА БЛОКА, 10.08.2026</t>
        </is>
      </c>
      <c r="B204" s="229" t="n"/>
    </row>
    <row r="205">
      <c r="A205" t="inlineStr">
        <is>
          <t>Было</t>
        </is>
      </c>
      <c r="B205" s="229" t="inlineStr">
        <is>
          <t>Один блок 15 «Запас прочности» с общим подзаголовком, внутри две рамки и один флажок «не учитывать этот блок в расчёте» на обе.</t>
        </is>
      </c>
    </row>
    <row r="206">
      <c r="A206" t="inlineStr">
        <is>
          <t>Стало</t>
        </is>
      </c>
      <c r="B206" s="229" t="inlineStr">
        <is>
          <t>Блок 15 «Фонд развития» и блок 16 «Запас на скидку», у каждого свой заголовок и подзаголовок. Внутри — прежняя рамка .zap со своей галочкой. Тексты блока «Запас на скидку»: «Чтобы гибко настраивать программу лояльности и не терять в доходе» и «Без запаса на скидку ваши возможности будут сильно ограничены: вы сможете давать скидки только за объём и в небольшом размере».</t>
        </is>
      </c>
    </row>
    <row r="207">
      <c r="A207" t="inlineStr">
        <is>
          <t>Флажок убран</t>
        </is>
      </c>
      <c r="B207" s="229" t="inlineStr">
        <is>
          <t>«Не учитывать этот блок в расчёте» удалён из обоих: галочка внутри рамки и так работает на включение, два переключателя об одном и том же мешали друг другу. В расчёте снята проверка EXC[Form016] — теперь fundP и discP зависят только от своих галочек.</t>
        </is>
      </c>
    </row>
    <row r="208">
      <c r="A208" t="inlineStr">
        <is>
          <t>Заливка ползунка</t>
        </is>
      </c>
      <c r="B208" s="229" t="inlineStr">
        <is>
          <t>Дорожка фонда развития слева от бегунка зеленеет. Доля считается в JS и кладётся в переменную --zp, дорожка залита линейным градиентом с жёсткой границей: слева c-g-350 → c-g-500, справа c-ln. Пока галочка снята, рядом стоит 0% и дорожка пустая — иначе цифра и полоса спорят.</t>
        </is>
      </c>
    </row>
    <row r="209">
      <c r="A209" t="inlineStr">
        <is>
          <t>Проверка расчёта</t>
        </is>
      </c>
      <c r="B209" s="229" t="inlineStr">
        <is>
          <t>Сверены все 60 полей результата до и после правки: расхождений нет, ставка та же.</t>
        </is>
      </c>
    </row>
    <row r="211">
      <c r="A211" t="inlineStr">
        <is>
          <t>КНОПКА РАСЧЁТА И ЭКРАН РАСЧЁТА, 10.08.2026</t>
        </is>
      </c>
      <c r="B211" s="229" t="n"/>
    </row>
    <row r="212">
      <c r="A212" t="inlineStr">
        <is>
          <t>Образец</t>
        </is>
      </c>
      <c r="B212" s="229" t="inlineStr">
        <is>
          <t>Кнопка «Сохранить отчёт в PDF» (.savebtn) из отчёта — на неё же равняются «Поблагодарить проект» и остальные.</t>
        </is>
      </c>
    </row>
    <row r="213">
      <c r="A213" t="inlineStr">
        <is>
          <t>Кнопка расчёта</t>
        </is>
      </c>
      <c r="B213" s="229" t="inlineStr">
        <is>
          <t>Была зелёная заливка, ширина 420, радиус 16, своя тень. Стала как в отчёте: белая, во всю колонку, высота 72, радиус блока, светлая рамка, общая тень, при наведении зелёная рамка и светло-зелёная подложка. Слева значок, как у всех кнопок отчёта.</t>
        </is>
      </c>
    </row>
    <row r="214">
      <c r="A214" t="inlineStr">
        <is>
          <t>Отступ до подвала</t>
        </is>
      </c>
      <c r="B214" s="229" t="inlineStr">
        <is>
          <t>Кнопка обёрнута в .savebar из отчёта. Снизу 56 px вместо прежних 0 — подвал со знаком и реквизитами опущен, между ними появился воздух.</t>
        </is>
      </c>
    </row>
    <row r="215">
      <c r="A215" t="inlineStr">
        <is>
          <t>Экран расчёта</t>
        </is>
      </c>
      <c r="B215" s="229" t="inlineStr">
        <is>
          <t>Карточка была 420 px по центру, стала во всю ширину колонки — 1080, как обычный блок, с теми же радиусом и тенью, отступы внутри 72.</t>
        </is>
      </c>
    </row>
    <row r="216">
      <c r="A216" t="inlineStr">
        <is>
          <t>Кольцо</t>
        </is>
      </c>
      <c r="B216" s="229" t="inlineStr">
        <is>
          <t>Было 78 px, тонкая обводка 7 и длина окружности 207. Стало 200 px, обводка 14, длина 578, заливка градиентом c-g-350 → c-g-700 (оба стопа разные). Проценты 46 px, этап 23 px. Вторым слоем — шесть точек по кругу с затухающей прозрачностью, вращаются 5,5 с; при prefers-reduced-motion вращение снято.</t>
        </is>
      </c>
    </row>
    <row r="217">
      <c r="A217" t="inlineStr">
        <is>
          <t>Проверено</t>
        </is>
      </c>
      <c r="B217" s="229" t="inlineStr">
        <is>
          <t>Кольцо проходит полный круг: dashoffset идёт от 578 до нуля. На узком экране кольцо 150 px, проценты 34 px.</t>
        </is>
      </c>
    </row>
    <row r="219">
      <c r="A219" t="inlineStr">
        <is>
          <t>ИСХОДНАЯ ВЁРСТКА БЛОКА 03 СОХРАНЕНА, 10.08.2026</t>
        </is>
      </c>
      <c r="B219" s="229" t="n"/>
    </row>
    <row r="220">
      <c r="A220" t="inlineStr">
        <is>
          <t>Где лежит</t>
        </is>
      </c>
      <c r="B220" s="229" t="inlineStr">
        <is>
          <t>_архив/исходники/03_блок_скидок_исходный_2026-08-10.html — 223 683 байта. Заведена новая папка «исходники», её назначение описано в КАК_УСТРОЕН_АРХИВ.txt.</t>
        </is>
      </c>
    </row>
    <row r="221">
      <c r="A221" t="inlineStr">
        <is>
          <t>Почему не в «части»</t>
        </is>
      </c>
      <c r="B221" s="229" t="inlineStr">
        <is>
          <t>В «части» лежат рабочие файлы: собрать.py и блок.py берут оттуда разметку между метками БЛОК-НАЧАЛО и БЛОК-КОНЕЦ. Присланный файл — не рабочий, а справочный, у него те же метки и тот же id card06. Оставь его рядом — и однажды он подменит собой текущий блок при сборке.</t>
        </is>
      </c>
    </row>
    <row r="222">
      <c r="A222" t="inlineStr">
        <is>
          <t>Чем отличается от текущего</t>
        </is>
      </c>
      <c r="B222" s="229" t="inlineStr">
        <is>
          <t>Разметка блока: было 1 205 байт, стало 4 873. В исходном нет трёх подблоков «Скидка за объём», «Скидка постоянному клиенту» и «Специальные предложения» — есть только карта скидок и вставка про накладные. Нет ключей rgn_10 … rgn_14, нет id dst, loy, spc, fnd, pgb1-3. Строка-статус была статичной разметкой .dst с двумя вариантами текста, теперь её собирает скрипт.</t>
        </is>
      </c>
    </row>
    <row r="223">
      <c r="A223" t="inlineStr">
        <is>
          <t>Что в нём есть полезного</t>
        </is>
      </c>
      <c r="B223" s="229" t="inlineStr">
        <is>
          <t>49 правил, которых нет в текущем файле: .idc и .idg (карточки), .lad со ступенями, .loyc с подложками, .fnd .fg и .fnf (фонд), .ftop, .mkh. Пригодятся при переносе правок.</t>
        </is>
      </c>
    </row>
    <row r="225">
      <c r="A225" t="inlineStr">
        <is>
          <t>КНОПКА РАСЧЁТА — ЗЕЛЁНАЯ СО ЗНАКОМ, 10.08.2026</t>
        </is>
      </c>
      <c r="B225" s="229" t="n"/>
    </row>
    <row r="226">
      <c r="A226" t="inlineStr">
        <is>
          <t>Что осталось от кнопок отчёта</t>
        </is>
      </c>
      <c r="B226" s="229" t="inlineStr">
        <is>
          <t>Форма и размеры: во всю колонку, высота 72, радиус блока, размер и насыщенность надписи, значок слева.</t>
        </is>
      </c>
    </row>
    <row r="227">
      <c r="A227" t="inlineStr">
        <is>
          <t>Что своё</t>
        </is>
      </c>
      <c r="B227" s="229" t="inlineStr">
        <is>
          <t>Заливка. Это главное действие анкеты, поэтому зелёный градиент шапки отчёта c-g-800 → c-g-500, белая надпись, зелёная тень. При наведении градиент темнеет до c-g-900 → c-g-600, при нажатии утапливается.</t>
        </is>
      </c>
    </row>
    <row r="228">
      <c r="A228" t="inlineStr">
        <is>
          <t>Фоновый знак</t>
        </is>
      </c>
      <c r="B228" s="229" t="inlineStr">
        <is>
          <t>Два ромба «Счётикс» лежат фоном внутри кнопки: крупный слева заходит за край, поменьше справа. Приём и прозрачности взяты у .hdeco — фонового знака в шапке отчёта: .07 и .09. Надпись и значок лежат выше по слою, знак им не мешает.</t>
        </is>
      </c>
    </row>
    <row r="229">
      <c r="A229" t="inlineStr">
        <is>
          <t>Читаемость</t>
        </is>
      </c>
      <c r="B229" s="229" t="inlineStr">
        <is>
          <t>Белый текст на тёмно-зелёном градиенте — та же пара, что в шапке отчёта и на баннере .cta.</t>
        </is>
      </c>
    </row>
    <row r="230">
      <c r="A230" t="inlineStr">
        <is>
          <t>БЛОКИРУЮЩИЕ ФЛАЖКИ — КРАСНЫЕ, 10.08.2026</t>
        </is>
      </c>
      <c r="B230" s="229" t="n"/>
    </row>
    <row r="231">
      <c r="A231" t="inlineStr">
        <is>
          <t>Почему</t>
        </is>
      </c>
      <c r="B231" s="229" t="inlineStr">
        <is>
          <t>«Не учитывать этот блок в расчёте» выключает часть расчёта. Это не правильный выбор, а изъятие — зелёный галочкой сбивал с толку.</t>
        </is>
      </c>
    </row>
    <row r="232">
      <c r="A232" t="inlineStr">
        <is>
          <t>Что сделано</t>
        </is>
      </c>
      <c r="B232" s="229" t="inlineStr">
        <is>
          <t>У .exc галочка красная, c-r-500. Пока флажок стоит, подпись тоже красная, c-r-700, и полужирная — сразу видно, какие блоки изъяты. Галочки .flag внутри карточек не тронуты: они работают на включение и остаются зелёными. У всех исключённых карточек фон остаётся без изменений; только содержимое приглушается до opacity 0,65. Нижняя строка с активной галочкой остаётся полностью контрастной. Жёлтое предупреждение налогового блока при этом не приглушается.</t>
        </is>
      </c>
    </row>
    <row r="234">
      <c r="A234" t="inlineStr">
        <is>
          <t>СТРАНИЦА ВХОДА index.html, 10.08.2026</t>
        </is>
      </c>
      <c r="B234" s="229" t="n"/>
    </row>
    <row r="235">
      <c r="A235" t="inlineStr">
        <is>
          <t>Что это</t>
        </is>
      </c>
      <c r="B235" s="229" t="inlineStr">
        <is>
          <t>Четвёртый файл продукта. Первое, что видит человек: один экран без прокрутки — заголовок, три пользы, кнопка. Дальше он проваливается в анкету.</t>
        </is>
      </c>
    </row>
    <row r="236">
      <c r="A236" t="inlineStr">
        <is>
          <t>Устройство</t>
        </is>
      </c>
      <c r="B236" s="229" t="inlineStr">
        <is>
          <t>Строка со знаком сверху, тёмно-зелёное полотно во весь оставшийся рост, подвал снизу. Полотно — заливка шапки отчёта, развёрнутая по диагонали, плюс четыре фоновых ромба с прозрачностями .06–.10, приём .hdeco из отчёта.</t>
        </is>
      </c>
    </row>
    <row r="237">
      <c r="A237" t="inlineStr">
        <is>
          <t>Кнопка</t>
        </is>
      </c>
      <c r="B237" s="229" t="inlineStr">
        <is>
          <t>Форма от кнопок отчёта: высота 72, радиус блока, значок слева. Здесь белая на зелёном — обратная пара к кнопке анкеты. Значок тот же, что на «Рассчитать стоимость часа».</t>
        </is>
      </c>
    </row>
    <row r="238">
      <c r="A238" t="inlineStr">
        <is>
          <t>Тексты</t>
        </is>
      </c>
      <c r="B238" s="229" t="inlineStr">
        <is>
          <t>Три пользы дословно из блока оплаты: «Детальный график на месяц», «Скидки за объём», «Минимальная цена часа». Заголовок и подводка новые. Ключи wh_01, wl_01, wk_01, wa_01-03, wax_01-03, wu_01 — в 09_Тексты пока не заведены.</t>
        </is>
      </c>
    </row>
    <row r="239">
      <c r="A239" t="inlineStr">
        <is>
          <t>Реферальная ссылка</t>
        </is>
      </c>
      <c r="B239" s="229" t="inlineStr">
        <is>
          <t>Метка приходит на index.html и переносится в анкету целиком: строка запроса подставляется в обе ссылки. Без этого цена по реферальной ссылке в блоке оплаты не сработала бы — там isRef() читает ref, utm_source и from.</t>
        </is>
      </c>
    </row>
    <row r="240">
      <c r="A240" t="inlineStr">
        <is>
          <t>Пропуск</t>
        </is>
      </c>
      <c r="B240" s="229" t="inlineStr">
        <is>
          <t>Два пути. Ссылка «Пропустить и считать» слева вверху — разовый обход, метку не ставит. Кнопка «Рассчитать» ставит phc_seen: кто уже начинал, при следующем заходе попадает сразу в анкету. Метка ставится по нажатию, а не при загрузке, иначе закрывший вкладку человек больше не увидел бы страницу. Показ можно навязать: index.html?hello=1.</t>
        </is>
      </c>
    </row>
    <row r="241">
      <c r="A241" t="inlineStr">
        <is>
          <t>Проверено</t>
        </is>
      </c>
      <c r="B241" s="229" t="inlineStr">
        <is>
          <t>Скобки, переменные, медиазапросы, дубли — чисто. Все цвета из палитры. Метка ?ref=blog&amp;utm_source=vk доходит до анкеты, phc_seen ставится по нажатию.</t>
        </is>
      </c>
    </row>
    <row r="243">
      <c r="A243" t="inlineStr">
        <is>
          <t>ПЕРЕСБОРКА БЛОКОВ АНКЕТЫ, 10.08.2026</t>
        </is>
      </c>
      <c r="B243" s="229" t="n"/>
    </row>
    <row r="244">
      <c r="A244" t="inlineStr">
        <is>
          <t>Блоков было 16, стало 16</t>
        </is>
      </c>
      <c r="B244" s="229" t="inlineStr">
        <is>
          <t>Порядок: 01 доход · 02 налоговый режим · 03 текущая ставка · 04 как устроена работа · 05-13 расходы · 14 форс-мажоры · 15 фонд развития · 16 запас на скидку.</t>
        </is>
      </c>
    </row>
    <row r="245">
      <c r="A245" t="inlineStr">
        <is>
          <t>Налоговый режим</t>
        </is>
      </c>
      <c r="B245" s="229" t="inlineStr">
        <is>
          <t>Блок 02 назывался «Режим и текущая ставка» — вопрос про ставку из него убран, осталось только про режим. Заголовок переименован, ключ h2_02 в книге поправлен.</t>
        </is>
      </c>
    </row>
    <row r="246">
      <c r="A246" t="inlineStr">
        <is>
          <t>Текущая ставка</t>
        </is>
      </c>
      <c r="B246" s="229" t="inlineStr">
        <is>
          <t>Блок 03 «Ваша текущая ставка» получил подзаголовок: «Увидите, сколько вы зарабатываете сейчас, и сравните с желаемым доходом.» Поле current_rate и расчёт не изменены.</t>
        </is>
      </c>
    </row>
    <row r="247">
      <c r="A247" t="inlineStr">
        <is>
          <t>Блоки 04 и 05 объединены</t>
        </is>
      </c>
      <c r="B247" s="229" t="inlineStr">
        <is>
          <t>Один блок «Как устроена ваша работа». Внутри две группы с нумерованными кружками: 1 «Сама съёмка» — минимальная длительность и кадры с часа; 2 «Работа вокруг съёмки» — обработка, общение, продвижение. Между группами воздух 30 px и тонкая черта.</t>
        </is>
      </c>
    </row>
    <row r="248">
      <c r="A248" t="inlineStr">
        <is>
          <t>Образец для групп</t>
        </is>
      </c>
      <c r="B248" s="229" t="inlineStr">
        <is>
          <t>.pgh и .pgd из блока 03 отчёта — те же кружок 30 px с градиентом, размер заголовка 17 px и подпись 13,5 px. Классы в анкете названы .grh, .grd, .grp — имена проверены, свободны. Второй кружок в синей гамме, чтобы группы различались.</t>
        </is>
      </c>
    </row>
    <row r="249">
      <c r="A249" t="inlineStr">
        <is>
          <t>Резерв на форс-мажоры</t>
        </is>
      </c>
      <c r="B249" s="229" t="inlineStr">
        <is>
          <t>Был вопросом внутри блока 04, стал блоком 14 — оформлен как «Фонд развития»: рамка .zap с галочкой, ползунок 0-30 с заливкой дорожки и крупной цифрой. Гамма третьей рамки синяя: c-b-250 рамка, c-b-300 → c-b-600 дорожка, c-b-700 цифра.</t>
        </is>
      </c>
    </row>
    <row r="250">
      <c r="A250" t="inlineStr">
        <is>
          <t>Что в скрипте</t>
        </is>
      </c>
      <c r="B250" s="229" t="inlineStr">
        <is>
          <t>Отдельный обработчик $(fm_on).onchange убран — форс-мажор пошёл через общий зап(), тот же, что у фонда. Логика расчёта не тронута.</t>
        </is>
      </c>
    </row>
    <row r="251">
      <c r="A251" t="inlineStr">
        <is>
          <t>Проверено</t>
        </is>
      </c>
      <c r="B251" s="229" t="inlineStr">
        <is>
          <t>Сверены 60 полей результата до и после: расхождений нет, ставка та же. Резерв влияет: при 20% ставка растёт с 9 874 до 12 342. Заливка дорожки: 0% пусто, 5% → 16,7%, 12% → 40%.</t>
        </is>
      </c>
    </row>
    <row r="253">
      <c r="A253" t="inlineStr">
        <is>
          <t>СТРАНИЦА ВХОДА ПЕРЕСОБРАНА, 10.08.2026</t>
        </is>
      </c>
      <c r="B253" s="229" t="n"/>
    </row>
    <row r="254">
      <c r="A254" t="inlineStr">
        <is>
          <t>Полотно</t>
        </is>
      </c>
      <c r="B254" s="229" t="inlineStr">
        <is>
          <t>Градиент лежит на всей странице, не на карточке: c-g-900 → c-g-800 → c-g-600 → c-g-500 по диагонали 150°. На html и body тот же тёмный тон, чтобы на длинном экране не было белых краёв. Шапки, строки со знаком и ссылки «Пропустить» больше нет — по краям пусто.</t>
        </is>
      </c>
    </row>
    <row r="255">
      <c r="A255" t="inlineStr">
        <is>
          <t>Знак</t>
        </is>
      </c>
      <c r="B255" s="229" t="inlineStr">
        <is>
          <t>Крупный, по центру, столбиком: ромб 104 px, под ним слово 40 px и растянутая подпись «твоя юнит-экономика». Пропорции те же, что в шапке отчёта. Одна грань ромба светло-зелёная c-g-350, остальные белые — на тёмном фоне читается так же, как зелёная на светлом.</t>
        </is>
      </c>
    </row>
    <row r="256">
      <c r="A256" t="inlineStr">
        <is>
          <t>Для кого</t>
        </is>
      </c>
      <c r="B256" s="229" t="inlineStr">
        <is>
          <t>Ниже знака «Юнит-экономика для фотографа», вторая строка светло-зелёная. Под ней — «Создано фотографами для фотографов на основе реального опыта» и вторая фраза из шапки отчёта, слитые в один абзац.</t>
        </is>
      </c>
    </row>
    <row r="257">
      <c r="A257" t="inlineStr">
        <is>
          <t>Кнопка</t>
        </is>
      </c>
      <c r="B257" s="229" t="inlineStr">
        <is>
          <t>«Просчитать юнит-экономику». Прозрачная, в белой рамке 2 px; при наведении заливается белым, надпись становится тёмно-зелёной. Высота 72 и радиус блока — как у кнопок отчёта. Под кнопкой строка «Бесплатно, без регистрации. Двадцать вопросов, пять минут».</t>
        </is>
      </c>
    </row>
    <row r="258">
      <c r="A258" t="inlineStr">
        <is>
          <t>Шесть плашек</t>
        </is>
      </c>
      <c r="B258" s="229" t="inlineStr">
        <is>
          <t>Стоимость часа · налоговый режим · скидки · неделя по часам · минимальная цена · цифры для прайса. Подложка светлее полотна: полупрозрачная белая заливка с двумя разными стопами и светлая грань. Значок в кружке, светло-зелёный. Три в ряд, на планшете два, на телефоне один.</t>
        </is>
      </c>
    </row>
    <row r="259">
      <c r="A259" t="inlineStr">
        <is>
          <t>Реквизиты</t>
        </is>
      </c>
      <c r="B259" s="229" t="inlineStr">
        <is>
          <t>«ООО «Центр маркетинговых услуг Гет Маркетинг» © 2026» прижаты к низу экрана, приглушённые. Больше в подвале ничего нет.</t>
        </is>
      </c>
    </row>
    <row r="260">
      <c r="A260" t="inlineStr">
        <is>
          <t>Что осталось от прошлой версии</t>
        </is>
      </c>
      <c r="B260" s="229" t="inlineStr">
        <is>
          <t>Перенос реферальной метки в анкету и память о визите phc_seen. Ссылки «Пропустить» больше нет — обход остался только через phc_seen и index.html?hello=1.</t>
        </is>
      </c>
    </row>
    <row r="261">
      <c r="A261" t="inlineStr">
        <is>
          <t>Проверено</t>
        </is>
      </c>
      <c r="B261" s="229" t="inlineStr">
        <is>
          <t>Скобки, переменные, медиазапросы, дубли — чисто. Баланс тегов ноль. Метка ?ref=blog доходит до анкеты, phc_seen ставится по нажатию.</t>
        </is>
      </c>
    </row>
    <row r="263">
      <c r="A263" t="inlineStr">
        <is>
          <t>КНОПКА ВОЗВРАТА К ЗНАЧЕНИЯМ ПО УМОЛЧАНИЮ, 10.08.2026</t>
        </is>
      </c>
      <c r="B263" s="229" t="n"/>
    </row>
    <row r="264">
      <c r="A264" t="inlineStr">
        <is>
          <t>Надпись</t>
        </is>
      </c>
      <c r="B264" s="229" t="inlineStr">
        <is>
          <t>Локальная подсказка у иконки отката: «Вернуть значение по умолчанию». Общая кнопка всей анкеты сохраняет множественное число, поскольку возвращает сразу все поля.</t>
        </is>
      </c>
    </row>
    <row r="265">
      <c r="A265" t="inlineStr">
        <is>
          <t>Оформление</t>
        </is>
      </c>
      <c r="B265" s="229" t="inlineStr">
        <is>
          <t>Класс .btn.wh: белая, рамка 1,5 px, при наведении зелёная рамка и светло-зелёная подложка — форма от кнопок отчёта. Та же величина, что у зелёной: во всю колонку, высота 72, радиус блока. Стоит под ней, отступ 12 px. Фоновые ромбы зелёной кнопки в белой скрыты.</t>
        </is>
      </c>
    </row>
    <row r="266">
      <c r="A266" t="inlineStr">
        <is>
          <t>Подтверждение</t>
        </is>
      </c>
      <c r="B266" s="229" t="inlineStr">
        <is>
          <t>Действие стирает всё введённое, поэтому спрашиваем — но не системным окном, а самой кнопкой: первое нажатие красит её в красный и меняет надпись на «Всё введённое будет стёрто — нажмите ещё раз», второе выполняет. Через пять секунд вопрос снимается сам. После возврата кнопка зеленеет с надписью «Значения возвращены» и через две секунды возвращается к обычному виду.</t>
        </is>
      </c>
    </row>
    <row r="267">
      <c r="A267" t="inlineStr">
        <is>
          <t>Что именно возвращается</t>
        </is>
      </c>
      <c r="B267" s="229" t="inlineStr">
        <is>
          <t>Все поля и галочки — из снимка, снятого при загрузке уже после того, как таблицы расходов заполнены строками из CAT. Таблицы пересобираются заново: добавленные строки уходят, удалённые возвращаются. Восстанавливаются и состояния, которые ведёт скрипт: подсветка выбора, скрытые подблоки рабочего места, сайта и бухгалтерии, рамки запасов, ползунки и заливка их дорожек.</t>
        </is>
      </c>
    </row>
    <row r="268">
      <c r="A268" t="inlineStr">
        <is>
          <t>Память</t>
        </is>
      </c>
      <c r="B268" s="229" t="inlineStr">
        <is>
          <t>Стираются phc_state и phc_report — иначе отчёт открылся бы со старыми цифрами.</t>
        </is>
      </c>
    </row>
    <row r="269">
      <c r="A269" t="inlineStr">
        <is>
          <t>Проверено</t>
        </is>
      </c>
      <c r="B269" s="229" t="inlineStr">
        <is>
          <t>Испортили поля, галочки, режимы, добавили и удалили строки таблиц — после возврата состояние совпало с исходным посимвольно, число строк тоже. Расчёт после возврата сошёлся с первоначальным: 60 полей, ноль расхождений, ставка та же.</t>
        </is>
      </c>
    </row>
    <row r="271">
      <c r="A271" t="inlineStr">
        <is>
          <t>ПЕРВЫЙ ЭКРАН ВХОДА — ЗНАК-КНОПКА, 10.08.2026</t>
        </is>
      </c>
      <c r="B271" s="229" t="n"/>
    </row>
    <row r="272">
      <c r="A272" t="inlineStr">
        <is>
          <t>Знак</t>
        </is>
      </c>
      <c r="B272" s="229" t="inlineStr">
        <is>
          <t>Во весь первый экран: ромб от 150 до 300 px, слово «счётикс» до 104 px. Размеры вяжутся к высоте окна через clamp и vh, а не к ширине — иначе на ноутбуке знак не влезал бы в экран.</t>
        </is>
      </c>
    </row>
    <row r="273">
      <c r="A273" t="inlineStr">
        <is>
          <t>Подпись знака</t>
        </is>
      </c>
      <c r="B273" s="229" t="inlineStr">
        <is>
          <t>Вместо «твоя юнит-экономика» — «юнит-экономика для фотографа», растянута ровно по ширине слова тем же приёмом, что в шапке отчёта. Отдельного заголовка «для фотографа» больше нет: он ушёл в подпись знака. Ключ bt_03 — в 09_Тексты не заведён.</t>
        </is>
      </c>
    </row>
    <row r="274">
      <c r="A274" t="inlineStr">
        <is>
          <t>Вся рамка — одна кнопка</t>
        </is>
      </c>
      <c r="B274" s="229" t="inlineStr">
        <is>
          <t>Первый экран это тег A с рамкой 2 px и радиусом 34. Внутри знак, строка «Создано фотографами…» и приглашение «Перейти к расчёту» со стрелкой. Нажатие в любом месте рамки ведёт в анкету. При наведении рамка светлеет, появляется подложка и тень, стрелка отъезжает вправо.</t>
        </is>
      </c>
    </row>
    <row r="275">
      <c r="A275" t="inlineStr">
        <is>
          <t>Отдельной кнопки нет</t>
        </is>
      </c>
      <c r="B275" s="229" t="inlineStr">
        <is>
          <t>Прежняя .cta убрана. Приглашение внутри рамки не кнопка, а надпись с подчёркиванием — иначе кнопка в кнопке.</t>
        </is>
      </c>
    </row>
    <row r="276">
      <c r="A276" t="inlineStr">
        <is>
          <t>Плашки</t>
        </is>
      </c>
      <c r="B276" s="229" t="inlineStr">
        <is>
          <t>Спущены под первый экран: рамка занимает высоту окна минус 150 px, поэтому плашки видно только после прокрутки — знаку дан воздух. Стали крупными и почти квадратными: минимум 230 px высоты, значок 58 px в кружке 16, заголовок 21 px. Три в ряд на десктопе, две на планшете, одна на телефоне. Плашки вне рамки — не кликаются, как вы и сказали.</t>
        </is>
      </c>
    </row>
    <row r="277">
      <c r="A277" t="inlineStr">
        <is>
          <t>Проверено</t>
        </is>
      </c>
      <c r="B277" s="229" t="inlineStr">
        <is>
          <t>Скобки, переменные, медиазапросы, дубли — чисто. Вложенных ссылок внутри рамки нет. Метка ?ref=blog доходит до анкеты, phc_seen ставится по нажатию.</t>
        </is>
      </c>
    </row>
    <row r="279">
      <c r="A279" t="inlineStr">
        <is>
          <t>ГЛАВНАЯ МЫСЛЬ НА СТРАНИЦЕ ВХОДА, 10.08.2026</t>
        </is>
      </c>
      <c r="B279" s="229" t="n"/>
    </row>
    <row r="280">
      <c r="A280" t="inlineStr">
        <is>
          <t>Что сделано</t>
        </is>
      </c>
      <c r="B280" s="229" t="inlineStr">
        <is>
          <t>«Быть независимым автором не значит работать больше, чем в найме, и постоянно уходить в минус» вынесена отдельной строкой между первым экраном и плашками. Класс .creed, ключ wc_01.</t>
        </is>
      </c>
    </row>
    <row r="281">
      <c r="A281" t="inlineStr">
        <is>
          <t>Оформление</t>
        </is>
      </c>
      <c r="B281" s="229" t="inlineStr">
        <is>
          <t>Крупный текст прямо по полотну: ни подложки, ни рамки, ни знака. Размер от 26 до 48 px, привязан к ширине окна. Ширина 1180 — как у плашек, но текст стоит один, поэтому читается шире их. По центру, полужирный, плотный межбуквенный.</t>
        </is>
      </c>
    </row>
    <row r="282">
      <c r="A282" t="inlineStr">
        <is>
          <t>Что изменилось рядом</t>
        </is>
      </c>
      <c r="B282" s="229" t="inlineStr">
        <is>
          <t>Фраза была вторым предложением в абзаце .made внутри рамки. Там осталось только «Создано фотографами для фотографов на основе реального опыта» — без точки, это подпись, а не предложение. Отступ плашек теперь считается от фразы, а не от первого экрана.</t>
        </is>
      </c>
    </row>
    <row r="283">
      <c r="A283" t="inlineStr">
        <is>
          <t>Порядок на странице</t>
        </is>
      </c>
      <c r="B283" s="229" t="inlineStr">
        <is>
          <t>Рамка-кнопка → главная мысль → шесть плашек → реквизиты. Фраза вне рамки, значит не кликается — нажимается только первый экран.</t>
        </is>
      </c>
    </row>
    <row r="285">
      <c r="A285" t="inlineStr">
        <is>
          <t>ПРАВКИ НА СТРАНИЦЕ ВХОДА, 10.08.2026</t>
        </is>
      </c>
      <c r="B285" s="229" t="n"/>
    </row>
    <row r="286">
      <c r="A286" t="inlineStr">
        <is>
          <t>Пятое преимущество</t>
        </is>
      </c>
      <c r="B286" s="229" t="inlineStr">
        <is>
          <t>«Минимальная цена часа» → «Точка безубыточности». Подпись переписана, иначе термин стоял бы дважды: «Цена часа, ниже которой вы работаете себе в убыток — спокойный ответ на просьбу о скидке».</t>
        </is>
      </c>
    </row>
    <row r="287">
      <c r="A287" t="inlineStr">
        <is>
          <t>Подчёркивание убрано</t>
        </is>
      </c>
      <c r="B287" s="229" t="inlineStr">
        <is>
          <t>У «Перейти к расчёту» снята нижняя рамка. Осталась стрелка: при наведении на первый экран она отъезжает вправо — этого хватает, чтобы понять, что экран нажимается.</t>
        </is>
      </c>
    </row>
    <row r="288">
      <c r="A288" t="inlineStr">
        <is>
          <t>Строка убрана</t>
        </is>
      </c>
      <c r="B288" s="229" t="inlineStr">
        <is>
          <t>«Бесплатно, без регистрации. Двадцать вопросов, пять минут» удалена вместе с правилом .undr. Ключ wu_01 больше не используется.</t>
        </is>
      </c>
    </row>
    <row r="289">
      <c r="A289" t="inlineStr">
        <is>
          <t>Заголовок над плашками</t>
        </is>
      </c>
      <c r="B289" s="229" t="inlineStr">
        <is>
          <t>«Что вы получите в отчёте», класс .advh, ключ wah_01. Тише главной мысли и крупнее плашек: 20–30 px, приглушённо-белый. Отступ плашек ужат, потому что теперь они идут от заголовка, а не от главной мысли.</t>
        </is>
      </c>
    </row>
    <row r="290">
      <c r="A290" t="inlineStr">
        <is>
          <t>Порядок на странице</t>
        </is>
      </c>
      <c r="B290" s="229" t="inlineStr">
        <is>
          <t>Рамка-кнопка → главная мысль → заголовок → шесть плашек → реквизиты.</t>
        </is>
      </c>
    </row>
    <row r="292">
      <c r="A292" t="inlineStr">
        <is>
          <t>ПОДВАЛ И РАЗМЕР ЗНАКА НА ВХОДЕ, 10.08.2026</t>
        </is>
      </c>
      <c r="B292" s="229" t="n"/>
    </row>
    <row r="293">
      <c r="A293" t="inlineStr">
        <is>
          <t>Подвал</t>
        </is>
      </c>
      <c r="B293" s="229" t="inlineStr">
        <is>
          <t>Был только строкой реквизитов. Стал таким же, как в анкете и отчёте: знак с растянутой подписью «твоя юнит-экономика», под ним ООО. Геометрия скопирована дословно — .lgs, .btx, .bd i, .lx совпадают с анкетой посимвольно.</t>
        </is>
      </c>
    </row>
    <row r="294">
      <c r="A294" t="inlineStr">
        <is>
          <t>Отличие только в цвете</t>
        </is>
      </c>
      <c r="B294" s="229" t="inlineStr">
        <is>
          <t>На тёмном полотне серый c-gr2 и c-gr3 не читаются. Слово белое с прозрачностью .82, подпись и реквизиты .45, грани ромба .62, одна грань светло-зелёная c-g-350 — как в самом знаке наверху.</t>
        </is>
      </c>
    </row>
    <row r="295">
      <c r="A295" t="inlineStr">
        <is>
          <t>Знак наверху крупнее</t>
        </is>
      </c>
      <c r="B295" s="229" t="inlineStr">
        <is>
          <t>Ромб был 150–300 px, стал 170–370. Слово было 52–104 px, стало 58–126. Подпись 11–15 → 12–18. На телефоне ромб 140–200, слово 44–70.</t>
        </is>
      </c>
    </row>
    <row r="296">
      <c r="A296" t="inlineStr">
        <is>
          <t>Больше воздуха</t>
        </is>
      </c>
      <c r="B296" s="229" t="inlineStr">
        <is>
          <t>Внутренние поля рамки были 28–64 px, стали 48–104 сверху и снизу и 32–72 по краям. Промежуток между знаком, строкой и приглашением 24–44 → 34–66. Между ромбом и словом 14–26 → 20–40. Сама рамка занимает высоту окна минус 120 px вместо 150 — за счёт этого знак дышит, а плашки по-прежнему уходят под сгиб.</t>
        </is>
      </c>
    </row>
    <row r="297">
      <c r="A297" t="inlineStr">
        <is>
          <t>Проверено</t>
        </is>
      </c>
      <c r="B297" s="229" t="inlineStr">
        <is>
          <t>Скобки, переменные, медиазапросы, дубли — чисто. Подвал вне кликабельной рамки: нажимается только первый экран.</t>
        </is>
      </c>
    </row>
    <row r="299">
      <c r="A299" t="inlineStr">
        <is>
          <t>ТОЧКИ ИЗ АНИМАЦИИ РАСЧЁТА УБРАНЫ, 10.08.2026</t>
        </is>
      </c>
      <c r="B299" s="229" t="n"/>
    </row>
    <row r="300">
      <c r="A300" t="inlineStr">
        <is>
          <t>Что убрано</t>
        </is>
      </c>
      <c r="B300" s="229" t="inlineStr">
        <is>
          <t>Второй слой .dots — шесть кружков по кругу с затухающей прозрачностью, вращались 5,5 с. Выглядели по-детски. Удалены разметка, правила .spin .dots и .spin .dots circle, кадры phcspin и правило prefers-reduced-motion, которое ими управляло — без точек ему нечего было выключать.</t>
        </is>
      </c>
    </row>
    <row r="301">
      <c r="A301" t="inlineStr">
        <is>
          <t>Что осталось</t>
        </is>
      </c>
      <c r="B301" s="229" t="inlineStr">
        <is>
          <t>Кольцо 200 px: серая дорожка и заливка градиентом c-g-350 → c-g-700, крупные проценты в центре, название этапа и подпись под ним. Ход кольца от 578 до нуля не тронут.</t>
        </is>
      </c>
    </row>
    <row r="302">
      <c r="A302" t="inlineStr">
        <is>
          <t>Проверено</t>
        </is>
      </c>
      <c r="B302" s="229" t="inlineStr">
        <is>
          <t>В кольце ровно два круга — фон и заливка. Ни одного следа dots и phcspin в файле. Расчёт идёт, проценты и этапы сменяются, кольцо доходит до конца.</t>
        </is>
      </c>
    </row>
    <row r="304">
      <c r="A304" t="inlineStr">
        <is>
          <t>ШЕСТОЕ ПРЕИМУЩЕСТВО ЗАМЕНЕНО, 10.08.2026</t>
        </is>
      </c>
      <c r="B304" s="229" t="n"/>
    </row>
    <row r="305">
      <c r="A305" t="inlineStr">
        <is>
          <t>Было</t>
        </is>
      </c>
      <c r="B305" s="229" t="inlineStr">
        <is>
          <t>«Готовые цифры для прайса» — это не польза для человека, а описание формата выдачи.</t>
        </is>
      </c>
    </row>
    <row r="306">
      <c r="A306" t="inlineStr">
        <is>
          <t>Стало</t>
        </is>
      </c>
      <c r="B306" s="229" t="inlineStr">
        <is>
          <t>«Как распределяется ваше время» — заголовок блока 02 отчёта. Значок заменён на круговую диаграмму с выделенным сектором, вместо прежнего листа с таблицей.</t>
        </is>
      </c>
    </row>
    <row r="307">
      <c r="A307" t="inlineStr">
        <is>
          <t>Развели с четвёртой плашкой</t>
        </is>
      </c>
      <c r="B307" s="229" t="inlineStr">
        <is>
          <t>Четвёртая «Ваша неделя по часам» — про сетку пяти дней и остаётся ли время на жизнь. Шестая — про раскладку по видам работ: «Сколько часов уходит на съёмку, обработку, переговоры и продвижение — и за что вам платят на самом деле». Темы соседние, поэтому подписи разведены явно: одна про календарь, другая про роли.</t>
        </is>
      </c>
    </row>
    <row r="308">
      <c r="A308" t="inlineStr">
        <is>
          <t>Проверено</t>
        </is>
      </c>
      <c r="B308" s="229" t="inlineStr">
        <is>
          <t>Шесть плашек, тексты на местах, баланс тегов ноль, проверка вёрстки чистая.</t>
        </is>
      </c>
    </row>
    <row r="310">
      <c r="A310" t="inlineStr">
        <is>
          <t>ЧЕТВЁРТОЕ ПРЕИМУЩЕСТВО ЗАМЕНЕНО, 10.08.2026</t>
        </is>
      </c>
      <c r="B310" s="229" t="n"/>
    </row>
    <row r="311">
      <c r="A311" t="inlineStr">
        <is>
          <t>Было</t>
        </is>
      </c>
      <c r="B311" s="229" t="inlineStr">
        <is>
          <t>«Ваша неделя по часам» — сетка пяти дней. Пересекалась с шестой плашкой про распределение времени.</t>
        </is>
      </c>
    </row>
    <row r="312">
      <c r="A312" t="inlineStr">
        <is>
          <t>Стало</t>
        </is>
      </c>
      <c r="B312" s="229" t="inlineStr">
        <is>
          <t>«Куда уходит каждый рубль клиента» — главная диаграмма отчёта, блок 01. Подпись: «Подробная разбивка часа: сколько заберут техника, реклама, аренда и налоги, а сколько останется вам».</t>
        </is>
      </c>
    </row>
    <row r="313">
      <c r="A313" t="inlineStr">
        <is>
          <t>Итоговый набор</t>
        </is>
      </c>
      <c r="B313" s="229" t="inlineStr">
        <is>
          <t>Стоимость часа · налоговый режим · скидки · разбивка рубля · точка безубыточности · распределение времени. Дублей нет: четвёртая про деньги, шестая про часы.</t>
        </is>
      </c>
    </row>
    <row r="314">
      <c r="A314" t="inlineStr">
        <is>
          <t>Значки развели</t>
        </is>
      </c>
      <c r="B314" s="229" t="inlineStr">
        <is>
          <t>Четвёртая получила кольцо с секторами разной насыщенности — как диаграмма блока 01. Шестая была тоже круговой диаграммой, стала циферблатом со стрелками: рядом стоящие плашки не должны выглядеть одинаково.</t>
        </is>
      </c>
    </row>
    <row r="315">
      <c r="A315" t="inlineStr">
        <is>
          <t>Проверено</t>
        </is>
      </c>
      <c r="B315" s="229" t="inlineStr">
        <is>
          <t>Шесть плашек, тексты на местах, баланс тегов ноль, проверка вёрстки чистая.</t>
        </is>
      </c>
    </row>
    <row r="317">
      <c r="A317" t="inlineStr">
        <is>
          <t>ВЕРХНИЙ ФОНОВЫЙ РИСУНОК НА ВХОДЕ, 10.08.2026</t>
        </is>
      </c>
      <c r="B317" s="229" t="n"/>
    </row>
    <row r="318">
      <c r="A318" t="inlineStr">
        <is>
          <t>Что сделано</t>
        </is>
      </c>
      <c r="B318" s="229" t="inlineStr">
        <is>
          <t>Верхний левый ромб .d1 заменён на фотоаппарат. Контур взят у .h2i — фонового значка в шапке отчёта, добавлена точка видоискателя.</t>
        </is>
      </c>
    </row>
    <row r="319">
      <c r="A319" t="inlineStr">
        <is>
          <t>Почему другие размеры</t>
        </is>
      </c>
      <c r="B319" s="229" t="inlineStr">
        <is>
          <t>Ромб — сплошная заливка, фотоаппарат рисуется обводкой. Тонкие линии на градиенте почти пропадают, поэтому рисунок крупнее (520 против 440) и заметнее (прозрачность .085 против .05), а обводка утоньшена до 0,55 — при таком размере линия отчёта смотрелась бы жирной.</t>
        </is>
      </c>
    </row>
    <row r="320">
      <c r="A320" t="inlineStr">
        <is>
          <t>Что не тронуто</t>
        </is>
      </c>
      <c r="B320" s="229" t="inlineStr">
        <is>
          <t>Нижний правый ромб .d2 остался как был. Слой .deco по-прежнему не перехватывает нажатия и скрыт от чтения с экрана.</t>
        </is>
      </c>
    </row>
    <row r="322">
      <c r="A322" t="inlineStr">
        <is>
          <t>ПОДСКАЗКИ НА ЛЕПЕСТКАХ ЗНАКА, 10.08.2026</t>
        </is>
      </c>
      <c r="B322" s="229" t="n"/>
    </row>
    <row r="323">
      <c r="A323" t="inlineStr">
        <is>
          <t>Фотоаппарат убран</t>
        </is>
      </c>
      <c r="B323" s="229" t="inlineStr">
        <is>
          <t>Верхний фоновый рисунок вернулся к ромбу-заливке, как был. Размер и прозрачность прежние.</t>
        </is>
      </c>
    </row>
    <row r="324">
      <c r="A324" t="inlineStr">
        <is>
          <t>Четыре лепестка</t>
        </is>
      </c>
      <c r="B324" s="229" t="inlineStr">
        <is>
          <t>Знак на входе разобран на четыре части юнит-экономики, по часовой стрелке от верхнего: Доход · Время · Расходы · Налоги. Подписи: что вы хотите получать на руки; съёмка, обработка, переговоры и продвижение; техника, аренда, реклама, подписки и учёба; ставка режима, взносы и комиссия банка.</t>
        </is>
      </c>
    </row>
    <row r="325">
      <c r="A325" t="inlineStr">
        <is>
          <t>Цвета</t>
        </is>
      </c>
      <c r="B325" s="229" t="inlineStr">
        <is>
          <t>Взяты из диаграммы блока 01 отчёта: доход c-a-400, время c-g-500, расходы c-v-500, налоги c-b-500. По умолчанию знак выглядит как везде — три белые грани и одна светло-зелёная; зелёный лепесток при наведении просто становится насыщеннее, с c-g-350 до c-g-500.</t>
        </is>
      </c>
    </row>
    <row r="326">
      <c r="A326" t="inlineStr">
        <is>
          <t>Поведение</t>
        </is>
      </c>
      <c r="B326" s="229" t="inlineStr">
        <is>
          <t>Наведённый лепесток заливается своим цветом и чуть увеличивается, остальные притухают до .42 — иначе непонятно, к чему относится подсказка. На устройствах без мыши подсказки и увеличение отключены медиазапросом hover:none.</t>
        </is>
      </c>
    </row>
    <row r="327">
      <c r="A327" t="inlineStr">
        <is>
          <t>Подсказка</t>
        </is>
      </c>
      <c r="B327" s="229" t="inlineStr">
        <is>
          <t>Образец — .segtip из отчёта: белая плашка, светлая рамка, тот же радиус и тень. Цветная метка слева повторяет цвет лепестка через переменную --tipc. Появляется под знаком по центру.</t>
        </is>
      </c>
    </row>
    <row r="328">
      <c r="A328" t="inlineStr">
        <is>
          <t>Доступность</t>
        </is>
      </c>
      <c r="B328" s="229" t="inlineStr">
        <is>
          <t>У знака теперь role=img и aria-label «Счётикс» вместо aria-hidden: он перестал быть чисто декоративным, раз с ним взаимодействуют.</t>
        </is>
      </c>
    </row>
    <row r="329">
      <c r="A329" t="inlineStr">
        <is>
          <t>Проверено</t>
        </is>
      </c>
      <c r="B329" s="229" t="inlineStr">
        <is>
          <t>Все четыре подсказки открываются и закрываются, цвет метки совпадает с цветом лепестка. Скобки, переменные, медиазапросы, дубли — чисто.</t>
        </is>
      </c>
    </row>
    <row r="331">
      <c r="A331" t="inlineStr">
        <is>
          <t>ПОДСКАЗКА С ЛЕПЕСТКОВ УБРАНА, 10.08.2026</t>
        </is>
      </c>
      <c r="B331" s="229" t="n"/>
    </row>
    <row r="332">
      <c r="A332" t="inlineStr">
        <is>
          <t>Почему</t>
        </is>
      </c>
      <c r="B332" s="229" t="inlineStr">
        <is>
          <t>Знак на входе занимает почти весь экран: снизу к нему вплотную примыкает слово «счётикс», сверху плашка вылезала за край окна. Ставить её было некуда.</t>
        </is>
      </c>
    </row>
    <row r="333">
      <c r="A333" t="inlineStr">
        <is>
          <t>Что удалено</t>
        </is>
      </c>
      <c r="B333" s="229" t="inlineStr">
        <is>
          <t>Плашка .pettip, обёртка .bxw, все её правила, медиазапрос hover:none и массив ЛЕПЕСТКИ с текстами в скрипте. Следов не осталось.</t>
        </is>
      </c>
    </row>
    <row r="334">
      <c r="A334" t="inlineStr">
        <is>
          <t>Что оставлено</t>
        </is>
      </c>
      <c r="B334" s="229" t="inlineStr">
        <is>
          <t>Подсветка при наведении: лепесток заливается своим цветом — доход c-a-400, время c-g-500, расходы c-v-500, налоги c-b-500 — остальные притухают до .4. Классы hot и dim по-прежнему вешает скрипт.</t>
        </is>
      </c>
    </row>
    <row r="335">
      <c r="A335" t="inlineStr">
        <is>
          <t>ОШИБКА: знак развалился, 10.08.2026</t>
        </is>
      </c>
      <c r="B335" s="229" t="n"/>
    </row>
    <row r="336">
      <c r="A336" t="inlineStr">
        <is>
          <t>Что произошло</t>
        </is>
      </c>
      <c r="B336" s="229" t="inlineStr">
        <is>
          <t>При первой версии подсказок лепесткам добавили transform:scale и transform-box:fill-box. Поворот ромбов задан атрибутом rotate(45 …) прямо в разметке — CSS-transform перебил его точку отсчёта, и знак рассыпался.</t>
        </is>
      </c>
    </row>
    <row r="337">
      <c r="A337" t="inlineStr">
        <is>
          <t>Правило</t>
        </is>
      </c>
      <c r="B337" s="229" t="inlineStr">
        <is>
          <t>НЕ трогать transform у элементов знака. Отклик на наведение давать только цветом и прозрачностью. В файле оставлено предупреждение прямо над правилами .pet.</t>
        </is>
      </c>
    </row>
    <row r="338">
      <c r="A338" t="inlineStr">
        <is>
          <t>Как проверять</t>
        </is>
      </c>
      <c r="B338" s="229" t="inlineStr">
        <is>
          <t>jsdom не считает геометрию — рассыпавшийся знак он показывает исправным. Нужен настоящий браузер: puppeteer, снимок области знака и сверка координат четырёх лепестков на симметрию.</t>
        </is>
      </c>
    </row>
    <row r="340">
      <c r="A340" t="inlineStr">
        <is>
          <t>ПРОБНЫЙ РЕЖИМ — ПОМЕТКИ ВО ВСЕХ ФАЙЛАХ, 10.08.2026</t>
        </is>
      </c>
      <c r="B340" s="229" t="n"/>
    </row>
    <row r="341">
      <c r="A341" t="inlineStr">
        <is>
          <t>index — строка сверху</t>
        </is>
      </c>
      <c r="B341" s="229" t="inlineStr">
        <is>
          <t>Над рамкой-кнопкой, по центру: кружок с восклицательным знаком и «Пробный режим. Проверяем расчёт на реальных задачах». Полупрозрачная подложка, скруглённая — приглушена, чтобы не спорить со знаком. Ключ wt_01.</t>
        </is>
      </c>
    </row>
    <row r="342">
      <c r="A342" t="inlineStr">
        <is>
          <t>index — блок внизу</t>
        </is>
      </c>
      <c r="B342" s="229" t="inlineStr">
        <is>
          <t>Блок пробного режима: заголовок «СЧЁТИКС работает в пробном режиме», жёлтый треугольник с белым знаком, три абзаца о бесплатном доступе, полной работе расчётов и обратной связи по email@example.com.</t>
        </is>
      </c>
    </row>
    <row r="343">
      <c r="A343" t="inlineStr">
        <is>
          <t>calc — меню</t>
        </is>
      </c>
      <c r="B343" s="229" t="inlineStr">
        <is>
          <t>Слева в строке со знаком: пометка о пробном режиме и две кнопки — «Поделиться» и «Поблагодарить проект». Кнопки и подсказки перенесены из отчёта дословно, вместе с гаммой c-ig-1…4, которой в анкете не было. Прижим знака вправо снят: теперь слева есть содержимое. На узком экране пометка сжимается, на телефоне скрывается. Ключ ct_01.</t>
        </is>
      </c>
    </row>
    <row r="344">
      <c r="A344" t="inlineStr">
        <is>
          <t>calc — блок внизу</t>
        </is>
      </c>
      <c r="B344" s="229" t="inlineStr">
        <is>
          <t>Под кнопками «Рассчитать» и «Вернуть значения», перед подвалом. Текст тот же, что на входе, оформление в песочной гамме карточки. При печати скрыт. Ключи ct_02 … ct_05. Перед логотипом в подвале добавлена отдельная разделительная линия и увеличенный вертикальный отступ.</t>
        </is>
      </c>
    </row>
    <row r="345">
      <c r="A345" t="inlineStr">
        <is>
          <t>report — только значок</t>
        </is>
      </c>
      <c r="B345" s="229" t="inlineStr">
        <is>
          <t>Объяснения нет, как и договаривались. В оба меню — верхнее и плавающее — добавлен значок: восклицательный знак в треугольнике, подсказка «Калькулятор работает в пробном режиме». Форма .fbi общая с остальными значками, цвет янтарный c-a-500. Не кнопка: cursor:default, нажимать нечего.</t>
        </is>
      </c>
    </row>
    <row r="346">
      <c r="A346" t="inlineStr">
        <is>
          <t>Работа кнопок в анкете</t>
        </is>
      </c>
      <c r="B346" s="229" t="inlineStr">
        <is>
          <t>«Поделиться» — тот же приём, что в отчёте: на телефонах системное окно, иначе копия ссылки в буфер и отметка на кнопке. Адрес благодарности берётся из THANKS_URL, пока заглушка #thanks — как в отчёте.</t>
        </is>
      </c>
    </row>
    <row r="347">
      <c r="A347" t="inlineStr">
        <is>
          <t>Проверено в браузере</t>
        </is>
      </c>
      <c r="B347" s="229" t="inlineStr">
        <is>
          <t>Все четыре места сняты и просмотрены: строка и блок на входе, меню и блок в анкете, треугольник в ряду значков отчёта. Сверка сборки показала только новые правила .fbt, чужое не задето.</t>
        </is>
      </c>
    </row>
    <row r="349">
      <c r="A349" t="inlineStr">
        <is>
          <t>РАЗДЕЛ РЕЗЕРВОВ И ЕДИНАЯ ПОДСВЕТКА, 10.08.2026</t>
        </is>
      </c>
      <c r="B349" s="229" t="n"/>
    </row>
    <row r="350">
      <c r="A350" t="inlineStr">
        <is>
          <t>Заголовок раздела</t>
        </is>
      </c>
      <c r="B350" s="229" t="inlineStr">
        <is>
          <t>Раздел «Теперь заложим резервы:» пока сохраняет прежнюю композицию: крупная галочка и текст «Отлично! Базовый минимум у нас уже есть», затем заголовок и девиз «Теперь заложим запас прочности, чтобы ваш доход сохранял стабильность в любых условиях». Добавленная ранее горизонтальная разделительная линия полностью удалена. Галочка — 82/68 px на десктопе и 56/46 px на мобильных.</t>
        </is>
      </c>
    </row>
    <row r="351">
      <c r="A351" t="inlineStr">
        <is>
          <t>Значения по умолчанию</t>
        </is>
      </c>
      <c r="B351" s="229" t="inlineStr">
        <is>
          <t>Форс-мажоры 10%, фонд развития 15%, запас на скидку 15% — ступень «полная программа». Раньше стояли 5, 5 и 10.</t>
        </is>
      </c>
    </row>
    <row r="352">
      <c r="A352" t="inlineStr">
        <is>
          <t>Единый сценарий цвета</t>
        </is>
      </c>
      <c r="B352" s="229" t="inlineStr">
        <is>
          <t>Цвет зависит от значения, а не от того, какой это резерв. Ноль — красный, ниже рекомендованного — жёлтый, рекомендованное и выше — зелёный. У запаса на скидку: 15% зелёный, 10% синий, 5% жёлтый. Классы st-bad, st-warn, st-mid, st-ok вешает скрипт на рамку .zap, дальше цвет разбирает CSS.</t>
        </is>
      </c>
    </row>
    <row r="353">
      <c r="A353" t="inlineStr">
        <is>
          <t>Что красится</t>
        </is>
      </c>
      <c r="B353" s="229" t="inlineStr">
        <is>
          <t>Рамка и подложка блока, заливка дорожки (--zc1 и --zc2, оба стопа разные), обводка бегунка и крупная цифра. Плюс строка под ползунком с объяснением, почему такой цвет.</t>
        </is>
      </c>
    </row>
    <row r="354">
      <c r="A354" t="inlineStr">
        <is>
          <t>Галочка</t>
        </is>
      </c>
      <c r="B354" s="229" t="inlineStr">
        <is>
          <t>Всегда зелёная, при любом значении: она про «учитывать резерв», а не про то, хватает ли его.</t>
        </is>
      </c>
    </row>
    <row r="355">
      <c r="A355" t="inlineStr">
        <is>
          <t>Выключенный резерв</t>
        </is>
      </c>
      <c r="B355" s="229" t="inlineStr">
        <is>
          <t>Ползунок стоит на рекомендованном значении, цифра его показывает, но оба приглушены — видно, что это рекомендация, а не то, что идёт в расчёт. Раньше показывался ноль.</t>
        </is>
      </c>
    </row>
    <row r="356">
      <c r="A356" t="inlineStr">
        <is>
          <t>Убрано</t>
        </is>
      </c>
      <c r="B356" s="229" t="inlineStr">
        <is>
          <t>Классы .zap.b и .zap.c вместе с их правилами: цвет больше не привязан к блоку.</t>
        </is>
      </c>
    </row>
    <row r="357">
      <c r="A357" t="inlineStr">
        <is>
          <t>ИСПРАВЛЕНО: дубль номера</t>
        </is>
      </c>
      <c r="B357" s="229" t="inlineStr">
        <is>
          <t>Раздел «Как мы считаем» носил кружок 03 — тот же номер, что у карточки «Ваша текущая ставка». Номер у раздела снят: нумеруются только карточки с вопросами. Теперь 01…16 без повторов.</t>
        </is>
      </c>
    </row>
    <row r="358">
      <c r="A358" t="inlineStr">
        <is>
          <t>Проверено в браузере</t>
        </is>
      </c>
      <c r="B358" s="229" t="inlineStr">
        <is>
          <t>Сняты и просмотрены все состояния: выключено, 10% зелёное, 3% жёлтое, 0% красное. Ступени скидки: 15 зелёная, 10 синяя, 5 жёлтая. Расчёт при снятых галочках не изменился — 60 полей, ноль расхождений, ставка та же.</t>
        </is>
      </c>
    </row>
    <row r="360">
      <c r="A360" t="inlineStr">
        <is>
          <t>ПРОБНЫЙ РЕЖИМ — ПРИВЕДЕНО К ОДНОМУ ВИДУ, 10.08.2026</t>
        </is>
      </c>
      <c r="B360" s="229" t="n"/>
    </row>
    <row r="361">
      <c r="A361" t="inlineStr">
        <is>
          <t>Единый значок</t>
        </is>
      </c>
      <c r="B361" s="229" t="inlineStr">
        <is>
          <t>Треугольник с восклицательным знаком из меню отчёта. Класс .tri, размер 17 px в пометках и 21–22 px в заголовках блоков. Шесть штук: по два в index, calc и report. Прежние кружки с «!» убраны — они были разные в каждом месте.</t>
        </is>
      </c>
    </row>
    <row r="362">
      <c r="A362" t="inlineStr">
        <is>
          <t>Единые слова</t>
        </is>
      </c>
      <c r="B362" s="229" t="inlineStr">
        <is>
          <t>Единая формулировка пробного режима в анкете: «СЧЁТИКС работает в пробном режиме». Жёлтый знак используется как информационный акцент.</t>
        </is>
      </c>
    </row>
    <row r="363">
      <c r="A363" t="inlineStr">
        <is>
          <t>Подложек нет</t>
        </is>
      </c>
      <c r="B363" s="229" t="inlineStr">
        <is>
          <t>Пометка на входе и в меню анкеты — просто текст со значком, без плашки и рамки. Блок с объяснением на входе тоже без подложки, в анкете отделён сверху тонкой чертой, как обёртка кнопок. Раньше и то и другое было в жёлтой плашке — читалось как предупреждение об ошибке.</t>
        </is>
      </c>
    </row>
    <row r="364">
      <c r="A364" t="inlineStr">
        <is>
          <t>Текст переписан</t>
        </is>
      </c>
      <c r="B364" s="229" t="inlineStr">
        <is>
          <t>Три абзаца: сервис уже работает и считает по открытой методике; мы всё ещё тестируем, может встретиться ошибка — напишите, будем благодарны; оплата отчёта тоже пока в пробном режиме, сейчас это скорее способ поддержать проект, чем цена. Про будущую платность прямо не сказано — читается из контекста.</t>
        </is>
      </c>
    </row>
    <row r="365">
      <c r="A365" t="inlineStr">
        <is>
          <t>Подсказка только в основном меню</t>
        </is>
      </c>
      <c r="B365" s="229" t="inlineStr">
        <is>
          <t>В плавающей плашке отчёта у значка снят data-tip: там подсказка перекрывала бы содержимое. В верхнем меню осталась.</t>
        </is>
      </c>
    </row>
    <row r="366">
      <c r="A366" t="inlineStr">
        <is>
          <t>ИСПРАВЛЕНО: дубль</t>
        </is>
      </c>
      <c r="B366" s="229" t="inlineStr">
        <is>
          <t>#phc-root .zap:not(.on) .zaprow output задано дважды — остаток правки резервов. Второе правило, без opacity, убрано.</t>
        </is>
      </c>
    </row>
    <row r="367">
      <c r="A367" t="inlineStr">
        <is>
          <t>Проверено в браузере</t>
        </is>
      </c>
      <c r="B367" s="229" t="inlineStr">
        <is>
          <t>Сняты и просмотрены все четыре места. Значки одинаковые, старых кружков нет, подсказка в плавающем меню отсутствует. Сверка сборки отчёта: изменений в оформлении нет.</t>
        </is>
      </c>
    </row>
    <row r="369">
      <c r="A369" t="inlineStr">
        <is>
          <t>ЗОНИРОВАНИЕ АНКЕТЫ, 10.08.2026</t>
        </is>
      </c>
      <c r="B369" s="229" t="n"/>
    </row>
    <row r="370">
      <c r="A370" t="inlineStr">
        <is>
          <t>Три раздела</t>
        </is>
      </c>
      <c r="B370" s="229" t="inlineStr">
        <is>
          <t>Анкета разбита разделителями .sect: «Как мы считаем:» (было), «Теперь посчитаем расходы» (новый, перед блоком 05) и «Теперь заложим резервы:» (перед блоком 14). Ключи h2_rash и ss_rash.</t>
        </is>
      </c>
    </row>
    <row r="371">
      <c r="A371" t="inlineStr">
        <is>
          <t>Текст раздела расходов</t>
        </is>
      </c>
      <c r="B371" s="229" t="inlineStr">
        <is>
          <t>Всё, на что уже потратились или тратитесь регулярно. Чем точнее внесёте, тем ближе к правде ставка — считаем от ваших цифр, а не от средних по рынку. Если собирать чеки некогда, оставьте наш набор: он по реальным ценам и даст приблизительный, но осмысленный результат.</t>
        </is>
      </c>
    </row>
    <row r="372">
      <c r="A372" t="inlineStr">
        <is>
          <t>Блок 04 переименован</t>
        </is>
      </c>
      <c r="B372" s="229" t="inlineStr">
        <is>
          <t>«Как устроена ваша работа» → «Посчитаем ваше время». Подзаголовок поправлен под новый заголовок. Ключ h2_04 в книге обновлён.</t>
        </is>
      </c>
    </row>
    <row r="373">
      <c r="A373" t="inlineStr">
        <is>
          <t>УВЕДОМЛЕНИЯ О ЛИМИТЕ ПЕРЕПИСАНЫ, 10.08.2026</t>
        </is>
      </c>
      <c r="B373" s="229" t="n"/>
    </row>
    <row r="374">
      <c r="A374" t="inlineStr">
        <is>
          <t>Плашка в форме</t>
        </is>
      </c>
      <c r="B374" s="229" t="inlineStr">
        <is>
          <t>Под выбором режима. Раньше показывала выручку, процент от лимита и остаток до порога. Теперь это форма, а не результат: цифр нет вовсе. Одно состояние — модель не помещается в режим, мягкий жёлтый. Красное состояние .lim.over удалено.</t>
        </is>
      </c>
    </row>
    <row r="375">
      <c r="A375" t="inlineStr">
        <is>
          <t>Текст плашки</t>
        </is>
      </c>
      <c r="B375" s="229" t="inlineStr">
        <is>
          <t>Для НПД: «Ваша финансовая модель больше не подходит под самозанятость: доход выше нормы, установленной законом. С такими цифрами работать можно только как ИП». Для остальных режимов — то же, но с предложением выбрать режим без ограничения.</t>
        </is>
      </c>
    </row>
    <row r="376">
      <c r="A376" t="inlineStr">
        <is>
          <t>Полоса внизу</t>
        </is>
      </c>
      <c r="B376" s="229" t="inlineStr">
        <is>
          <t>Нужна ровно для одного: сказать, что режим переключился на ИП. Показывается только при ПЕРЕКЛЮЧЕНО. Убраны состояния warn/over/ok, колонки «Ваша выручка» и «Запас до лимита», пороги 80% и 100 000 ₽, сообщения «Готово» и «Отлично». Фон белый, знак — тот же треугольник, что во всех пометках о пробном режиме.</t>
        </is>
      </c>
    </row>
    <row r="377">
      <c r="A377" t="inlineStr">
        <is>
          <t>Когда исчезает</t>
        </is>
      </c>
      <c r="B377" s="229" t="inlineStr">
        <is>
          <t>Как только человек поправит цифры и снова влезет в лимит НПД, ПЕРЕКЛЮЧЕНО снимается и полоса уходит сама. Отдельного сообщения «всё в порядке» больше нет.</t>
        </is>
      </c>
    </row>
    <row r="378">
      <c r="A378" t="inlineStr">
        <is>
          <t>Убрано из скрипта</t>
        </is>
      </c>
      <c r="B378" s="229" t="inlineStr">
        <is>
          <t>Переменные ВЕРНУЛОСЬ и БЫЛО_ПРЕВЫШЕНИЕ — они обслуживали удалённые сообщения.</t>
        </is>
      </c>
    </row>
    <row r="379">
      <c r="A379" t="inlineStr">
        <is>
          <t>Проверено в браузере</t>
        </is>
      </c>
      <c r="B379" s="229" t="inlineStr">
        <is>
          <t>Доход задран → режим переключился, плашка в форме молчит, при прокрутке вниз появляется белая полоса. Доход вернули → полоса исчезла. Доход выше УСН → жёлтая плашка без цифр. Расчёт не изменился: 60 полей, ноль расхождений.</t>
        </is>
      </c>
    </row>
    <row r="381">
      <c r="A381" t="inlineStr">
        <is>
          <t>БЛОК 03 «ВАША ТЕКУЩАЯ СТАВКА», 10.08.2026</t>
        </is>
      </c>
      <c r="B381" s="229" t="n"/>
    </row>
    <row r="382">
      <c r="A382" t="inlineStr">
        <is>
          <t>Что сделано</t>
        </is>
      </c>
      <c r="B382" s="229" t="inlineStr">
        <is>
          <t>Приведён к виду блока 01 «Ваш доход»: вопрос .qr wide во всю ширину, поле под ним отдельной строкой шириной 340. Из подсказки убрано «Нужно, чтобы показать разницу между вашей текущей и расчётной ставкой» — это уже сказано в подзаголовке блока. Осталось «Можно указать примерно».</t>
        </is>
      </c>
    </row>
    <row r="383">
      <c r="A383" t="inlineStr">
        <is>
          <t>РАБОТА БЕЗ ОФОРМЛЕНИЯ, 10.08.2026</t>
        </is>
      </c>
      <c r="B383" s="229" t="n"/>
    </row>
    <row r="384">
      <c r="A384" t="inlineStr">
        <is>
          <t>Галочка</t>
        </is>
      </c>
      <c r="B384" s="229" t="inlineStr">
        <is>
          <t>В блоке 02 добавлена «Работаю без оформления — налоги не считать». Форма .exc — та же, что у «не учитывать этот блок», и такая же красная. Под ней пояснение: доход без оформления это работа вне закона, штрафы и доначисления считаются за три года, подтвердить доход для ипотеки или визы будет нечем.</t>
        </is>
      </c>
    </row>
    <row r="385">
      <c r="A385" t="inlineStr">
        <is>
          <t>Что происходит</t>
        </is>
      </c>
      <c r="B385" s="229" t="inlineStr">
        <is>
          <t>Список режимов и вопрос о заказчиках гаснут и блокируются, плашка о лимите не показывается. В расчёте ставка режима обнуляется, taxOf возвращает ноль, фиксированные взносы не прибавляются. Проверено: taxAll = 0, ставка падает с 9 874 до 9 367.</t>
        </is>
      </c>
    </row>
    <row r="386">
      <c r="A386" t="inlineStr">
        <is>
          <t>ВОПРОС О ЗАКАЗЧИКАХ — ТОЛЬКО НА НПД, 10.08.2026</t>
        </is>
      </c>
      <c r="B386" s="229" t="n"/>
    </row>
    <row r="387">
      <c r="A387" t="inlineStr">
        <is>
          <t>Почему</t>
        </is>
      </c>
      <c r="B387" s="229" t="inlineStr">
        <is>
          <t>На НПД ставка прямо зависит от заказчика: 4% с частных лиц, 6% с компаний. На УСН и АУСН ставка одна для всех — вопрос только путал.</t>
        </is>
      </c>
    </row>
    <row r="388">
      <c r="A388" t="inlineStr">
        <is>
          <t>Что было</t>
        </is>
      </c>
      <c r="B388" s="229" t="inlineStr">
        <is>
          <t>Два противоречащих комментария подряд: один говорил «только на НПД», второй «при любом режиме». Работал второй — вопрос висел всегда. Оставлен один, добавлена функция ктоВидим().</t>
        </is>
      </c>
    </row>
    <row r="389">
      <c r="A389" t="inlineStr">
        <is>
          <t>ПРОБНЫЙ РЕЖИМ: ССЫЛКИ И БЛОК В ОТЧЁТЕ, 10.08.2026</t>
        </is>
      </c>
      <c r="B389" s="229" t="n"/>
    </row>
    <row r="390">
      <c r="A390" t="inlineStr">
        <is>
          <t>Подсказка в анкете</t>
        </is>
      </c>
      <c r="B390" s="229" t="inlineStr">
        <is>
          <t>Пометка в меню стала ссылкой на #trial. При наведении всплывает «Сервис работает в пробном режиме» — оформление то же, что у значков меню отчёта.</t>
        </is>
      </c>
    </row>
    <row r="391">
      <c r="A391" t="inlineStr">
        <is>
          <t>Переход к объяснению</t>
        </is>
      </c>
      <c r="B391" s="229" t="inlineStr">
        <is>
          <t>Все пометки ведут на блок #trial внизу своей страницы. При переходе блок подсвечивается на 2,4 секунды через :target — иначе непонятно, куда попал.</t>
        </is>
      </c>
    </row>
    <row r="392">
      <c r="A392" t="inlineStr">
        <is>
          <t>Блок в отчёте</t>
        </is>
      </c>
      <c r="B392" s="229" t="inlineStr">
        <is>
          <t>Добавлен перед подвалом, дословная копия того, что в анкете. Человека больше не перекидывает из отчёта в калькулятор — данные не сбиваются. Ключи rt_01 … rt_04. Значок в верхнем меню стал ссылкой, в плавающей плашке остался span без подсказки.</t>
        </is>
      </c>
    </row>
    <row r="393">
      <c r="A393" t="inlineStr">
        <is>
          <t>Кнопка на входе</t>
        </is>
      </c>
      <c r="B393" s="229" t="inlineStr">
        <is>
          <t>Под объяснением «Перейти к расчёту», форма от кнопок отчёта. Человек дочитал — дальше ему нужен путь к расчёту, а не возврат наверх. Реферальную метку и память о визите несёт наравне с главной.</t>
        </is>
      </c>
    </row>
    <row r="394">
      <c r="A394" t="inlineStr">
        <is>
          <t>собрать.py</t>
        </is>
      </c>
      <c r="B394" s="229" t="inlineStr">
        <is>
          <t>ожидать_блоков: 23 → 24. Проверка структуры сама поймала новый блок и остановила сборку — это правильно.</t>
        </is>
      </c>
    </row>
    <row r="396">
      <c r="A396" t="inlineStr">
        <is>
          <t>САМОЗАНЯТОСТЬ УБИРАЕТСЯ ИЗ СПИСКА, 10.08.2026</t>
        </is>
      </c>
      <c r="B396" s="229" t="n"/>
    </row>
    <row r="397">
      <c r="A397" t="inlineStr">
        <is>
          <t>Почему</t>
        </is>
      </c>
      <c r="B397" s="229" t="inlineStr">
        <is>
          <t>Оставлять НПД в списке, когда доход выше лимита, — значит предлагать заведомо невозможный вариант: человек выберет, и расчёт снова выкинет его на ИП. Пункт скрывается и блокируется, пока нужный доход выше 2 400 000 ₽. Вернутся цифры в лимит — пункт вернётся.</t>
        </is>
      </c>
    </row>
    <row r="398">
      <c r="A398" t="inlineStr">
        <is>
          <t>Текст полосы</t>
        </is>
      </c>
      <c r="B398" s="229" t="inlineStr">
        <is>
          <t>При автоматической замене НПД на УСН 6% показывается мягкое жёлтое уведомление: «Налоговый режим был автоматически изменен в связи с превышением лимита предполагаемой годовой выручки». Когда данные снова укладываются в лимит НПД, режим автоматически возвращается и появляется зелёное уведомление: «Вы вернулись на НПД. Ваш лимит в порядке». Оба уведомления показываются 12 секунд, после чего мягко растворяются без смещения; крестик позволяет закрыть их раньше. Повторные пересчёты и прокрутка не перезапускают таймер.</t>
        </is>
      </c>
    </row>
    <row r="399">
      <c r="A399" t="inlineStr">
        <is>
          <t>ИСПРАВЛЕНО: вопрос о заказчиках</t>
        </is>
      </c>
      <c r="B399" s="229" t="inlineStr">
        <is>
          <t>Вопрос «С кем вы чаще работаете?» снова расположен после выбора налогового режима и показывается только для НПД. При НПД калькулятор внутри применяет 4% для частных лиц, 6% для компаний и ИП, 5% для смешанного варианта; пользователю дополнительную ставку выбирать не нужно.</t>
        </is>
      </c>
    </row>
    <row r="400">
      <c r="A400" t="inlineStr">
        <is>
          <t>ИСПРАВЛЕНО: дубль .lbt</t>
        </is>
      </c>
      <c r="B400" s="229" t="inlineStr">
        <is>
          <t>#phc-root .limbar .lbt было задано дважды — остаток моей прошлой правки. Слито в одно правило.</t>
        </is>
      </c>
    </row>
    <row r="401">
      <c r="A401" t="inlineStr">
        <is>
          <t>Проверено в браузере</t>
        </is>
      </c>
      <c r="B401" s="229" t="inlineStr">
        <is>
          <t>Доход задран → НПД скрыт, пунктов 4, вопрос о заказчиках ушёл, полоса с двумя строками. Доход вернули → НПД снова в списке, пунктов 5, полоса исчезла. Расчёт не изменился: 60 полей, ноль расхождений.</t>
        </is>
      </c>
    </row>
    <row r="403">
      <c r="A403" t="inlineStr">
        <is>
          <t>БЛОК 03: ВОПРОС УБРАН, 10.08.2026</t>
        </is>
      </c>
      <c r="B403" s="229" t="n"/>
    </row>
    <row r="404">
      <c r="A404" t="inlineStr">
        <is>
          <t>Что удалено</t>
        </is>
      </c>
      <c r="B404" s="229" t="inlineStr">
        <is>
          <t>Строки «Сколько вы берёте за час съёмки сейчас?» и «Можно указать примерно» — они повторяли заголовок и подзаголовок блока. Ключи q_03 и qd_03 помечены красным в 09_Тексты.</t>
        </is>
      </c>
    </row>
    <row r="405">
      <c r="A405" t="inlineStr">
        <is>
          <t>Что осталось</t>
        </is>
      </c>
      <c r="B405" s="229" t="inlineStr">
        <is>
          <t>Заголовок «Ваша текущая ставка», подзаголовок «Увидите, сколько вы зарабатываете сейчас, и сравните с желаемым доходом.» и поле current_rate.</t>
        </is>
      </c>
    </row>
    <row r="407">
      <c r="A407" t="inlineStr">
        <is>
          <t>ГАЛОЧКА В БЛОКЕ НАЛОГОВ, 10.08.2026</t>
        </is>
      </c>
      <c r="B407" s="229" t="n"/>
    </row>
    <row r="408">
      <c r="A408" t="inlineStr">
        <is>
          <t>Метка</t>
        </is>
      </c>
      <c r="B408" s="229" t="inlineStr">
        <is>
          <t>«Работаю без оформления — налоги не считать» → «Не учитывать этот блок в расчёте». Такая же, как во всех блоках расходов: единый приём, отдельная формулировка не нужна.</t>
        </is>
      </c>
    </row>
    <row r="409">
      <c r="A409" t="inlineStr">
        <is>
          <t>Текст пояснения</t>
        </is>
      </c>
      <c r="B409" s="229" t="inlineStr">
        <is>
          <t>Убрано «Тогда налоги и взносы в расчёт не войдут» — это и так очевидно из метки. Убрано про ипотеку и визы. Написано: рекомендуем выбрать подходящий режим; работая без оформления, вы делаете цену ниже за свой счёт — по сути платите налог из своего кармана, чтобы заказчику было дешевле; закладывать налог в цену нормально, так делают все; при проверке налоговая может доначислить за три года.</t>
        </is>
      </c>
    </row>
    <row r="410">
      <c r="A410" t="inlineStr">
        <is>
          <t>Тон</t>
        </is>
      </c>
      <c r="B410" s="229" t="inlineStr">
        <is>
          <t>Плашка была красной, стала нейтральной: серый текст на светлой подложке. Это совет, а не предупреждение о наказании — пугать проверками не нужно.</t>
        </is>
      </c>
    </row>
    <row r="411">
      <c r="A411" t="inlineStr">
        <is>
          <t>Проверено</t>
        </is>
      </c>
      <c r="B411" s="229" t="inlineStr">
        <is>
          <t>Расчёт не изменился: 60 полей, ноль расхождений.</t>
        </is>
      </c>
    </row>
    <row r="412">
      <c r="A412" t="inlineStr">
        <is>
          <t>ГЛАВНЫЙ БАННЕР «ПРИСТУПИМ К РАСЧЁТУ»</t>
        </is>
      </c>
      <c r="B412" t="inlineStr">
        <is>
          <t>В главном баннере три коротких преимущества с иконками и компактными подложками: «Готовые списки», «Реальный опыт», «Гибкая настройка». На десктопе — три колонки без прокрутки, на мобильных — одна колонка. Эта композиция стала общей для остальных смысловых баннеров. Подписи во всех баннерных плашках принудительно оформлены ровно в две строки.</t>
        </is>
      </c>
    </row>
    <row r="413">
      <c r="A413" t="inlineStr">
        <is>
          <t>БЛОК ВРЕМЕНИ РАЗБИТ НА КАРТОЧКИ, 10.08.2026</t>
        </is>
      </c>
      <c r="B413" s="229" t="n"/>
    </row>
    <row r="414">
      <c r="A414" t="inlineStr">
        <is>
          <t>Было</t>
        </is>
      </c>
      <c r="B414" s="229" t="inlineStr">
        <is>
          <t>Одна карточка «Посчитаем ваше время» с двумя группами внутри — «Сама съёмка» и «Работа вокруг съёмки», с нумерованными кружками и своими подписями. Читалось тяжело.</t>
        </is>
      </c>
    </row>
    <row r="415">
      <c r="A415" t="inlineStr">
        <is>
          <t>Стало</t>
        </is>
      </c>
      <c r="B415" s="229" t="inlineStr">
        <is>
          <t>Раздел «Время — ваш главный рабочий ресурс». Три двухстрочные плашки: «Съёмка и / обработка» с иконкой камеры, «Работа с / клиентом» с иконкой диалога, «Поиск / заказов» с иконкой поиска. Под заголовком остаётся: «Посчитаем время, которое обычно остаётся невидимым». После плашек условий труда добавлено уведомление: «Можно ли работать больше? Конечно, если вы сами этого хотите. Дополнительные часы могут помогать быстрее расти или достигать своих целей. Но если без переработок ваша экономика не сходится, стоит пересмотреть стоимость часа: иначе вы просто создаёте себе рабочее место хуже, чем в найме. По ТК РФ сверхурочная работа оплачивается не менее чем в 1,5 раза за первые два часа и не менее чем в 2 раза за последующие. Работа в выходные и нерабочие праздничные дни — не менее чем в двойном размере.» Под ним пять отдельных карточек временных параметров. Карточки 04–08 объединены общей градиентной подложкой; фоновая иллюстрация удалена. Баннер времени проработан по логике «Приступим к расчёту»: главный заголовок набран Prata, над ним только крупная иконка часов без обводки и текста. Отдельный фоновый рисунок удалён. Цветовая гамма группы времени заменена на насыщенный синий градиент плашек «Отпуск» и «График 5/2». Карточки раздела времени получили мягкую полупрозрачную белую заливку, через которую слегка просвечивает синий фон. Блок 06 «Время на постпродакшн»: подзаголовок и поле идут первыми; затем раскрытие с шестью карточками со светло-зелёной подложкой и зелёной обводкой, градиентно-зелёными номерами с белыми цифрами, увеличенной типографикой и выровненными списками. «Ретушь не включена!» оформлено как синее информационное уведомление. Плашка о неоднозначности показателя и замере 3–5 съёмок перенесена ниже этого уведомления и оставлена нейтральной. Формула post_ratio не менялась. Числовые поля времени, кадров и сроков получили автоматическое русское склонение единиц: 1 час, 2 часа, 5 часов, 0,5 часа; 1 год, 2 года, 5 лет. Полупрозрачный белый градиент карточек сделан менее выраженным. Внешние отступы баннера времени приведены к баннеру «Приступим к расчёту»: 78/84 px и 30 px по бокам. Блок 07 переименован в «Работа с клиентом (на один проект)» и оформлен по схеме постпродакшна: три этапа в раскрытии с зелёным оформлением, синее информационное уведомление об исключённой продюсерской работе и нейтральная плашка с обоснованием; строка о замере реальных проектов перенесена сразу под подзаголовок. Формула client_time не менялась. Блок 08 переименован в «Поиск заказов» и оформлен как третий сложный блок: строка базового минимума 2 часа в день × 5 дней с зелёной галочкой, раскрытие с семью зелёными задачами, синее уведомление о дополнительной нагрузке и нейтральная плашка с обоснованием. Формула promo_per_day не менялась. Зелёные галочки у строк со значениями по умолчанию уменьшены до размера синих информационных значков. Зелёные карточки раскрытий смягчены полупрозрачным градиентом. Строка о замере реальных проектов в блоке 07 перенесена под подзаголовок. Зелёные галочки у строк значений по умолчанию: круг 21 px с линейной зелёной обводкой, выравнивание по основному тексту — left 0, top 2 px; с синими уведомлениями не выравниваются. Зелёные галочки у значений по умолчанию переведены в линейный вариант: прозрачный круг, зелёная обводка и зелёная галочка. Зелёные маркеры значений по умолчанию: узкий указатель шириной 24 px и высотой в две строки, без галочки; углы и переход к треугольному окончанию слегка скруглены. Блок 12 обновлён: дома аренда/аналог жилья и коммунальные услуги умножаются на долю рабочей площади; при аренде помещения оба расхода учитываются полностью. Галочка own_home больше не отключает home_rent, а показывает рекомендацию указать рыночную аренду аналога или ипотечный платёж. Добавлено синее уведомление для режима офиса. Обводка указателей в блоках «Работа с клиентом» и «Поиск заказов» заменена на цвет неактивных полей c-ln (#E5E7EB). Декоративные зелёные маркеры у строк значений по умолчанию в блоках «Работа с клиентом» и «Поиск заказов» полностью удалены. Подсказка «Разработка, дизайн, наполнение…» под полем стоимости сайта удалена. Контекстные тексты блоков 07 и 08 вынесены из белых карточек и размещены сразу под ними как большие контурные уведомления на синем фоне раздела. При исключении FormClientTime время client_time обнуляется внутри расчёта; при исключении FormPromoTime обнуляется promo_per_day × net_days. Значения в полях сохраняются, карточки приглушаются по общему правилу EXC.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t>
        </is>
      </c>
    </row>
    <row r="416">
      <c r="A416" t="inlineStr">
        <is>
          <t>Подзаголовки</t>
        </is>
      </c>
      <c r="B416" s="229" t="inlineStr">
        <is>
          <t>Взяты готовые тексты .qd из книги — они точнее выдуманных заново. Свои варианты, написанные при первой сборке, убраны: две строки об одном под каждым заголовком не нужны.</t>
        </is>
      </c>
    </row>
    <row r="417">
      <c r="A417" t="inlineStr">
        <is>
          <t>Что сохранено</t>
        </is>
      </c>
      <c r="B417" s="229" t="inlineStr">
        <is>
          <t>Раскрывашки «что сюда входит» в трёх карточках — на них ссылается справочник отчёта. Все поля и их id не тронуты.</t>
        </is>
      </c>
    </row>
    <row r="418">
      <c r="A418" t="inlineStr">
        <is>
          <t>Убрано</t>
        </is>
      </c>
      <c r="B418" s="229" t="inlineStr">
        <is>
          <t>Классы .grp, .grh, .grd и их правила — групп внутри карточек больше нет. Ключи h2_04, hint_01, q_04, q_04b, q_05, q_06, q_07, grd_01, grd_02 помечены красным в 09_Тексты.</t>
        </is>
      </c>
    </row>
    <row r="419">
      <c r="A419" t="inlineStr">
        <is>
          <t>Раздел расходов</t>
        </is>
      </c>
      <c r="B419" s="229" t="inlineStr">
        <is>
          <t>Раздел «Учтём все расходы». Над заголовком размещены три плашки по образцу «Приступим к расчёту»: «Ваши / инвестиции», «Периодические / платежи», «Отчисления / государству». Под заголовком остаётся: «Если расход не заложен в цену, вы оплачиваете из собственного кармана». Служебные повторы о готовых списках, редактировании и значениях по умолчанию удалены. Карточки 09–17 объединены общей градиентной подложкой; фоновая иллюстрация удалена. Цветовая гамма группы расходов заменена на Instagram-градиент блока 08 отчёта: фиолетовый → малиновый → коралловый. Дизайн баннера: одна компактная информационная плашка сверху, крупный заголовок Prata и вторичная строка снизу. Белые карточки расходов получили такой же лёгкий полупрозрачный градиент, как карточки времени. Текст «Не включайте сюда специфическое оборудование…» вынесен в единое синее информационное уведомление. Нижний цветной выступ группы расходов унифицирован до 42 px. Нижний цветной выступ всех групп приведён к референсу первых трёх блоков: 42 px на десктопе и 34 px на мобильном. После блока 10 добавлено крупное уведомление о расчёте по текущей рыночной стоимости оборудования или актуального аналога, а не по закупочной цене. Плашка оформлена как контурная вставка с тонкой полупрозрачной белой заливкой прямо на Instagram-фоне: белая типографика, белая полупрозрачная рамка и боковые отступы; внутренняя разметка сохранена. Уведомление о рыночной стоимости оборудования получило стандартный синий знак «!». Тексты блока 11 «Программное обеспечение», подписок и разовых лицензий обновлены. Финальная структура баннера: одна эмоциональная плашка, крупный заголовок и короткая вторичная мысль. Значок уведомления о рыночной стоимости — белый круг с красно-малиновым знаком; в правом нижнем углу добавлены полупрозрачные фоновые круги. Под блоком обучения добавлено постоянное уведомление об упущенной выгоде в стиле уведомления о рыночной стоимости оборудования. В блоке 12 два пояснения — о рабочем месте в найме и о самостоятельном обустройстве — вынесены в стандартные синие информационные уведомления.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 Иконка инвестиций заменена на портфель. Все подписи оформлены ровно в две строки.</t>
        </is>
      </c>
    </row>
    <row r="420">
      <c r="A420" t="inlineStr">
        <is>
          <t>Нумерация</t>
        </is>
      </c>
      <c r="B420" s="229" t="inlineStr">
        <is>
          <t>Карточек остаётся 20. «Готовых кадров за 1 час» перенесён из раздела времени в основные параметры сразу после «Ваша текущая ставка» и получил номер 04; «Минимальный выезд» стал блоком 05. Основные карточки 01–06, кроме налогового блока 02, используют статус «Основной параметр». Номера блоков сделаны заметнее: полупрозрачный тёмный цвет и mix-blend-mode:multiply меняют оттенок в зависимости от подложки. Подложка основных параметров сохраняет чёткие края и непрозрачную заливку: от середины блока 02 цвет постепенно меняется от почти чёрного к более светлому серо-коричневому (#6b6763) у нижнего края.</t>
        </is>
      </c>
    </row>
    <row r="421">
      <c r="A421" t="inlineStr">
        <is>
          <t>Проверено</t>
        </is>
      </c>
      <c r="B421" s="229" t="inlineStr">
        <is>
          <t>Расчёт не изменился: 60 полей, ноль расхождений, ставка та же.</t>
        </is>
      </c>
    </row>
    <row r="422">
      <c r="A422" t="inlineStr">
        <is>
          <t>ПЛАВАЮЩАЯ ПЛАШКА ДОВЕРИЯ</t>
        </is>
      </c>
      <c r="B422" t="inlineStr">
        <is>
          <t>После прокрутки 500 px сверху появляется полупрозрачное меню в стиле .fbar отчёта. В нём размещены логотип, кириллическое слово «счётикс», значок пробного режима, кнопка «Поделиться», кнопка «Поблагодарить проект» и крестик. Нижняя подпись «твоя юнит-экономика» не используется. Все элементы выровнены по вертикальному центру. Пропорция надписи и знака повторяет основной логотип: 19/62 в шапке и 14/46 в плавающем меню; на мобильных 12,5/38. Цвет названия совпадает с цветом иконки «Поделиться».</t>
        </is>
      </c>
    </row>
    <row r="423">
      <c r="A423" t="inlineStr">
        <is>
          <t>«ВЕРНУТЬ ЗНАЧЕНИЕ» ПОД КАЖДЫМ ПОЛЕМ, 10.08.2026</t>
        </is>
      </c>
      <c r="B423" s="229" t="n"/>
    </row>
    <row r="424">
      <c r="A424" t="inlineStr">
        <is>
          <t>Что сделано</t>
        </is>
      </c>
      <c r="B424" s="229" t="inlineStr">
        <is>
          <t>Под каждым числовым полем — тихая строчка «Вернуть значение по умолчанию». 21 поле. Появляется, только когда цифра отличается от исходной: пока человек ничего не менял, её нет.</t>
        </is>
      </c>
    </row>
    <row r="425">
      <c r="A425" t="inlineStr">
        <is>
          <t>Как устроено</t>
        </is>
      </c>
      <c r="B425" s="229" t="inlineStr">
        <is>
          <t>Строчки создаёт скрипт при загрузке, обходя все .qf input[type=number] с id. Исходное берём из атрибута value в разметке — там же, откуда его берёт браузер, второго источника правды не заводим. Будущие поля подхватятся сами.</t>
        </is>
      </c>
    </row>
    <row r="426">
      <c r="A426" t="inlineStr">
        <is>
          <t>Чего не касается</t>
        </is>
      </c>
      <c r="B426" s="229" t="inlineStr">
        <is>
          <t>Таблиц расходов: там строки добавляются и удаляются, «исходного значения» у них нет. Для них работает общая кнопка «Вернуть значения по умолчанию» внизу анкеты.</t>
        </is>
      </c>
    </row>
    <row r="427">
      <c r="A427" t="inlineStr">
        <is>
          <t>АВТОПОДБОР НАЛОГОВОГО РЕЖИМА, 10.08.2026</t>
        </is>
      </c>
      <c r="B427" s="229" t="n"/>
    </row>
    <row r="428">
      <c r="A428" t="inlineStr">
        <is>
          <t>Галочка</t>
        </is>
      </c>
      <c r="B428" s="229" t="inlineStr">
        <is>
          <t>«Подбирать режим автоматически» работает как переключатель. Первое нажатие включает постоянный подбор лучшего доступного режима с учётом ставки, взносов и лимитов; повторное нажатие отключает автоподбор и возвращает ручное управление налоговыми полями.</t>
        </is>
      </c>
    </row>
    <row r="429">
      <c r="A429" t="inlineStr">
        <is>
          <t>Как считает</t>
        </is>
      </c>
      <c r="B429" s="229" t="inlineStr">
        <is>
          <t>Функция подобрать() перебирает npd, usn6, usn15, ausn8, ausn20, считает каждый и сравнивает выручку минус расходы, налоги и эквайринг. Режимы, в лимит которых человек не помещается, отбрасываются. Правило то же, что в блоке «Ваш идеальный налоговый режим» отчёта — иначе анкета и отчёт советовали бы разное.</t>
        </is>
      </c>
    </row>
    <row r="430">
      <c r="A430" t="inlineStr">
        <is>
          <t>Список</t>
        </is>
      </c>
      <c r="B430" s="229" t="inlineStr">
        <is>
          <t>Пока подбор включён, список показывает выбранный режим, но не даёт менять: иначе человек выберет, а расчёт тут же переставит обратно.</t>
        </is>
      </c>
    </row>
    <row r="431">
      <c r="A431" t="inlineStr">
        <is>
          <t>ТЕКСТ УВЕДОМЛЕНИЯ О ПЕРЕКЛЮЧЕНИИ</t>
        </is>
      </c>
      <c r="B431" s="229" t="inlineStr">
        <is>
          <t>Автоматический возврат работает только если пользователь первоначально сам выбрал НПД, а калькулятор временно заменил его из-за превышения лимита. При корректировке данных модель отдельно пересчитывается в НПД; если предполагаемая выручка снова не превышает 2 400 000 ₽, НПД восстанавливается. Если пользователь изначально выбрал ИП или вручную сменил автоматически выбранный режим, уведомления о НПД не показываются.</t>
        </is>
      </c>
    </row>
    <row r="432">
      <c r="A432" t="inlineStr">
        <is>
          <t>Проверено</t>
        </is>
      </c>
      <c r="B432" s="229" t="inlineStr">
        <is>
          <t>Проверены сценарии: НПД → превышение → УСН 6% и жёлтое уведомление; возврат данных в лимит → НПД и зелёное уведомление; закрытое жёлтое уведомление не мешает показать зелёное; ручной выбор ИП не меняется и уведомлений НПД не вызывает. Проверено автоскрытие обоих состояний и сохранение исходного 12-секундного таймера при повторных пересчётах.</t>
        </is>
      </c>
    </row>
    <row r="434">
      <c r="A434" t="inlineStr">
        <is>
          <t>ПРАВКИ ПО НАЛОГОВОМУ БЛОКУ, 10.08.2026</t>
        </is>
      </c>
      <c r="B434" s="229" t="n"/>
    </row>
    <row r="435">
      <c r="A435" t="inlineStr">
        <is>
          <t>Полоса видна везде</t>
        </is>
      </c>
      <c r="B435" s="229" t="inlineStr">
        <is>
          <t>Убрано условие, прятавшее полосу, когда блок налогов на экране. Смена режима — то, что человек должен заметить сразу, где бы он ни был. Раньше при правке дохода наверху страницы уведомление не показывалось вовсе.</t>
        </is>
      </c>
    </row>
    <row r="436">
      <c r="A436" t="inlineStr">
        <is>
          <t>Автоподбор выключен по умолчанию</t>
        </is>
      </c>
      <c r="B436" s="229" t="inlineStr">
        <is>
          <t>Галочка «Подобрать режим автоматически» больше не стоит при открытии: человек сам решает, доверить выбор калькулятору или выбрать режим.</t>
        </is>
      </c>
    </row>
    <row r="437">
      <c r="A437" t="inlineStr">
        <is>
          <t>Блокировка полная</t>
        </is>
      </c>
      <c r="B437" s="229" t="inlineStr">
        <is>
          <t>При включённом автоподборе блокируется весь налоговый блок, включая саму кнопку автоподбора и «Не учитывать этот блок». Активной остаётся только локальная иконка сброса, которая возвращает ручной режим. Во включённом состоянии кнопка автоподбора остаётся насыщенной и яркой; затемняются остальные элементы блока, активен только локальный сброс.</t>
        </is>
      </c>
    </row>
    <row r="438">
      <c r="A438" t="inlineStr">
        <is>
          <t>Проверено в браузере</t>
        </is>
      </c>
      <c r="B438" s="229" t="inlineStr">
        <is>
          <t>Доход задран без прокрутки — полоса появилась сразу. Автоподбор включён — оба поля заблокированы, режим подобран. Расчёт не изменился: 60 полей, ноль расхождений.</t>
        </is>
      </c>
    </row>
    <row r="440">
      <c r="A440" t="inlineStr">
        <is>
          <t>ТЕКСТ ПОДТВЕРЖДЕНИЯ СБРОСА, 10.08.2026</t>
        </is>
      </c>
      <c r="B440" s="229" t="n"/>
    </row>
    <row r="441">
      <c r="A441" t="inlineStr">
        <is>
          <t>Было</t>
        </is>
      </c>
      <c r="B441" s="229" t="inlineStr">
        <is>
          <t>«Всё введённое будет стёрто — нажмите ещё раз». Слово «стёрто» пугало и было неточным: поля не опустеют, а вернутся к исходным цифрам. Все текстовые, числовые поля и списки получили состояния заполненности: если одно из полей строки равно нулю или пусто, вся строка становится светло-серой. Фон полей при этом прозрачный, без отдельной белой или серой заливки. Полностью заполненная строка получает мягкую зелёную рамку и подложку; фокус использует прежний активный стиль.</t>
        </is>
      </c>
    </row>
    <row r="442">
      <c r="A442" t="inlineStr">
        <is>
          <t>Стало</t>
        </is>
      </c>
      <c r="B442" s="229" t="inlineStr">
        <is>
          <t>«Все введённые данные будут изменены. Нажмите ещё раз, чтобы подтвердить».</t>
        </is>
      </c>
    </row>
    <row r="443">
      <c r="A443" t="inlineStr">
        <is>
          <t>На заметку</t>
        </is>
      </c>
      <c r="B443" s="229" t="inlineStr">
        <is>
          <t>В строках JS кириллица записана через \uXXXX, причём регистр букв в escape-последовательностях смешанный: \u043D рядом с \u0435. Поиск по подготовленной строке не сработает — заменять надо по позиции в файле.</t>
        </is>
      </c>
    </row>
    <row r="445">
      <c r="A445" t="inlineStr">
        <is>
          <t>АВТОПОДБОР ВЫДЕЛЕН РАМКОЙ, 10.08.2026</t>
        </is>
      </c>
      <c r="B445" s="229" t="n"/>
    </row>
    <row r="446">
      <c r="A446" t="inlineStr">
        <is>
          <t>Образец</t>
        </is>
      </c>
      <c r="B446" s="229" t="inlineStr">
        <is>
          <t>Рамка .zap из блоков резервов: то же скругление 14, та же подложка c-surf, тот же переход цвета. Новый класс .autobox — имя проверено, свободно.</t>
        </is>
      </c>
    </row>
    <row r="447">
      <c r="A447" t="inlineStr">
        <is>
          <t>Как ведёт себя</t>
        </is>
      </c>
      <c r="B447" s="229" t="inlineStr">
        <is>
          <t>Пока галочка снята, рамка серая и пояснение скрыто. Поставили — рамка и подложка зеленеют, значок из серого становится зелёным, пояснение раскрывается. Это же поведение у рамок резервов.</t>
        </is>
      </c>
    </row>
    <row r="448">
      <c r="A448" t="inlineStr">
        <is>
          <t>Надпись</t>
        </is>
      </c>
      <c r="B448" s="229" t="inlineStr">
        <is>
          <t>Стала крупнее и полужирной, как заголовки .zaph .flag. Между галочкой и надписью — значок-искра, он подхватывает цвет состояния.</t>
        </is>
      </c>
    </row>
    <row r="449">
      <c r="A449" t="inlineStr">
        <is>
          <t>Проверено</t>
        </is>
      </c>
      <c r="B449" s="229" t="inlineStr">
        <is>
          <t>Рамка зеленеет, оба поля блокируются, режим подбирается. Расчёт не изменился: 60 полей, ноль расхождений.</t>
        </is>
      </c>
    </row>
    <row r="451">
      <c r="A451" t="inlineStr">
        <is>
          <t>АВТОПОДБОР СТАЛ КНОПКОЙ-ПЕРЕКЛЮЧАТЕЛЕМ, 10.08.2026</t>
        </is>
      </c>
      <c r="B451" s="229" t="n"/>
    </row>
    <row r="452">
      <c r="A452" t="inlineStr">
        <is>
          <t>Что сделано</t>
        </is>
      </c>
      <c r="B452" s="229" t="inlineStr">
        <is>
          <t>Вместо рамки с галочкой — кнопка .autobtn во всю ширину, надпись по центру. Нажатие переключает: первое включает подбор, второе выключает. Настоящий флажок лежит внутри и скрыт, состояние читается через :has(input:checked) — отдельного класса и его переключения в скрипте больше нет.</t>
        </is>
      </c>
    </row>
    <row r="453">
      <c r="A453" t="inlineStr">
        <is>
          <t>Два состояния</t>
        </is>
      </c>
      <c r="B453" s="229" t="inlineStr">
        <is>
          <t>В покое светло-зелёная в рамке: подложка c-g-50, рамка c-g-300, надпись c-g-800. Включённая — заливная, градиент c-g-700 → c-g-500, белая надпись и зелёная тень. При наведении обе темнеют на шаг.</t>
        </is>
      </c>
    </row>
    <row r="454">
      <c r="A454" t="inlineStr">
        <is>
          <t>Размеры</t>
        </is>
      </c>
      <c r="B454" s="229" t="inlineStr">
        <is>
          <t>От кнопок отчёта: высота 72, радиус блока, надпись 17. Значок-искра слева от текста, цвет наследует от надписи.</t>
        </is>
      </c>
    </row>
    <row r="455">
      <c r="A455" t="inlineStr">
        <is>
          <t>Пояснение</t>
        </is>
      </c>
      <c r="B455" s="229" t="inlineStr">
        <is>
          <t>Вынесено из кнопки наружу, под неё. Появляется только когда подбор включён. Последняя фраза переписана: «Нажмите ещё раз, чтобы выбрать режим самостоятельно» — галочки на экране больше нет, снимать нечего.</t>
        </is>
      </c>
    </row>
    <row r="456">
      <c r="A456" t="inlineStr">
        <is>
          <t>Убрано</t>
        </is>
      </c>
      <c r="B456" s="229" t="inlineStr">
        <is>
          <t>Классы .autobox и .autotax вместе с правилами, три устаревших комментария подряд от прежних версий блока.</t>
        </is>
      </c>
    </row>
    <row r="457">
      <c r="A457" t="inlineStr">
        <is>
          <t>Проверено</t>
        </is>
      </c>
      <c r="B457" s="229" t="inlineStr">
        <is>
          <t>Нажатие по кнопке включает и выключает подбор, оба поля выбора блокируются и разблокируются. Расчёт не изменился: 60 полей, ноль расхождений.</t>
        </is>
      </c>
    </row>
    <row r="459">
      <c r="A459" t="inlineStr">
        <is>
          <t>АВТОПОДБОР: ДОВОДКА, 10.08.2026</t>
        </is>
      </c>
      <c r="B459" s="229" t="n"/>
    </row>
    <row r="460">
      <c r="A460" t="inlineStr">
        <is>
          <t>Надпись</t>
        </is>
      </c>
      <c r="B460" s="229" t="inlineStr">
        <is>
          <t>Кнопка «Подбирать режим автоматически» остаётся активной во включённом состоянии. Под ней показана подсказка «Нажмите повторно, чтобы отключить автоматический подбор». Локальный сброс по-прежнему возвращает весь налоговый блок к значениям по умолчанию.</t>
        </is>
      </c>
    </row>
    <row r="461">
      <c r="A461" t="inlineStr">
        <is>
          <t>Пояснение видно всегда</t>
        </is>
      </c>
      <c r="B461" s="229" t="inlineStr">
        <is>
          <t>Раньше показывалось только при включённом подборе — человек не понимал, что даст кнопка, пока не нажмёт. Теперь стоит под кнопкой в обоих состояниях, класс .off и его переключение в скрипте убраны.</t>
        </is>
      </c>
    </row>
    <row r="462">
      <c r="A462" t="inlineStr">
        <is>
          <t>Текст пояснения</t>
        </is>
      </c>
      <c r="B462" s="229" t="inlineStr">
        <is>
          <t>Последняя фраза заменена: вместо «Нажмите ещё раз, чтобы выбрать режим самостоятельно» — «Режим будет меняться сам, когда меняются ваши цифры, — уведомлять о каждой смене не станем». Так человек заранее знает, что уведомлений не будет.</t>
        </is>
      </c>
    </row>
    <row r="463">
      <c r="A463" t="inlineStr">
        <is>
          <t>Уведомление о смене</t>
        </is>
      </c>
      <c r="B463" s="229" t="inlineStr">
        <is>
          <t>При включённом подборе полоса о переключении на ИП не показывается: человек сам согласился, что режим меняется без спроса. Выключил подбор — полоса возвращается.</t>
        </is>
      </c>
    </row>
    <row r="464">
      <c r="A464" t="inlineStr">
        <is>
          <t>Воздух</t>
        </is>
      </c>
      <c r="B464" s="229" t="inlineStr">
        <is>
          <t>Отступ пояснения снизу 8, у черты .exc сверху 22 и отбивка 18 вместо 18 и 16 — текст больше не липнет к линии.</t>
        </is>
      </c>
    </row>
    <row r="465">
      <c r="A465" t="inlineStr">
        <is>
          <t>Проверено</t>
        </is>
      </c>
      <c r="B465" s="229" t="inlineStr">
        <is>
          <t>Подбор выключен и доход задран — полоса есть. Включили подбор — полоса ушла. Выключили — вернулась. Расчёт не изменился: 60 полей, ноль расхождений.</t>
        </is>
      </c>
    </row>
    <row r="467">
      <c r="A467" t="inlineStr">
        <is>
          <t>ЕДИНОЕ УВЕДОМЛЕНИЕ В ФОРМАХ, 10.08.2026</t>
        </is>
      </c>
      <c r="B467" s="229" t="n"/>
    </row>
    <row r="468">
      <c r="A468" t="inlineStr">
        <is>
          <t>Было три вида</t>
        </is>
      </c>
      <c r="B468" s="229" t="inlineStr">
        <is>
          <t>.taxoff — серая рамка, .ownnote — простой текст без подложки, .lim — плашка с круглым значком «!». Каждое выглядело по-своему.</t>
        </is>
      </c>
    </row>
    <row r="469">
      <c r="A469" t="inlineStr">
        <is>
          <t>Стало одно</t>
        </is>
      </c>
      <c r="B469" s="229" t="inlineStr">
        <is>
          <t>Класс .fnote: жёлтая рамка c-a-200, подложка c-a-50, текст c-a-800, радиус 12, без значка. .lim приведён к нему же — круглый значок убран. .ownnote и .taxoff как отдельные правила удалены.</t>
        </is>
      </c>
    </row>
    <row r="470">
      <c r="A470" t="inlineStr">
        <is>
          <t>Где применяется</t>
        </is>
      </c>
      <c r="B470" s="229" t="inlineStr">
        <is>
          <t>«Работаю без оформления» в блоке налогов · «Живу в своём, ипотеки нет» в рабочем месте · плашка о лимите налогового режима.</t>
        </is>
      </c>
    </row>
    <row r="471">
      <c r="A471" t="inlineStr">
        <is>
          <t>Новое уведомление</t>
        </is>
      </c>
      <c r="B471" s="229" t="inlineStr">
        <is>
          <t>Под блоком обучения добавлено постоянное контурное уведомление «Упущенная выгода — рекомендуем учитывать в расчёте». Пояснение охватывает время, вложенное в получение профессии, создание сайта и другие необходимые для работы задачи. Упущенная выгода учитывается автоматически, пока блок обучения включён; при отключении всего блока обучения в расчёт не входит.</t>
        </is>
      </c>
    </row>
    <row r="472">
      <c r="A472" t="inlineStr">
        <is>
          <t>ВОЗВРАТ ЗНАЧЕНИЙ ПО БЛОКАМ, 10.08.2026</t>
        </is>
      </c>
      <c r="B472" s="229" t="n"/>
    </row>
    <row r="473">
      <c r="A473" t="inlineStr">
        <is>
          <t>Было</t>
        </is>
      </c>
      <c r="B473" s="229" t="inlineStr">
        <is>
          <t>Строчка стояла под каждым числовым полем — 21 штука, и только у них. У таблиц расходов, ползунков, переключателей и налогового блока возврата не было вовсе.</t>
        </is>
      </c>
    </row>
    <row r="474">
      <c r="A474" t="inlineStr">
        <is>
          <t>Стало</t>
        </is>
      </c>
      <c r="B474" s="229" t="inlineStr">
        <is>
          <t>Все локальные кнопки сброса перенесены к заголовкам карточек. В обычном блоке иконка стоит справа от h2. В составных блоках «Программное обеспечение» и «Банковское обслуживание» отдельные сбросы стоят напротив подзаголовков каждой самостоятельной формы. Кнопки больше не теряются рядом с «Добавить…» или полями. Под общей кнопкой «Вернуть значения по умолчанию» добавлены увеличенные иконки «Поделиться» и «Поблагодарить проект» с отступом 24 px и кнопками 46×46 px.</t>
        </is>
      </c>
    </row>
    <row r="475">
      <c r="A475" t="inlineStr">
        <is>
          <t>Как определяет изменения</t>
        </is>
      </c>
      <c r="B475" s="229" t="inlineStr">
        <is>
          <t>Снимок всех input и select карточки снимается при загрузке, уже после заполнения таблиц из CAT. Сравнение идёт и по числу элементов — так ловятся добавленные и удалённые строки таблиц.</t>
        </is>
      </c>
    </row>
    <row r="476">
      <c r="A476" t="inlineStr">
        <is>
          <t>Что делает при возврате</t>
        </is>
      </c>
      <c r="B476" s="229" t="inlineStr">
        <is>
          <t>Таблицы пересобирает заново из CAT, полям возвращает значения из снимка, затем рассылает события change и input — чтобы подтянулись состояния, которые ведёт скрипт: подсветка выбора, скрытые подблоки, рамки резервов, заливка ползунков и уведомления.</t>
        </is>
      </c>
    </row>
    <row r="477">
      <c r="A477" t="inlineStr">
        <is>
          <t>Проверено в браузере</t>
        </is>
      </c>
      <c r="B477" s="229" t="inlineStr">
        <is>
          <t>Проверено: сбросы отсутствуют у полей и кнопок «Добавить…»; у программного обеспечения и банковского обслуживания по два сброса в строках подзаголовков; изменение и возврат таблиц работают. Расчётная логика не изменилась.</t>
        </is>
      </c>
    </row>
    <row r="478">
      <c r="A478" t="inlineStr">
        <is>
          <t>ДЕКОРАТИВНЫЕ КРУГИ И НОМЕРА БЛОКОВ</t>
        </is>
      </c>
      <c r="B478" t="inlineStr">
        <is>
          <t>В трёх карточках условий труда фоновые круги больше не повторяются: в первой два круга разных размеров, во второй один, в третьей два с другой композицией. Номера блоков получили более контрастный полупрозрачный цвет и режим смешивания с фоном.</t>
        </is>
      </c>
    </row>
    <row r="479">
      <c r="A479" t="inlineStr">
        <is>
          <t>ПЕРЕХОД ИЗ ОТЧЁТА ВКЛЮЧАЕТ БЛОК, 10.08.2026</t>
        </is>
      </c>
      <c r="B479" s="229" t="n"/>
    </row>
    <row r="480">
      <c r="A480" t="inlineStr">
        <is>
          <t>Что было</t>
        </is>
      </c>
      <c r="B480" s="229" t="inlineStr">
        <is>
          <t>Кнопки отчёта «Заложить фонд развития» и «Заложить запас на скидку» вели на calc.html#fund_on и #disc_on. Браузер просто прокручивал к галочке — человек нажимал кнопку с ясным намерением, а дальше должен был искать и ставить галочку сам.</t>
        </is>
      </c>
    </row>
    <row r="481">
      <c r="A481" t="inlineStr">
        <is>
          <t>Что стало</t>
        </is>
      </c>
      <c r="B481" s="229" t="inlineStr">
        <is>
          <t>Анкета читает якорь и сама включает галочку, если она снята. Дальше карточка подсвечивается зелёной обводкой на 2,6 секунды и прокручивается к центру экрана — видно, что именно изменилось.</t>
        </is>
      </c>
    </row>
    <row r="482">
      <c r="A482" t="inlineStr">
        <is>
          <t>Какие якоря работают</t>
        </is>
      </c>
      <c r="B482" s="229" t="inlineStr">
        <is>
          <t>fund_on, disc_on, fm_on, tax_auto. Список закрытый: включать что попало по адресу нельзя. Работает и при загрузке страницы, и при смене якоря на открытой.</t>
        </is>
      </c>
    </row>
    <row r="483">
      <c r="A483" t="inlineStr">
        <is>
          <t>Если галочка уже стоит</t>
        </is>
      </c>
      <c r="B483" s="229" t="inlineStr">
        <is>
          <t>Ничего не трогаем — снимать её было бы неожиданно. Только подсветка и прокрутка.</t>
        </is>
      </c>
    </row>
    <row r="484">
      <c r="A484" t="inlineStr">
        <is>
          <t>Проверено в браузере</t>
        </is>
      </c>
      <c r="B484" s="229" t="inlineStr">
        <is>
          <t>Все три якоря включают галочку, рамка резерва сразу зеленеет, подсветка появляется. Повторный переход при включённой галочке её не снимает. В расчёте: с #disc_on discP = 0,15, ставка выросла с 9 874 до 11 944. Без якоря расчёт не изменился.</t>
        </is>
      </c>
    </row>
    <row r="486">
      <c r="A486" t="inlineStr">
        <is>
          <t>СТРОКА ВОЗВРАТА ВИДНА ВСЕГДА, 10.08.2026</t>
        </is>
      </c>
      <c r="B486" s="229" t="n"/>
    </row>
    <row r="487">
      <c r="A487" t="inlineStr">
        <is>
          <t>В чём была ошибка</t>
        </is>
      </c>
      <c r="B487" s="229" t="inlineStr">
        <is>
          <t>Строка существовала во всех 20 блоках, но правило .rst держало display:none и показывалось только по классу .on — то есть после того, как человек что-то изменит. При открытии анкеты её не было видно ни в одном блоке, поэтому функция выглядела несделанной.</t>
        </is>
      </c>
    </row>
    <row r="488">
      <c r="A488" t="inlineStr">
        <is>
          <t>Что исправлено</t>
        </is>
      </c>
      <c r="B488" s="229" t="inlineStr">
        <is>
          <t>Строка видна всегда. Пока в блоке ничего не меняли — приглушена и не нажимается через disabled. Изменили — становится обычной ссылкой. Так человек заранее видит, что откатить блок можно.</t>
        </is>
      </c>
    </row>
    <row r="489">
      <c r="A489" t="inlineStr">
        <is>
          <t>Место строки</t>
        </is>
      </c>
      <c r="B489" s="229" t="inlineStr">
        <is>
          <t>Раньше всегда падала в конец карточки. Теперь в простых блоках стоит сразу под полем: «заголовок — описание — поле — строка». Если ниже есть таблица, галочки или рамка резерва, остаётся перед «не учитывать этот блок» — иначе разорвала бы блок посередине.</t>
        </is>
      </c>
    </row>
    <row r="490">
      <c r="A490" t="inlineStr">
        <is>
          <t>Проверено в браузере</t>
        </is>
      </c>
      <c r="B490" s="229" t="inlineStr">
        <is>
          <t>20 строк на 20 карточек, все видны при открытии, все неактивны. После правки дохода строка в блоке 01 стала активной. Расчёт не изменился: ноль расхождений.</t>
        </is>
      </c>
    </row>
    <row r="492">
      <c r="A492" t="inlineStr">
        <is>
          <t>СТРОКА ВОЗВРАТА: ДВЕ ПРАВКИ, 10.08.2026</t>
        </is>
      </c>
      <c r="B492" s="229" t="n"/>
    </row>
    <row r="493">
      <c r="A493" t="inlineStr">
        <is>
          <t>Вставала сбоку</t>
        </is>
      </c>
      <c r="B493" s="229" t="inlineStr">
        <is>
          <t>У .rst стояло display:inline-block — в блоках расходов строка прилипала справа к кнопке «+ Добавить позицию». Заменено на display:block с width:fit-content: теперь всегда с новой строки, но подчёркивание по длине текста, а не во всю ширину.</t>
        </is>
      </c>
    </row>
    <row r="494">
      <c r="A494" t="inlineStr">
        <is>
          <t>Не видела строк таблиц</t>
        </is>
      </c>
      <c r="B494" s="229" t="inlineStr">
        <is>
          <t>Удаление и добавление строки вызывали recalc(), но не событие DOM — проверка изменений о них не знала и строка оставалась приглушённой. Теперь обработчики .del и [data-add] шлют change с bubbles:true, по нему строка оживает.</t>
        </is>
      </c>
    </row>
    <row r="495">
      <c r="A495" t="inlineStr">
        <is>
          <t>Проверено в браузере</t>
        </is>
      </c>
      <c r="B495" s="229" t="inlineStr">
        <is>
          <t>Удалили строку в «Съёмочной технике» — строка возврата ожила, нажали — вернулось 10 строк из 9, строка снова приглушена. Добавили строку в «Офисной технике» — ожила. Расчёт не изменился: ноль расхождений.</t>
        </is>
      </c>
    </row>
  </sheetData>
  <mergeCells count="11">
    <mergeCell ref="A29:E29"/>
    <mergeCell ref="A4:E4"/>
    <mergeCell ref="A20:E20"/>
    <mergeCell ref="A2:E2"/>
    <mergeCell ref="A54:E54"/>
    <mergeCell ref="A41:E41"/>
    <mergeCell ref="A47:E47"/>
    <mergeCell ref="A1:E1"/>
    <mergeCell ref="A13:E13"/>
    <mergeCell ref="A61:E61"/>
    <mergeCell ref="A56:E5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4"/>
  <sheetViews>
    <sheetView workbookViewId="0">
      <pane ySplit="4" topLeftCell="A5" activePane="bottomLeft" state="frozen"/>
      <selection pane="bottomLeft" activeCell="A1" sqref="A1"/>
    </sheetView>
  </sheetViews>
  <sheetFormatPr baseColWidth="8" defaultRowHeight="15"/>
  <cols>
    <col width="32" customWidth="1" min="1" max="1"/>
    <col width="104" customWidth="1" min="2" max="2"/>
  </cols>
  <sheetData>
    <row r="1">
      <c r="A1" s="1" t="inlineStr">
        <is>
          <t>09i · СПРАВОЧНИК: ТЕРМИНЫ И ОПРЕДЕЛЕНИЯ</t>
        </is>
      </c>
    </row>
    <row r="2">
      <c r="A2" s="250" t="inlineStr">
        <is>
          <t>Плоский список по алфавиту, без разделов. Только те термины, которые человек встречает в анкете и в отчёте. Внутренние термины методики сюда не входят.</t>
        </is>
      </c>
    </row>
    <row r="4">
      <c r="A4" s="257" t="inlineStr">
        <is>
          <t>Термин</t>
        </is>
      </c>
      <c r="B4" s="257" t="inlineStr">
        <is>
          <t>Определение</t>
        </is>
      </c>
    </row>
    <row r="5">
      <c r="A5" s="294" t="inlineStr">
        <is>
          <t>Амортизация</t>
        </is>
      </c>
      <c r="B5" s="229" t="inlineStr">
        <is>
          <t>способ распределения стоимости разовой покупки на весь её срок службы — ежегодные или ежемесячные расходы на износ оборудования.</t>
        </is>
      </c>
    </row>
    <row r="6">
      <c r="A6" s="294" t="inlineStr">
        <is>
          <t>Выручка</t>
        </is>
      </c>
      <c r="B6" s="229" t="inlineStr">
        <is>
          <t>общий объём денежных средств, которые необходимо получить от клиентов за год, чтобы после всех обязательных вычетов у вас остался желаемый чистый доход.</t>
        </is>
      </c>
    </row>
    <row r="7">
      <c r="A7" s="294" t="inlineStr">
        <is>
          <t>Готовые кадры</t>
        </is>
      </c>
      <c r="B7" s="229" t="inlineStr">
        <is>
          <t>среднее количество готовых снимков, получаемых клиентом с часа съёмки. Из этого рассчитывается цена одного кадра.</t>
        </is>
      </c>
    </row>
    <row r="8">
      <c r="A8" s="294" t="inlineStr">
        <is>
          <t>Доход на руки</t>
        </is>
      </c>
      <c r="B8" s="229" t="inlineStr">
        <is>
          <t>чистая сумма, которая остаётся у вас после вычета всех расходов и налогов. Это ключевая точка отсчёта для всех дальнейших расчётов.</t>
        </is>
      </c>
    </row>
    <row r="9">
      <c r="A9" s="294" t="inlineStr">
        <is>
          <t>Запас прочности</t>
        </is>
      </c>
      <c r="B9" s="229" t="inlineStr">
        <is>
          <t>финансовый резерв, формирующий фонд развития и запас на предоставление скидок. Не входит в обязательный базовый расчёт и может включаться по вашему усмотрению.</t>
        </is>
      </c>
    </row>
    <row r="10">
      <c r="A10" s="294" t="inlineStr">
        <is>
          <t>Налоги и взносы</t>
        </is>
      </c>
      <c r="B10" s="229" t="inlineStr">
        <is>
          <t>платежи в соответствии с вашим налоговым режимом. Для индивидуальных предпринимателей включают фиксированные страховые взносы, подлежащие уплате независимо от наличия дохода.</t>
        </is>
      </c>
    </row>
    <row r="11">
      <c r="A11" s="294" t="inlineStr">
        <is>
          <t>Обработка</t>
        </is>
      </c>
      <c r="B11" s="229" t="inlineStr">
        <is>
          <t>время, необходимое для обработки полученного контента за один час съёмки: скачивание и бэкап, отбор и отбраковка кадров, выгрузка и загрузка в ПО, кадрирование, устранение значимых артефактов, цветовая и тоновая коррекция, сведение к единому стилю, настройка чёткости кадра, сохранение в нужном формате, экспорт, загрузка в облако, правки при необходимости, а также формирование и хранение архива.</t>
        </is>
      </c>
    </row>
    <row r="12">
      <c r="A12" s="294" t="inlineStr">
        <is>
          <t>Обустройство места</t>
        </is>
      </c>
      <c r="B12" s="229" t="inlineStr">
        <is>
          <t>закупка необходимой для работы мебели, косметический ремонт помещения, предусмотренного под рабочую зону и хранение оборудования.</t>
        </is>
      </c>
    </row>
    <row r="13">
      <c r="A13" s="294" t="inlineStr">
        <is>
          <t>Обучение</t>
        </is>
      </c>
      <c r="B13" s="229" t="inlineStr">
        <is>
          <t>прохождение профессиональных курсов и работа с наставниками. Помимо прямой финансовой стоимости, учитывает периоды временного снижения или полного отсутствия дохода во время учёбы.</t>
        </is>
      </c>
    </row>
    <row r="14">
      <c r="A14" s="294" t="inlineStr">
        <is>
          <t>Офисное оборудование</t>
        </is>
      </c>
      <c r="B14" s="229" t="inlineStr">
        <is>
          <t>оборудование, необходимое для профессиональной деятельности фотографа и выполнения всего комплекса работ: от обработки заказов и решения текущих задач до поиска новых клиентов, ведения учёта и сопутствующей административной деятельности.</t>
        </is>
      </c>
    </row>
    <row r="15">
      <c r="A15" s="294" t="inlineStr">
        <is>
          <t>Подписки</t>
        </is>
      </c>
      <c r="B15" s="229" t="inlineStr">
        <is>
          <t>регулярные платежи за цифровые сервисы и инструменты, без которых невозможна ежедневная работа: Adobe Creative Cloud, облачные хранилища, хостинг, доменное имя и подобное.</t>
        </is>
      </c>
    </row>
    <row r="16">
      <c r="A16" s="294" t="inlineStr">
        <is>
          <t>Программное обеспечение</t>
        </is>
      </c>
      <c r="B16" s="229" t="inlineStr">
        <is>
          <t>специализированный профессиональный софт, необходимый фотографу для обработки изображений и подготовки материалов. Без этих программ выполнение качественной финальной обработки и передача готового заказа клиенту невозможны.</t>
        </is>
      </c>
    </row>
    <row r="17">
      <c r="A17" s="294" t="inlineStr">
        <is>
          <t>Продвижение и реклама</t>
        </is>
      </c>
      <c r="B17" s="229" t="inlineStr">
        <is>
          <t>комплекс мер, направленных на продвижение, популяризацию личного бренда и поиск новых клиентов.</t>
        </is>
      </c>
    </row>
    <row r="18">
      <c r="A18" s="294" t="inlineStr">
        <is>
          <t>Продолжительность съёмки</t>
        </is>
      </c>
      <c r="B18" s="229" t="inlineStr">
        <is>
          <t>привычный или средний формат заказа. Рассчитывается по формуле: общее количество съёмочных часов в месяц разделить на количество съёмок.</t>
        </is>
      </c>
    </row>
    <row r="19">
      <c r="A19" s="294" t="inlineStr">
        <is>
          <t>Работа с клиентом</t>
        </is>
      </c>
      <c r="B19" s="229" t="inlineStr">
        <is>
          <t>презентация личного бренда, демонстрация портфолио, согласование прайса, даты съёмки и референсов, заключение и коррекция договора, формирование и выставление счетов и актов, контроль оплаты, консультации в ходе работы и пр. Рассчитывается на один заказ.</t>
        </is>
      </c>
    </row>
    <row r="20">
      <c r="A20" s="294" t="inlineStr">
        <is>
          <t>Рабочие паузы</t>
        </is>
      </c>
      <c r="B20" s="229" t="inlineStr">
        <is>
          <t>время в течение дня на подготовку и уборку рабочего места, обслуживание и зарядку оборудования, разминку при работе за компьютером и личные надобности. В расчёт заложен один час ежедневно. Это опирается на нормативы Госкомтруда, где всем работающим независимо от вида труда полагается 10–15 минут в смену на личные надобности, и на санитарные рекомендации для работы за монитором: 10–15 минут перерыва каждый час. Обеденное время сюда не входит и в расчёте не учитывается.</t>
        </is>
      </c>
    </row>
    <row r="21">
      <c r="A21" s="294" t="inlineStr">
        <is>
          <t>Сайт</t>
        </is>
      </c>
      <c r="B21" s="229" t="inlineStr">
        <is>
          <t>персональный информационный ресурс в сети интернет, предназначенный для привлечения новых клиентов и поиска заказов. Может быть создан привлечённым специалистом — тогда учитываются прямые финансовые затраты — либо разработан фотографом самостоятельно. При самостоятельной разработке в качестве амортизируемого вложения учитывается время, затраченное на создание и настройку ресурса, пересчитанное по базовой ставке часа.</t>
        </is>
      </c>
    </row>
    <row r="22">
      <c r="A22" s="294" t="inlineStr">
        <is>
          <t>Содержание рабочего места</t>
        </is>
      </c>
      <c r="B22" s="229" t="inlineStr">
        <is>
          <t>регулярные текущие платежи, обеспечивающие функционирование рабочего пространства.</t>
        </is>
      </c>
    </row>
    <row r="23">
      <c r="A23" s="294" t="inlineStr">
        <is>
          <t>Срок службы</t>
        </is>
      </c>
      <c r="B23" s="229" t="inlineStr">
        <is>
          <t>количество лет, в течение которых вещь реально работает до замены. Учитывается не гарантия производителя, а ваш личный практический опыт.</t>
        </is>
      </c>
    </row>
    <row r="24">
      <c r="A24" s="294" t="inlineStr">
        <is>
          <t>Ставка часа съёмки</t>
        </is>
      </c>
      <c r="B24" s="229" t="inlineStr">
        <is>
          <t>стоимость одного часа работы непосредственно на съёмочной площадке для клиента. Покрывает ваш желаемый доход, все сопутствующие расходы, налоги и комиссии банков.</t>
        </is>
      </c>
    </row>
    <row r="25">
      <c r="A25" s="294" t="inlineStr">
        <is>
          <t>Стоимость часа вашей работы</t>
        </is>
      </c>
      <c r="B25" s="229" t="inlineStr">
        <is>
          <t>ваш итоговый доход, разделённый на абсолютно всё потраченное рабочее время. Показывает реальную стоимость любого вашего часа, включая обработку, общение с клиентами и прочие административные задачи.</t>
        </is>
      </c>
    </row>
    <row r="26">
      <c r="A26" s="294" t="inlineStr">
        <is>
          <t>Съёмка</t>
        </is>
      </c>
      <c r="B26" s="229" t="inlineStr">
        <is>
          <t>время, проведённое непосредственно на площадке. Единственное, за что клиент платит напрямую.</t>
        </is>
      </c>
    </row>
    <row r="27">
      <c r="A27" s="294" t="inlineStr">
        <is>
          <t>Съёмочное оборудование</t>
        </is>
      </c>
      <c r="B27" s="229" t="inlineStr">
        <is>
          <t>неизменный рабочий арсенал, который фотограф берёт с собой на каждую съёмку. Без этого минимума проведение съёмочного процесса физически невозможно либо критически усложняется. Узкоспециализированная техника для разовых или нестандартных проектов сюда не относится — она рассчитывается отдельно под конкретные задачи.</t>
        </is>
      </c>
    </row>
    <row r="28">
      <c r="A28" s="294" t="inlineStr">
        <is>
          <t>Учёт и отчётность</t>
        </is>
      </c>
      <c r="B28" s="229" t="inlineStr">
        <is>
          <t>формирование и сдача деклараций, уплата взносов по срокам, сверки, ведение КУДИР, ответы налоговым органам и пр. Учитывается как часы в квартал.</t>
        </is>
      </c>
    </row>
    <row r="29">
      <c r="A29" s="294" t="inlineStr">
        <is>
          <t>Форс-мажоры</t>
        </is>
      </c>
      <c r="B29" s="229" t="inlineStr">
        <is>
          <t>непредвиденные обстоятельства: внезапный перенос или отмена съёмок, срывы договорённостей по вине клиента, повторные выезды на площадку и прочие ситуации, когда рабочее время уже потрачено, но оплата труда не поступает.</t>
        </is>
      </c>
    </row>
    <row r="30">
      <c r="A30" s="294" t="inlineStr">
        <is>
          <t>Эквайринг</t>
        </is>
      </c>
      <c r="B30" s="229" t="inlineStr">
        <is>
          <t>банковская комиссия за приём платежей по картам или через QR-код. Рассчитывается со всей суммы поступлений, а не с чистой прибыли.</t>
        </is>
      </c>
    </row>
    <row r="32" ht="56" customHeight="1">
      <c r="A32" s="260" t="inlineStr">
        <is>
          <t>Нормативная основа «Рабочих пауз»: Межотраслевые методические рекомендации «Определение нормативов времени на отдых и личные надобности» (Госкомтруд СССР) — 10–15 минут в смену на личные надобности всем работающим; 3–5% оперативного времени на отдых при монотонной работе. Санитарные рекомендации для работы за монитором: 10–15 минут каждые 45–60 минут (СанПиН 2.2.2/2.4.1340-03 и ТОИ Р-45-084-01 утратили силу с 01.01.2021, цифры используются как ориентир). Обеденный перерыв не входит.</t>
        </is>
      </c>
    </row>
    <row r="34">
      <c r="A34" s="295" t="inlineStr">
        <is>
          <t>ЕДИНЫЕ НАЗВАНИЯ В ТАБЛИЦЕ ПОЛНОЙ ВЫГРУЗКИ — 06.08.2026</t>
        </is>
      </c>
    </row>
    <row r="35">
      <c r="A35" s="229" t="inlineStr">
        <is>
          <t>Было</t>
        </is>
      </c>
      <c r="B35" s="229" t="inlineStr">
        <is>
          <t>Стало</t>
        </is>
      </c>
    </row>
    <row r="36">
      <c r="A36" s="229" t="inlineStr">
        <is>
          <t>Съёмочная техника</t>
        </is>
      </c>
      <c r="B36" s="229" t="inlineStr">
        <is>
          <t>Съёмочное оборудование</t>
        </is>
      </c>
    </row>
    <row r="37">
      <c r="A37" s="229" t="inlineStr">
        <is>
          <t>Компьютер и периферия</t>
        </is>
      </c>
      <c r="B37" s="229" t="inlineStr">
        <is>
          <t>Офисное оборудование</t>
        </is>
      </c>
    </row>
    <row r="38">
      <c r="A38" s="229" t="inlineStr">
        <is>
          <t>Программы разово + Подписки и сервисы</t>
        </is>
      </c>
      <c r="B38" s="229" t="inlineStr">
        <is>
          <t>Программное обеспечение — одной строкой</t>
        </is>
      </c>
    </row>
    <row r="39">
      <c r="A39" s="229" t="inlineStr">
        <is>
          <t>Обустройство места</t>
        </is>
      </c>
      <c r="B39" s="229" t="inlineStr">
        <is>
          <t>Обустройство рабочего места</t>
        </is>
      </c>
    </row>
    <row r="40">
      <c r="A40" s="229" t="inlineStr">
        <is>
          <t>Реклама и продвижение</t>
        </is>
      </c>
      <c r="B40" s="229" t="inlineStr">
        <is>
          <t>Продвижение и реклама</t>
        </is>
      </c>
    </row>
    <row r="41">
      <c r="A41" s="229" t="inlineStr">
        <is>
          <t>Аренда и коммунальные</t>
        </is>
      </c>
      <c r="B41" s="229" t="inlineStr">
        <is>
          <t>Содержание рабочего места</t>
        </is>
      </c>
    </row>
    <row r="42">
      <c r="A42" s="229" t="inlineStr">
        <is>
          <t>Банк и РКО + Эквайринг</t>
        </is>
      </c>
      <c r="B42" s="229" t="inlineStr">
        <is>
          <t>Банк и РКО — эквайринг входит сюда, в налогах не дублируется</t>
        </is>
      </c>
    </row>
    <row r="43">
      <c r="A43" s="229" t="inlineStr">
        <is>
          <t>Съёмка на площадке</t>
        </is>
      </c>
      <c r="B43" s="229" t="inlineStr">
        <is>
          <t>Съёмочных часов</t>
        </is>
      </c>
    </row>
    <row r="44">
      <c r="A44" s="229" t="inlineStr">
        <is>
          <t>Обработка материала</t>
        </is>
      </c>
      <c r="B44" s="229" t="inlineStr">
        <is>
          <t>Часов на обработку</t>
        </is>
      </c>
    </row>
    <row r="45">
      <c r="A45" s="229" t="inlineStr">
        <is>
          <t>Продвижение</t>
        </is>
      </c>
      <c r="B45" s="229" t="inlineStr">
        <is>
          <t>Часов на продвижение и рекламу</t>
        </is>
      </c>
    </row>
    <row r="46">
      <c r="A46" s="229" t="inlineStr">
        <is>
          <t>Работа с клиентом</t>
        </is>
      </c>
      <c r="B46" s="229" t="inlineStr">
        <is>
          <t>Часов на работу с клиентом</t>
        </is>
      </c>
    </row>
    <row r="47">
      <c r="A47" s="229" t="inlineStr">
        <is>
          <t>Учёт и отчётность</t>
        </is>
      </c>
      <c r="B47" s="229" t="inlineStr">
        <is>
          <t>Часов на учёт и отчётность</t>
        </is>
      </c>
    </row>
    <row r="48">
      <c r="A48" s="229" t="inlineStr">
        <is>
          <t>Рабочие паузы</t>
        </is>
      </c>
      <c r="B48" s="229" t="inlineStr">
        <is>
          <t>Часов на рабочие паузы</t>
        </is>
      </c>
    </row>
    <row r="49">
      <c r="A49" s="229" t="inlineStr">
        <is>
          <t>Резерв на форс-мажоры</t>
        </is>
      </c>
      <c r="B49" s="229" t="inlineStr">
        <is>
          <t>Часов на форс-мажоры</t>
        </is>
      </c>
    </row>
    <row r="50">
      <c r="A50" s="229" t="inlineStr">
        <is>
          <t>Длительность съёмки</t>
        </is>
      </c>
      <c r="B50" s="229" t="inlineStr">
        <is>
          <t>Продолжительность съёмки</t>
        </is>
      </c>
    </row>
    <row r="51">
      <c r="A51" s="229" t="inlineStr">
        <is>
          <t>Время на один проект</t>
        </is>
      </c>
      <c r="B51" s="229" t="inlineStr">
        <is>
          <t>Время на один съёмочный проект</t>
        </is>
      </c>
    </row>
    <row r="52">
      <c r="A52" s="229" t="inlineStr">
        <is>
          <t>Кадров с часа съёмки</t>
        </is>
      </c>
      <c r="B52" s="229" t="inlineStr">
        <is>
          <t>Готовых кадров с часа съёмки</t>
        </is>
      </c>
    </row>
    <row r="53">
      <c r="A53" s="229" t="inlineStr">
        <is>
          <t>Стоимость одной съёмки</t>
        </is>
      </c>
      <c r="B53" s="229" t="inlineStr">
        <is>
          <t>Стоимость одного съёмочного проекта</t>
        </is>
      </c>
    </row>
    <row r="54">
      <c r="A54" s="229" t="inlineStr">
        <is>
          <t>Ваша текущая ставка</t>
        </is>
      </c>
      <c r="B54" s="229" t="inlineStr">
        <is>
          <t>УДАЛЕНА — заменена на «Стоимость одного готового кадра»</t>
        </is>
      </c>
    </row>
  </sheetData>
  <mergeCells count="4">
    <mergeCell ref="A32:B32"/>
    <mergeCell ref="A2:B2"/>
    <mergeCell ref="A1:B1"/>
    <mergeCell ref="A34:B3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17" customWidth="1" min="2" max="2"/>
    <col width="15" customWidth="1" min="3" max="3"/>
    <col width="15" customWidth="1" min="4" max="4"/>
    <col width="15" customWidth="1" min="5" max="5"/>
    <col width="44" customWidth="1" min="6" max="6"/>
  </cols>
  <sheetData>
    <row r="1">
      <c r="A1" s="1" t="inlineStr">
        <is>
          <t>10 · МОНЕТИЗАЦИЯ — цены, комиссии, партнёрская программа</t>
        </is>
      </c>
    </row>
    <row r="2">
      <c r="A2" s="25" t="inlineStr">
        <is>
          <t>Тестовый этап: задача не заработать, а проверить готовность платить. Жёлтое — редактируется.</t>
        </is>
      </c>
    </row>
    <row r="4">
      <c r="A4" s="3" t="inlineStr">
        <is>
          <t>ЦЕНЫ</t>
        </is>
      </c>
    </row>
    <row r="5">
      <c r="A5" s="44" t="inlineStr">
        <is>
          <t>Параметр</t>
        </is>
      </c>
      <c r="B5" s="44" t="inlineStr">
        <is>
          <t>Значение</t>
        </is>
      </c>
      <c r="C5" s="44" t="inlineStr">
        <is>
          <t>Ед.</t>
        </is>
      </c>
      <c r="D5" s="44" t="inlineStr"/>
      <c r="E5" s="44" t="inlineStr"/>
      <c r="F5" s="44" t="inlineStr">
        <is>
          <t>Комментарий</t>
        </is>
      </c>
    </row>
    <row r="6">
      <c r="A6" s="5" t="inlineStr">
        <is>
          <t>Базовая цена скачивания</t>
        </is>
      </c>
      <c r="B6" s="114" t="n">
        <v>490</v>
      </c>
      <c r="C6" s="5" t="inlineStr">
        <is>
          <t>₽</t>
        </is>
      </c>
      <c r="D6" s="5" t="inlineStr"/>
      <c r="E6" s="5" t="inlineStr"/>
      <c r="F6" s="5" t="inlineStr">
        <is>
          <t>Без реферальной ссылки. Ориентир по рынку микропродуктов</t>
        </is>
      </c>
    </row>
    <row r="7">
      <c r="A7" s="5" t="inlineStr">
        <is>
          <t>Цена по реферальной ссылке</t>
        </is>
      </c>
      <c r="B7" s="114" t="n">
        <v>169</v>
      </c>
      <c r="C7" s="5" t="inlineStr">
        <is>
          <t>₽</t>
        </is>
      </c>
      <c r="D7" s="5" t="inlineStr"/>
      <c r="E7" s="5" t="inlineStr"/>
      <c r="F7" s="5" t="inlineStr">
        <is>
          <t>Тестовая. Целевая аудитория — самозанятые с низким доходом</t>
        </is>
      </c>
    </row>
    <row r="8">
      <c r="A8" s="5" t="inlineStr">
        <is>
          <t>Зачёркнутая цена в блоке</t>
        </is>
      </c>
      <c r="B8" s="114" t="n">
        <v>560</v>
      </c>
      <c r="C8" s="5" t="inlineStr">
        <is>
          <t>₽</t>
        </is>
      </c>
      <c r="D8" s="5" t="inlineStr"/>
      <c r="E8" s="5" t="inlineStr"/>
      <c r="F8" s="5" t="inlineStr">
        <is>
          <t>Якорь. Показывается рядом с реферальной</t>
        </is>
      </c>
    </row>
    <row r="9">
      <c r="A9" s="5" t="inlineStr">
        <is>
          <t>Модель</t>
        </is>
      </c>
      <c r="B9" s="20" t="inlineStr">
        <is>
          <t>за скачивание</t>
        </is>
      </c>
      <c r="C9" s="5" t="inlineStr"/>
      <c r="D9" s="5" t="inlineStr"/>
      <c r="E9" s="5" t="inlineStr"/>
      <c r="F9" s="5" t="inlineStr">
        <is>
          <t>Не подписка и не доступ. Каждый отчёт оплачивается отдельно</t>
        </is>
      </c>
    </row>
    <row r="10">
      <c r="A10" s="5" t="inlineStr">
        <is>
          <t>Цель по скачиваниям</t>
        </is>
      </c>
      <c r="B10" s="115" t="n">
        <v>10000</v>
      </c>
      <c r="C10" s="5" t="inlineStr">
        <is>
          <t>шт</t>
        </is>
      </c>
      <c r="D10" s="5" t="inlineStr"/>
      <c r="E10" s="5" t="inlineStr"/>
      <c r="F10" s="5" t="inlineStr">
        <is>
          <t>Порог, после которого продукт считается подтверждённым</t>
        </is>
      </c>
    </row>
    <row r="12">
      <c r="A12" s="3" t="inlineStr">
        <is>
          <t>ПРОГНОЗ ОБОРОТА</t>
        </is>
      </c>
    </row>
    <row r="13">
      <c r="A13" s="44" t="inlineStr">
        <is>
          <t>Сценарий</t>
        </is>
      </c>
      <c r="B13" s="44" t="inlineStr">
        <is>
          <t>Скачиваний</t>
        </is>
      </c>
      <c r="C13" s="44" t="inlineStr">
        <is>
          <t>Цена</t>
        </is>
      </c>
      <c r="D13" s="44" t="inlineStr">
        <is>
          <t>Оборот</t>
        </is>
      </c>
      <c r="E13" s="44" t="inlineStr">
        <is>
          <t>Доля</t>
        </is>
      </c>
      <c r="F13" s="44" t="inlineStr">
        <is>
          <t>Комментарий</t>
        </is>
      </c>
    </row>
    <row r="14">
      <c r="A14" s="5" t="inlineStr">
        <is>
          <t>По реферальной ссылке</t>
        </is>
      </c>
      <c r="B14" s="115" t="n">
        <v>8500</v>
      </c>
      <c r="C14" s="114" t="n">
        <v>169</v>
      </c>
      <c r="D14" s="116">
        <f>B14*C14</f>
        <v>1436500.0</v>
      </c>
      <c r="E14" s="5" t="inlineStr">
        <is>
          <t>85%</t>
        </is>
      </c>
      <c r="F14" s="5" t="inlineStr">
        <is>
          <t>Основной канал: партнёры, соцсети</t>
        </is>
      </c>
    </row>
    <row r="15">
      <c r="A15" s="5" t="inlineStr">
        <is>
          <t>Прямые заходы</t>
        </is>
      </c>
      <c r="B15" s="115" t="n">
        <v>1500</v>
      </c>
      <c r="C15" s="114" t="n">
        <v>490</v>
      </c>
      <c r="D15" s="116">
        <f>B15*C15</f>
        <v>735000.0</v>
      </c>
      <c r="E15" s="5" t="inlineStr">
        <is>
          <t>15%</t>
        </is>
      </c>
      <c r="F15" s="5" t="inlineStr">
        <is>
          <t>Поиск, прямые ссылки</t>
        </is>
      </c>
    </row>
    <row r="16">
      <c r="A16" s="5" t="inlineStr">
        <is>
          <t>ИТОГО</t>
        </is>
      </c>
      <c r="B16" s="117">
        <f>B14+B15</f>
        <v>10000.0</v>
      </c>
      <c r="C16" s="5" t="inlineStr"/>
      <c r="D16" s="118">
        <f>D14+D15</f>
        <v>2171500.0</v>
      </c>
      <c r="E16" s="5" t="inlineStr">
        <is>
          <t>100%</t>
        </is>
      </c>
      <c r="F16" s="5" t="inlineStr"/>
    </row>
    <row r="18">
      <c r="A18" s="3" t="inlineStr">
        <is>
          <t>КОМИССИИ ПЛАТЁЖНЫХ СИСТЕМ 2026</t>
        </is>
      </c>
    </row>
    <row r="19">
      <c r="A19" s="44" t="inlineStr">
        <is>
          <t>Способ оплаты</t>
        </is>
      </c>
      <c r="B19" s="44" t="inlineStr">
        <is>
          <t>Ставка</t>
        </is>
      </c>
      <c r="C19" s="44" t="inlineStr">
        <is>
          <t>НДС 22%</t>
        </is>
      </c>
      <c r="D19" s="44" t="inlineStr">
        <is>
          <t>Итого с оборота</t>
        </is>
      </c>
      <c r="E19" s="44" t="inlineStr">
        <is>
          <t>Остаётся</t>
        </is>
      </c>
      <c r="F19" s="44" t="inlineStr">
        <is>
          <t>Комментарий</t>
        </is>
      </c>
    </row>
    <row r="20">
      <c r="A20" s="5" t="inlineStr">
        <is>
          <t>СБП, льготный тариф</t>
        </is>
      </c>
      <c r="B20" s="119" t="n">
        <v>0.004</v>
      </c>
      <c r="C20" s="20" t="inlineStr">
        <is>
          <t>нет</t>
        </is>
      </c>
      <c r="D20" s="116">
        <f>$D$16*B20</f>
        <v>8686.0</v>
      </c>
      <c r="E20" s="116">
        <f>$D$16-D20</f>
        <v>2162814.0</v>
      </c>
      <c r="F20" s="5" t="inlineStr">
        <is>
          <t>0,4% — для отдельных категорий, не более 1 500 ₽ за операцию</t>
        </is>
      </c>
    </row>
    <row r="21">
      <c r="A21" s="5" t="inlineStr">
        <is>
          <t>СБП, обычный тариф</t>
        </is>
      </c>
      <c r="B21" s="119" t="n">
        <v>0.007</v>
      </c>
      <c r="C21" s="20" t="inlineStr">
        <is>
          <t>нет</t>
        </is>
      </c>
      <c r="D21" s="116">
        <f>$D$16*B21</f>
        <v>15200.5</v>
      </c>
      <c r="E21" s="116">
        <f>$D$16-D21</f>
        <v>2156299.5</v>
      </c>
      <c r="F21" s="5" t="inlineStr">
        <is>
          <t>0,7% — большинство отраслей. НДС не начисляется</t>
        </is>
      </c>
    </row>
    <row r="22">
      <c r="A22" s="5" t="inlineStr">
        <is>
          <t>Карты, интернет-эквайринг</t>
        </is>
      </c>
      <c r="B22" s="119" t="n">
        <v>0.028</v>
      </c>
      <c r="C22" s="17" t="inlineStr">
        <is>
          <t>да</t>
        </is>
      </c>
      <c r="D22" s="116">
        <f>$D$16*B22*1.22</f>
        <v>74178.44</v>
      </c>
      <c r="E22" s="116">
        <f>$D$16-D22</f>
        <v>2097321.56</v>
      </c>
      <c r="F22" s="5" t="inlineStr">
        <is>
          <t>С 2026 к комиссии добавляется НДС 22%</t>
        </is>
      </c>
    </row>
    <row r="23">
      <c r="A23" s="5" t="inlineStr">
        <is>
          <t>Смешанный: 70% СБП + 30% карты</t>
        </is>
      </c>
      <c r="B23" s="5" t="inlineStr"/>
      <c r="C23" s="5" t="inlineStr"/>
      <c r="D23" s="118">
        <f>$D$16*0.7*B21+$D$16*0.3*B22*1.22</f>
        <v>32893.882000000005</v>
      </c>
      <c r="E23" s="118">
        <f>$D$16-D23</f>
        <v>2138606.118</v>
      </c>
      <c r="F23" s="5" t="inlineStr">
        <is>
          <t>Реалистичный сценарий. Ставьте СБП первым способом</t>
        </is>
      </c>
    </row>
    <row r="24">
      <c r="A24" s="5" t="inlineStr">
        <is>
          <t>Экономия СБП против карт</t>
        </is>
      </c>
      <c r="B24" s="5" t="inlineStr"/>
      <c r="C24" s="5" t="inlineStr"/>
      <c r="D24" s="120">
        <f>D22-D21</f>
        <v>58977.94</v>
      </c>
      <c r="E24" s="5" t="inlineStr"/>
      <c r="F24" s="5" t="inlineStr">
        <is>
          <t>Разница только на комиссиях</t>
        </is>
      </c>
    </row>
    <row r="26">
      <c r="A26" s="3" t="inlineStr">
        <is>
          <t>ПЛАТЁЖНЫЕ СИСТЕМЫ — ЧТО ВЫБРАТЬ ДЛЯ ООО</t>
        </is>
      </c>
    </row>
    <row r="27">
      <c r="A27" s="44" t="inlineStr">
        <is>
          <t>Сервис</t>
        </is>
      </c>
      <c r="B27" s="44" t="inlineStr">
        <is>
          <t>Карты</t>
        </is>
      </c>
      <c r="C27" s="44" t="inlineStr">
        <is>
          <t>СБП</t>
        </is>
      </c>
      <c r="D27" s="44" t="inlineStr">
        <is>
          <t>Онлайн-касса</t>
        </is>
      </c>
      <c r="E27" s="44" t="inlineStr">
        <is>
          <t>Tilda</t>
        </is>
      </c>
      <c r="F27" s="44" t="inlineStr">
        <is>
          <t>Комментарий</t>
        </is>
      </c>
    </row>
    <row r="28">
      <c r="A28" s="5" t="inlineStr">
        <is>
          <t>ЮKassa</t>
        </is>
      </c>
      <c r="B28" s="20" t="inlineStr">
        <is>
          <t>от 2,8%</t>
        </is>
      </c>
      <c r="C28" s="20" t="inlineStr">
        <is>
          <t>0,4–0,7%</t>
        </is>
      </c>
      <c r="D28" s="17" t="inlineStr">
        <is>
          <t>отдельно</t>
        </is>
      </c>
      <c r="E28" s="108" t="inlineStr">
        <is>
          <t>готовый модуль</t>
        </is>
      </c>
      <c r="F28" s="5" t="inlineStr">
        <is>
          <t>Уже подключена. Касса нужна отдельно или через партнёра</t>
        </is>
      </c>
    </row>
    <row r="29">
      <c r="A29" s="5" t="inlineStr">
        <is>
          <t>Т-Банк</t>
        </is>
      </c>
      <c r="B29" s="108" t="inlineStr">
        <is>
          <t>от 2,46%</t>
        </is>
      </c>
      <c r="C29" s="20" t="inlineStr">
        <is>
          <t>0,4–0,7%</t>
        </is>
      </c>
      <c r="D29" s="108" t="inlineStr">
        <is>
          <t>встроенная</t>
        </is>
      </c>
      <c r="E29" s="20" t="inlineStr">
        <is>
          <t>через универсальный</t>
        </is>
      </c>
      <c r="F29" s="5" t="inlineStr">
        <is>
          <t>Ниже ставка, быстрое подключение. РКО только для СБП</t>
        </is>
      </c>
    </row>
    <row r="30">
      <c r="A30" s="5" t="inlineStr">
        <is>
          <t>Продамус</t>
        </is>
      </c>
      <c r="B30" s="17" t="inlineStr">
        <is>
          <t>до 3,5%</t>
        </is>
      </c>
      <c r="C30" s="20" t="inlineStr">
        <is>
          <t>есть</t>
        </is>
      </c>
      <c r="D30" s="108" t="inlineStr">
        <is>
          <t>встроенная</t>
        </is>
      </c>
      <c r="E30" s="108" t="inlineStr">
        <is>
          <t>готовый модуль</t>
        </is>
      </c>
      <c r="F30" s="5" t="inlineStr">
        <is>
          <t>Проще всего, но дороже по картам</t>
        </is>
      </c>
    </row>
    <row r="31">
      <c r="A31" s="5" t="inlineStr">
        <is>
          <t>Робокасса</t>
        </is>
      </c>
      <c r="B31" s="20" t="inlineStr">
        <is>
          <t>от 2,7%</t>
        </is>
      </c>
      <c r="C31" s="20" t="inlineStr">
        <is>
          <t>есть</t>
        </is>
      </c>
      <c r="D31" s="108" t="inlineStr">
        <is>
          <t>встроенная</t>
        </is>
      </c>
      <c r="E31" s="108" t="inlineStr">
        <is>
          <t>готовый модуль</t>
        </is>
      </c>
      <c r="F31" s="5" t="inlineStr">
        <is>
          <t>40+ способов оплаты</t>
        </is>
      </c>
    </row>
    <row r="32">
      <c r="A32" s="8" t="inlineStr">
        <is>
          <t>РЕКОМЕНДАЦИЯ</t>
        </is>
      </c>
      <c r="B32" s="8" t="inlineStr"/>
      <c r="C32" s="8" t="inlineStr"/>
      <c r="D32" s="8" t="inlineStr"/>
      <c r="E32" s="8" t="inlineStr"/>
      <c r="F32" s="8" t="inlineStr">
        <is>
          <t>Оставить ЮKassa, включить СБП основным способом. При росте оборота сравнить с Т-Банком</t>
        </is>
      </c>
    </row>
    <row r="34">
      <c r="A34" s="3" t="inlineStr">
        <is>
          <t>ОКВЭД И НАЗНАЧЕНИЕ ПЛАТЕЖА</t>
        </is>
      </c>
    </row>
    <row r="35">
      <c r="A35" s="44" t="inlineStr">
        <is>
          <t>Код</t>
        </is>
      </c>
      <c r="B35" s="44" t="inlineStr">
        <is>
          <t>Название</t>
        </is>
      </c>
      <c r="C35" s="44" t="inlineStr">
        <is>
          <t>Подходит</t>
        </is>
      </c>
      <c r="D35" s="44" t="inlineStr"/>
      <c r="E35" s="44" t="inlineStr"/>
      <c r="F35" s="44" t="inlineStr">
        <is>
          <t>Комментарий</t>
        </is>
      </c>
    </row>
    <row r="36">
      <c r="A36" s="5" t="inlineStr">
        <is>
          <t>62.01</t>
        </is>
      </c>
      <c r="B36" s="5" t="inlineStr">
        <is>
          <t>Разработка компьютерного программного обеспечения</t>
        </is>
      </c>
      <c r="C36" s="108" t="inlineStr">
        <is>
          <t>ДА</t>
        </is>
      </c>
      <c r="D36" s="5" t="inlineStr"/>
      <c r="E36" s="5" t="inlineStr"/>
      <c r="F36" s="5" t="inlineStr">
        <is>
          <t>Основной. Именно его добавить, чтобы платежи шли как IT</t>
        </is>
      </c>
    </row>
    <row r="37">
      <c r="A37" s="5" t="inlineStr">
        <is>
          <t>62.02</t>
        </is>
      </c>
      <c r="B37" s="5" t="inlineStr">
        <is>
          <t>Консультативная деятельность в области ИТ</t>
        </is>
      </c>
      <c r="C37" s="20" t="inlineStr">
        <is>
          <t>да</t>
        </is>
      </c>
      <c r="D37" s="5" t="inlineStr"/>
      <c r="E37" s="5" t="inlineStr"/>
      <c r="F37" s="5" t="inlineStr">
        <is>
          <t>Дополнительный, если будут консультации</t>
        </is>
      </c>
    </row>
    <row r="38">
      <c r="A38" s="5" t="inlineStr">
        <is>
          <t>63.11</t>
        </is>
      </c>
      <c r="B38" s="5" t="inlineStr">
        <is>
          <t>Деятельность по обработке данных</t>
        </is>
      </c>
      <c r="C38" s="20" t="inlineStr">
        <is>
          <t>да</t>
        </is>
      </c>
      <c r="D38" s="5" t="inlineStr"/>
      <c r="E38" s="5" t="inlineStr"/>
      <c r="F38" s="5" t="inlineStr">
        <is>
          <t>Дополнительный, для облачных сервисов</t>
        </is>
      </c>
    </row>
    <row r="39">
      <c r="A39" s="5" t="inlineStr">
        <is>
          <t>Назначение платежа</t>
        </is>
      </c>
      <c r="B39" s="113" t="inlineStr">
        <is>
          <t>Предоставление права использования ПО (расчётный сервис)</t>
        </is>
      </c>
      <c r="C39" s="5" t="inlineStr"/>
      <c r="D39" s="5" t="inlineStr"/>
      <c r="E39" s="5" t="inlineStr"/>
      <c r="F39" s="5" t="inlineStr">
        <is>
          <t>Формулировка для чека и договора-оферты</t>
        </is>
      </c>
    </row>
    <row r="40">
      <c r="A40" s="5" t="inlineStr">
        <is>
          <t>Предмет продажи</t>
        </is>
      </c>
      <c r="B40" s="113" t="inlineStr">
        <is>
          <t>Электронный отчёт, формируемый программой</t>
        </is>
      </c>
      <c r="C40" s="5" t="inlineStr"/>
      <c r="D40" s="5" t="inlineStr"/>
      <c r="E40" s="5" t="inlineStr"/>
      <c r="F40" s="5" t="inlineStr">
        <is>
          <t>Не «услуга» и не «консультация» — именно результат работы ПО</t>
        </is>
      </c>
    </row>
    <row r="42">
      <c r="A42" s="3" t="inlineStr">
        <is>
          <t>ПАРТНЁРСКАЯ ПРОГРАММА</t>
        </is>
      </c>
    </row>
    <row r="43">
      <c r="A43" s="44" t="inlineStr">
        <is>
          <t>Параметр</t>
        </is>
      </c>
      <c r="B43" s="44" t="inlineStr">
        <is>
          <t>Значение</t>
        </is>
      </c>
      <c r="C43" s="44" t="inlineStr">
        <is>
          <t>Ед.</t>
        </is>
      </c>
      <c r="D43" s="44" t="inlineStr"/>
      <c r="E43" s="44" t="inlineStr"/>
      <c r="F43" s="44" t="inlineStr">
        <is>
          <t>Комментарий</t>
        </is>
      </c>
    </row>
    <row r="44">
      <c r="A44" s="5" t="inlineStr">
        <is>
          <t>Вознаграждение партнёру</t>
        </is>
      </c>
      <c r="B44" s="119" t="n">
        <v>0.3</v>
      </c>
      <c r="C44" s="5" t="inlineStr">
        <is>
          <t>%</t>
        </is>
      </c>
      <c r="D44" s="5" t="inlineStr"/>
      <c r="E44" s="5" t="inlineStr"/>
      <c r="F44" s="5" t="inlineStr">
        <is>
          <t>От суммы каждой оплаты по его ссылке</t>
        </is>
      </c>
    </row>
    <row r="45">
      <c r="A45" s="5" t="inlineStr">
        <is>
          <t>Выплата с одной продажи</t>
        </is>
      </c>
      <c r="B45" s="116">
        <f>B44*B7</f>
        <v>50.699999999999996</v>
      </c>
      <c r="C45" s="5" t="inlineStr">
        <is>
          <t>₽</t>
        </is>
      </c>
      <c r="D45" s="5" t="inlineStr"/>
      <c r="E45" s="5" t="inlineStr"/>
      <c r="F45" s="5" t="inlineStr">
        <is>
          <t>При реферальной цене</t>
        </is>
      </c>
    </row>
    <row r="46">
      <c r="A46" s="5" t="inlineStr">
        <is>
          <t>Остаётся проекту</t>
        </is>
      </c>
      <c r="B46" s="116">
        <f>B7-B45</f>
        <v>118.30000000000001</v>
      </c>
      <c r="C46" s="5" t="inlineStr">
        <is>
          <t>₽</t>
        </is>
      </c>
      <c r="D46" s="5" t="inlineStr"/>
      <c r="E46" s="5" t="inlineStr"/>
      <c r="F46" s="5" t="inlineStr">
        <is>
          <t>До вычета комиссии эквайринга</t>
        </is>
      </c>
    </row>
    <row r="47">
      <c r="A47" s="5" t="inlineStr">
        <is>
          <t>Минимальная сумма выплаты</t>
        </is>
      </c>
      <c r="B47" s="114" t="n">
        <v>3000</v>
      </c>
      <c r="C47" s="5" t="inlineStr">
        <is>
          <t>₽</t>
        </is>
      </c>
      <c r="D47" s="5" t="inlineStr"/>
      <c r="E47" s="5" t="inlineStr"/>
      <c r="F47" s="5" t="inlineStr">
        <is>
          <t>Накопительно, чтобы не гонять мелкие переводы</t>
        </is>
      </c>
    </row>
    <row r="48">
      <c r="A48" s="5" t="inlineStr">
        <is>
          <t>Период выплат</t>
        </is>
      </c>
      <c r="B48" s="113" t="inlineStr">
        <is>
          <t>раз в месяц</t>
        </is>
      </c>
      <c r="C48" s="5" t="inlineStr"/>
      <c r="D48" s="5" t="inlineStr"/>
      <c r="E48" s="5" t="inlineStr"/>
      <c r="F48" s="5" t="inlineStr">
        <is>
          <t>До 10 числа за предыдущий месяц</t>
        </is>
      </c>
    </row>
    <row r="49">
      <c r="A49" s="5" t="inlineStr">
        <is>
          <t>Срок жизни метки</t>
        </is>
      </c>
      <c r="B49" s="115" t="n">
        <v>30</v>
      </c>
      <c r="C49" s="5" t="inlineStr">
        <is>
          <t>дней</t>
        </is>
      </c>
      <c r="D49" s="5" t="inlineStr"/>
      <c r="E49" s="5" t="inlineStr"/>
      <c r="F49" s="5" t="inlineStr">
        <is>
          <t>Сколько помнить источник перехода в браузере</t>
        </is>
      </c>
    </row>
  </sheetData>
  <mergeCells count="8">
    <mergeCell ref="A2:F2"/>
    <mergeCell ref="A42:F42"/>
    <mergeCell ref="A1:F1"/>
    <mergeCell ref="A34:F34"/>
    <mergeCell ref="A18:F18"/>
    <mergeCell ref="A12:F12"/>
    <mergeCell ref="A4:F4"/>
    <mergeCell ref="A26:F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22" customWidth="1" min="1" max="1"/>
    <col width="16" customWidth="1" min="2" max="2"/>
    <col width="62" customWidth="1" min="3" max="3"/>
    <col width="13" customWidth="1" min="4" max="4"/>
    <col width="38" customWidth="1" min="5" max="5"/>
  </cols>
  <sheetData>
    <row r="1">
      <c r="A1" s="1" t="inlineStr">
        <is>
          <t>11 · ССЫЛКИ И МЕТКИ — реферальные адреса и учёт переходов</t>
        </is>
      </c>
    </row>
    <row r="2">
      <c r="A2" s="25" t="inlineStr">
        <is>
          <t>Домен подставьте в ячейку B4 — все ссылки соберутся автоматически.</t>
        </is>
      </c>
    </row>
    <row r="4">
      <c r="A4" s="2" t="inlineStr">
        <is>
          <t>Домен сайта</t>
        </is>
      </c>
      <c r="B4" s="46" t="inlineStr">
        <is>
          <t>vashsite.ru</t>
        </is>
      </c>
      <c r="C4" s="25" t="inlineStr">
        <is>
          <t>без https:// и без слэша в конце</t>
        </is>
      </c>
    </row>
    <row r="5">
      <c r="A5" s="2" t="inlineStr">
        <is>
          <t>Страница калькулятора</t>
        </is>
      </c>
      <c r="B5" s="46" t="inlineStr">
        <is>
          <t>/photo-unit</t>
        </is>
      </c>
      <c r="C5" s="25" t="inlineStr">
        <is>
          <t>юнит-экономика фотографа. Варианты: /hour, /chas, /calc</t>
        </is>
      </c>
    </row>
    <row r="7">
      <c r="A7" s="3" t="inlineStr">
        <is>
          <t>РЕФЕРАЛЬНЫЕ ССЫЛКИ</t>
        </is>
      </c>
    </row>
    <row r="8">
      <c r="A8" s="4" t="inlineStr">
        <is>
          <t>Партнёр / канал</t>
        </is>
      </c>
      <c r="B8" s="4" t="inlineStr">
        <is>
          <t>Метка ref</t>
        </is>
      </c>
      <c r="C8" s="4" t="inlineStr">
        <is>
          <t>Готовая ссылка</t>
        </is>
      </c>
      <c r="D8" s="4" t="inlineStr">
        <is>
          <t>Цена</t>
        </is>
      </c>
      <c r="E8" s="4" t="inlineStr">
        <is>
          <t>Что отслеживаем</t>
        </is>
      </c>
    </row>
    <row r="9">
      <c r="A9" s="28" t="inlineStr">
        <is>
          <t>Telegram-канал</t>
        </is>
      </c>
      <c r="B9" s="121" t="inlineStr">
        <is>
          <t>tg</t>
        </is>
      </c>
      <c r="C9" s="122" t="str">
        <f>"https://"&amp;$B$4&amp;$B$5&amp;"?ref="&amp;B9&amp;"&amp;utm_source=telegram&amp;utm_medium=referral&amp;utm_campaign=calc"</f>
        <v>https://vashsite.ru/photo-unit?ref=tg&amp;utm_source=telegram&amp;utm_medium=referral&amp;utm_campaign=calc</v>
      </c>
      <c r="D9" s="123" t="inlineStr">
        <is>
          <t>169 ₽</t>
        </is>
      </c>
      <c r="E9" s="112" t="inlineStr">
        <is>
          <t>переходы, время, клик по кнопке</t>
        </is>
      </c>
    </row>
    <row r="10">
      <c r="A10" s="28" t="inlineStr">
        <is>
          <t>ВКонтакте</t>
        </is>
      </c>
      <c r="B10" s="121" t="inlineStr">
        <is>
          <t>vk</t>
        </is>
      </c>
      <c r="C10" s="122" t="str">
        <f>"https://"&amp;$B$4&amp;$B$5&amp;"?ref="&amp;B10&amp;"&amp;utm_source=vk&amp;utm_medium=referral&amp;utm_campaign=calc"</f>
        <v>https://vashsite.ru/photo-unit?ref=vk&amp;utm_source=vk&amp;utm_medium=referral&amp;utm_campaign=calc</v>
      </c>
      <c r="D10" s="123" t="inlineStr">
        <is>
          <t>169 ₽</t>
        </is>
      </c>
      <c r="E10" s="112" t="inlineStr">
        <is>
          <t>переходы, время, клик по кнопке</t>
        </is>
      </c>
    </row>
    <row r="11">
      <c r="A11" s="28" t="inlineStr">
        <is>
          <t>Instagram / блог</t>
        </is>
      </c>
      <c r="B11" s="121" t="inlineStr">
        <is>
          <t>ig</t>
        </is>
      </c>
      <c r="C11" s="122" t="str">
        <f>"https://"&amp;$B$4&amp;$B$5&amp;"?ref="&amp;B11&amp;"&amp;utm_source=instagram&amp;utm_medium=referral&amp;utm_campaign=calc"</f>
        <v>https://vashsite.ru/photo-unit?ref=ig&amp;utm_source=instagram&amp;utm_medium=referral&amp;utm_campaign=calc</v>
      </c>
      <c r="D11" s="123" t="inlineStr">
        <is>
          <t>169 ₽</t>
        </is>
      </c>
      <c r="E11" s="112" t="inlineStr">
        <is>
          <t>переходы, время, клик по кнопке</t>
        </is>
      </c>
    </row>
    <row r="12">
      <c r="A12" s="28" t="inlineStr">
        <is>
          <t>Партнёр №1</t>
        </is>
      </c>
      <c r="B12" s="121" t="inlineStr">
        <is>
          <t>p1</t>
        </is>
      </c>
      <c r="C12" s="122" t="str">
        <f>"https://"&amp;$B$4&amp;$B$5&amp;"?ref="&amp;B12&amp;"&amp;utm_source=partner&amp;utm_medium=referral&amp;utm_campaign=calc"</f>
        <v>https://vashsite.ru/photo-unit?ref=p1&amp;utm_source=partner&amp;utm_medium=referral&amp;utm_campaign=calc</v>
      </c>
      <c r="D12" s="123" t="inlineStr">
        <is>
          <t>169 ₽</t>
        </is>
      </c>
      <c r="E12" s="112" t="inlineStr">
        <is>
          <t>переходы, время, клик по кнопке</t>
        </is>
      </c>
    </row>
    <row r="13">
      <c r="A13" s="28" t="inlineStr">
        <is>
          <t>Партнёр №2</t>
        </is>
      </c>
      <c r="B13" s="121" t="inlineStr">
        <is>
          <t>p2</t>
        </is>
      </c>
      <c r="C13" s="122" t="str">
        <f>"https://"&amp;$B$4&amp;$B$5&amp;"?ref="&amp;B13&amp;"&amp;utm_source=partner&amp;utm_medium=referral&amp;utm_campaign=calc"</f>
        <v>https://vashsite.ru/photo-unit?ref=p2&amp;utm_source=partner&amp;utm_medium=referral&amp;utm_campaign=calc</v>
      </c>
      <c r="D13" s="123" t="inlineStr">
        <is>
          <t>169 ₽</t>
        </is>
      </c>
      <c r="E13" s="112" t="inlineStr">
        <is>
          <t>переходы, время, клик по кнопке</t>
        </is>
      </c>
    </row>
    <row r="14">
      <c r="A14" s="28" t="inlineStr">
        <is>
          <t>Рассылка</t>
        </is>
      </c>
      <c r="B14" s="121" t="inlineStr">
        <is>
          <t>mail</t>
        </is>
      </c>
      <c r="C14" s="122" t="str">
        <f>"https://"&amp;$B$4&amp;$B$5&amp;"?ref="&amp;B14&amp;"&amp;utm_source=email&amp;utm_medium=referral&amp;utm_campaign=calc"</f>
        <v>https://vashsite.ru/photo-unit?ref=mail&amp;utm_source=email&amp;utm_medium=referral&amp;utm_campaign=calc</v>
      </c>
      <c r="D14" s="123" t="inlineStr">
        <is>
          <t>169 ₽</t>
        </is>
      </c>
      <c r="E14" s="112" t="inlineStr">
        <is>
          <t>переходы, время, клик по кнопке</t>
        </is>
      </c>
    </row>
    <row r="15">
      <c r="A15" s="28" t="inlineStr">
        <is>
          <t>Прямой заход</t>
        </is>
      </c>
      <c r="B15" s="121" t="inlineStr">
        <is>
          <t>—</t>
        </is>
      </c>
      <c r="C15" s="122" t="str">
        <f>"https://"&amp;$B$4&amp;$B$5</f>
        <v>https://vashsite.ru/photo-unit</v>
      </c>
      <c r="D15" s="93" t="inlineStr">
        <is>
          <t>490 ₽</t>
        </is>
      </c>
      <c r="E15" s="112" t="inlineStr">
        <is>
          <t>переходы, время, клик по кнопке</t>
        </is>
      </c>
    </row>
    <row r="17">
      <c r="A17" s="3" t="inlineStr">
        <is>
          <t>КАК ЭТО РАБОТАЕТ</t>
        </is>
      </c>
    </row>
    <row r="18">
      <c r="A18" t="inlineStr">
        <is>
          <t>Калькулятор проверяет параметры ref, utm_source или from в адресе страницы.</t>
        </is>
      </c>
    </row>
    <row r="19">
      <c r="A19" t="inlineStr">
        <is>
          <t>Если хоть один есть — показывает цену 169 ₽ и зачёркнутые 560 ₽. Если нет — 490 ₽.</t>
        </is>
      </c>
    </row>
    <row r="20"/>
    <row r="21">
      <c r="A21" t="inlineStr">
        <is>
          <t>УЧЁТ ПЕРЕХОДОВ. Отдельный сервис сокращения не нужен: Яндекс.Метрика считает UTM сама.</t>
        </is>
      </c>
    </row>
    <row r="22">
      <c r="A22" t="inlineStr">
        <is>
          <t>Отчёт «Источники → Метки UTM» покажет переходы, время на странице и достижение целей.</t>
        </is>
      </c>
    </row>
    <row r="23"/>
    <row r="24">
      <c r="A24" t="inlineStr">
        <is>
          <t>КОРОТКАЯ ССЫЛКА для соцсетей: сделайте в Tilda страницу-редирект /tg,</t>
        </is>
      </c>
    </row>
    <row r="25">
      <c r="A25" t="inlineStr">
        <is>
          <t>которая перенаправляет на полный адрес с метками. Так и учёт сохранится, и ссылка читаемая.</t>
        </is>
      </c>
    </row>
    <row r="26"/>
    <row r="27">
      <c r="A27" t="inlineStr">
        <is>
          <t>ЦЕЛИ В МЕТРИКЕ (обязательно настроить):</t>
        </is>
      </c>
    </row>
    <row r="28">
      <c r="A28" t="inlineStr">
        <is>
          <t xml:space="preserve">   calc_done — нажал «Рассчитать стоимость часа»</t>
        </is>
      </c>
    </row>
    <row r="29">
      <c r="A29" t="inlineStr">
        <is>
          <t xml:space="preserve">   buy_click — нажал «Поблагодарить и скачать отчёт»</t>
        </is>
      </c>
    </row>
    <row r="30">
      <c r="A30" t="inlineStr">
        <is>
          <t xml:space="preserve">   paid — вернулся на страницу с параметром ?paid=1</t>
        </is>
      </c>
    </row>
    <row r="31"/>
    <row r="32">
      <c r="A32" t="inlineStr">
        <is>
          <t>Номер счётчика пропишите в HTML: var YM_ID=0; → var YM_ID=ваш_номер;</t>
        </is>
      </c>
    </row>
  </sheetData>
  <mergeCells count="19">
    <mergeCell ref="A30:E30"/>
    <mergeCell ref="A24:E24"/>
    <mergeCell ref="A1:E1"/>
    <mergeCell ref="A7:E7"/>
    <mergeCell ref="A25:E25"/>
    <mergeCell ref="A18:E18"/>
    <mergeCell ref="A27:E27"/>
    <mergeCell ref="A21:E21"/>
    <mergeCell ref="A26:E26"/>
    <mergeCell ref="A2:E2"/>
    <mergeCell ref="A23:E23"/>
    <mergeCell ref="A32:E32"/>
    <mergeCell ref="A22:E22"/>
    <mergeCell ref="A17:E17"/>
    <mergeCell ref="A29:E29"/>
    <mergeCell ref="A20:E20"/>
    <mergeCell ref="A28:E28"/>
    <mergeCell ref="A19:E19"/>
    <mergeCell ref="A31:E3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6" customWidth="1" min="1" max="1"/>
    <col width="24" customWidth="1" min="2" max="2"/>
    <col width="34" customWidth="1" min="3" max="3"/>
    <col width="34" customWidth="1" min="4" max="4"/>
  </cols>
  <sheetData>
    <row r="1">
      <c r="A1" s="1" t="inlineStr">
        <is>
          <t>11b · СВЯЗКА ФОРМЫ И ОТЧЁТА</t>
        </is>
      </c>
    </row>
    <row r="2">
      <c r="A2" s="250" t="inlineStr">
        <is>
          <t>calc.html считает → кладёт в localStorage[«phc_report»] → report.html читает. Если ключа нет, отчёт показывает демо-набор.</t>
        </is>
      </c>
    </row>
    <row r="4">
      <c r="A4" s="256" t="inlineStr">
        <is>
          <t>ПОЛЯ, КОТОРЫЕ ПЕРЕДАЁТ ФОРМА</t>
        </is>
      </c>
    </row>
    <row r="5">
      <c r="A5" s="257" t="inlineStr">
        <is>
          <t>Поле</t>
        </is>
      </c>
      <c r="B5" s="257" t="inlineStr">
        <is>
          <t>Что это</t>
        </is>
      </c>
      <c r="C5" s="257" t="inlineStr">
        <is>
          <t>Откуда в форме</t>
        </is>
      </c>
      <c r="D5" s="257" t="inlineStr">
        <is>
          <t>Где в отчёте</t>
        </is>
      </c>
    </row>
    <row r="6">
      <c r="A6" s="258" t="inlineStr">
        <is>
          <t>sh</t>
        </is>
      </c>
      <c r="B6" s="229" t="inlineStr">
        <is>
          <t>часы съёмки в год</t>
        </is>
      </c>
      <c r="C6" s="229" t="inlineStr">
        <is>
          <t>py × S</t>
        </is>
      </c>
      <c r="D6" s="229" t="inlineStr">
        <is>
          <t>знаменатель всех сумм</t>
        </is>
      </c>
    </row>
    <row r="7">
      <c r="A7" s="258" t="inlineStr">
        <is>
          <t>post</t>
        </is>
      </c>
      <c r="B7" s="229" t="inlineStr">
        <is>
          <t>часы обработки</t>
        </is>
      </c>
      <c r="C7" s="229" t="inlineStr">
        <is>
          <t>sh × K</t>
        </is>
      </c>
      <c r="D7" s="229" t="inlineStr">
        <is>
          <t>легенда, блок 01</t>
        </is>
      </c>
    </row>
    <row r="8">
      <c r="A8" s="258" t="inlineStr">
        <is>
          <t>clT</t>
        </is>
      </c>
      <c r="B8" s="229" t="inlineStr">
        <is>
          <t>часы на клиента</t>
        </is>
      </c>
      <c r="C8" s="229" t="inlineStr">
        <is>
          <t>py × cl</t>
        </is>
      </c>
      <c r="D8" s="229" t="inlineStr">
        <is>
          <t>легенда</t>
        </is>
      </c>
    </row>
    <row r="9">
      <c r="A9" s="258" t="inlineStr">
        <is>
          <t>promo</t>
        </is>
      </c>
      <c r="B9" s="229" t="inlineStr">
        <is>
          <t>часы продвижения</t>
        </is>
      </c>
      <c r="C9" s="229" t="inlineStr">
        <is>
          <t>promo_per_day × ND</t>
        </is>
      </c>
      <c r="D9" s="229" t="inlineStr">
        <is>
          <t>легенда</t>
        </is>
      </c>
    </row>
    <row r="10">
      <c r="A10" s="258" t="inlineStr">
        <is>
          <t>accT</t>
        </is>
      </c>
      <c r="B10" s="229" t="inlineStr">
        <is>
          <t>часы учёта</t>
        </is>
      </c>
      <c r="C10" s="229" t="inlineStr">
        <is>
          <t>acc_per_quarter × 4</t>
        </is>
      </c>
      <c r="D10" s="229" t="inlineStr">
        <is>
          <t>легенда</t>
        </is>
      </c>
    </row>
    <row r="11">
      <c r="A11" s="258" t="inlineStr">
        <is>
          <t>fmT, idle</t>
        </is>
      </c>
      <c r="B11" s="229" t="inlineStr">
        <is>
          <t>форс-мажор и паузы</t>
        </is>
      </c>
      <c r="C11" s="229" t="inlineStr">
        <is>
          <t>gross × fm_pct, ND×(8−EFF)</t>
        </is>
      </c>
      <c r="D11" s="229" t="inlineStr">
        <is>
          <t>легенда</t>
        </is>
      </c>
    </row>
    <row r="12">
      <c r="A12" s="258" t="inlineStr">
        <is>
          <t>Ny</t>
        </is>
      </c>
      <c r="B12" s="229" t="inlineStr">
        <is>
          <t>целевой доход в год</t>
        </is>
      </c>
      <c r="C12" s="229" t="inlineStr">
        <is>
          <t>income_month × 12</t>
        </is>
      </c>
      <c r="D12" s="229" t="inlineStr">
        <is>
          <t>база распределения</t>
        </is>
      </c>
    </row>
    <row r="13">
      <c r="A13" s="258" t="inlineStr">
        <is>
          <t>R</t>
        </is>
      </c>
      <c r="B13" s="229" t="inlineStr">
        <is>
          <t>требуемая выручка</t>
        </is>
      </c>
      <c r="C13" s="229" t="inlineStr">
        <is>
          <t>(Ny+C)/(1−a−sdiv−fund−disc−ставка)</t>
        </is>
      </c>
      <c r="D13" s="229" t="inlineStr">
        <is>
          <t>ставка часа</t>
        </is>
      </c>
    </row>
    <row r="14">
      <c r="A14" s="258" t="inlineStr">
        <is>
          <t>depShoot</t>
        </is>
      </c>
      <c r="B14" s="229" t="inlineStr">
        <is>
          <t>съёмочная техника</t>
        </is>
      </c>
      <c r="C14" s="229" t="inlineStr">
        <is>
          <t>Form001</t>
        </is>
      </c>
      <c r="D14" s="229" t="inlineStr">
        <is>
          <t>строка «оборудование и ПО»</t>
        </is>
      </c>
    </row>
    <row r="15">
      <c r="A15" s="258" t="inlineStr">
        <is>
          <t>depOffice</t>
        </is>
      </c>
      <c r="B15" s="229" t="inlineStr">
        <is>
          <t>компьютер</t>
        </is>
      </c>
      <c r="C15" s="229" t="inlineStr">
        <is>
          <t>Form002</t>
        </is>
      </c>
      <c r="D15" s="229" t="inlineStr">
        <is>
          <t>строка «оборудование и ПО»</t>
        </is>
      </c>
    </row>
    <row r="16">
      <c r="A16" s="258" t="inlineStr">
        <is>
          <t>depSoft</t>
        </is>
      </c>
      <c r="B16" s="229" t="inlineStr">
        <is>
          <t>плагины разово</t>
        </is>
      </c>
      <c r="C16" s="229" t="inlineStr">
        <is>
          <t>Form004</t>
        </is>
      </c>
      <c r="D16" s="229" t="inlineStr">
        <is>
          <t>строка «оборудование и ПО»</t>
        </is>
      </c>
    </row>
    <row r="17">
      <c r="A17" s="258" t="inlineStr">
        <is>
          <t>depEdu</t>
        </is>
      </c>
      <c r="B17" s="229" t="inlineStr">
        <is>
          <t>обучение</t>
        </is>
      </c>
      <c r="C17" s="229" t="inlineStr">
        <is>
          <t>Form006 ÷ срок</t>
        </is>
      </c>
      <c r="D17" s="229" t="inlineStr">
        <is>
          <t>строка «текущие счета»</t>
        </is>
      </c>
    </row>
    <row r="18">
      <c r="A18" s="258" t="inlineStr">
        <is>
          <t>depSite</t>
        </is>
      </c>
      <c r="B18" s="229" t="inlineStr">
        <is>
          <t>сайт</t>
        </is>
      </c>
      <c r="C18" s="229" t="inlineStr">
        <is>
          <t>Form014 ÷ срок</t>
        </is>
      </c>
      <c r="D18" s="229" t="inlineStr">
        <is>
          <t>строка «реклама и продвижение»</t>
        </is>
      </c>
    </row>
    <row r="19">
      <c r="A19" s="258" t="inlineStr">
        <is>
          <t>depWs</t>
        </is>
      </c>
      <c r="B19" s="229" t="inlineStr">
        <is>
          <t>обустройство</t>
        </is>
      </c>
      <c r="C19" s="229" t="inlineStr">
        <is>
          <t>Form013</t>
        </is>
      </c>
      <c r="D19" s="229" t="inlineStr">
        <is>
          <t>строка «текущие счета»</t>
        </is>
      </c>
    </row>
    <row r="20">
      <c r="A20" s="258" t="inlineStr">
        <is>
          <t>varAds</t>
        </is>
      </c>
      <c r="B20" s="229" t="inlineStr">
        <is>
          <t>реклама</t>
        </is>
      </c>
      <c r="C20" s="229" t="inlineStr">
        <is>
          <t>Form010</t>
        </is>
      </c>
      <c r="D20" s="229" t="inlineStr">
        <is>
          <t>строка «реклама и продвижение»</t>
        </is>
      </c>
    </row>
    <row r="21">
      <c r="A21" s="258" t="inlineStr">
        <is>
          <t>varSoft</t>
        </is>
      </c>
      <c r="B21" s="229" t="inlineStr">
        <is>
          <t>подписки</t>
        </is>
      </c>
      <c r="C21" s="229" t="inlineStr">
        <is>
          <t>Form003</t>
        </is>
      </c>
      <c r="D21" s="229" t="inlineStr">
        <is>
          <t>строка «текущие счета»</t>
        </is>
      </c>
    </row>
    <row r="22">
      <c r="A22" s="258" t="inlineStr">
        <is>
          <t>varBank</t>
        </is>
      </c>
      <c r="B22" s="229" t="inlineStr">
        <is>
          <t>РКО</t>
        </is>
      </c>
      <c r="C22" s="229" t="inlineStr">
        <is>
          <t>Form007</t>
        </is>
      </c>
      <c r="D22" s="229" t="inlineStr">
        <is>
          <t>строка «текущие счета»</t>
        </is>
      </c>
    </row>
    <row r="23">
      <c r="A23" s="258" t="inlineStr">
        <is>
          <t>varRent</t>
        </is>
      </c>
      <c r="B23" s="229" t="inlineStr">
        <is>
          <t>аренда</t>
        </is>
      </c>
      <c r="C23" s="229" t="inlineStr">
        <is>
          <t>Form009b</t>
        </is>
      </c>
      <c r="D23" s="229" t="inlineStr">
        <is>
          <t>строка «текущие счета»</t>
        </is>
      </c>
    </row>
    <row r="24">
      <c r="A24" s="258" t="inlineStr">
        <is>
          <t>varAcc</t>
        </is>
      </c>
      <c r="B24" s="229" t="inlineStr">
        <is>
          <t>бухгалтер</t>
        </is>
      </c>
      <c r="C24" s="229" t="inlineStr">
        <is>
          <t>Form011</t>
        </is>
      </c>
      <c r="D24" s="229" t="inlineStr">
        <is>
          <t>строка «текущие счета»</t>
        </is>
      </c>
    </row>
    <row r="25">
      <c r="A25" s="258" t="inlineStr">
        <is>
          <t>taxAll</t>
        </is>
      </c>
      <c r="B25" s="229" t="inlineStr">
        <is>
          <t>налоги и взносы</t>
        </is>
      </c>
      <c r="C25" s="229" t="inlineStr">
        <is>
          <t>по режиму</t>
        </is>
      </c>
      <c r="D25" s="229" t="inlineStr">
        <is>
          <t>строка «налоги»</t>
        </is>
      </c>
    </row>
    <row r="26">
      <c r="A26" s="258" t="inlineStr">
        <is>
          <t>aq</t>
        </is>
      </c>
      <c r="B26" s="229" t="inlineStr">
        <is>
          <t>эквайринг</t>
        </is>
      </c>
      <c r="C26" s="229" t="inlineStr">
        <is>
          <t>R × acq</t>
        </is>
      </c>
      <c r="D26" s="229" t="inlineStr">
        <is>
          <t>строка «эквайринг»</t>
        </is>
      </c>
    </row>
    <row r="27">
      <c r="A27" s="258" t="inlineStr">
        <is>
          <t>fundY</t>
        </is>
      </c>
      <c r="B27" s="229" t="inlineStr">
        <is>
          <t>фонд развития</t>
        </is>
      </c>
      <c r="C27" s="229" t="inlineStr">
        <is>
          <t>R × fund_pct, галочка снята по умолчанию</t>
        </is>
      </c>
      <c r="D27" s="229" t="inlineStr">
        <is>
          <t>строка, при 0 — предупреждение</t>
        </is>
      </c>
    </row>
    <row r="28">
      <c r="A28" s="258" t="inlineStr">
        <is>
          <t>discY</t>
        </is>
      </c>
      <c r="B28" s="229" t="inlineStr">
        <is>
          <t>запас на скидку</t>
        </is>
      </c>
      <c r="C28" s="229" t="inlineStr">
        <is>
          <t>R × disc_pct, галочка снята по умолчанию</t>
        </is>
      </c>
      <c r="D28" s="229" t="inlineStr">
        <is>
          <t>строка, при 0 — предупреждение</t>
        </is>
      </c>
    </row>
    <row r="29">
      <c r="A29" s="258" t="inlineStr">
        <is>
          <t>NW, K, cl</t>
        </is>
      </c>
      <c r="B29" s="229" t="inlineStr">
        <is>
          <t>параметры модели</t>
        </is>
      </c>
      <c r="C29" s="229" t="inlineStr">
        <is>
          <t>недели, обработка, клиент</t>
        </is>
      </c>
      <c r="D29" s="229" t="inlineStr">
        <is>
          <t>блок 02, сетка недели</t>
        </is>
      </c>
    </row>
    <row r="30">
      <c r="A30" s="258" t="inlineStr">
        <is>
          <t>curRate</t>
        </is>
      </c>
      <c r="B30" s="229" t="inlineStr">
        <is>
          <t>текущая ставка</t>
        </is>
      </c>
      <c r="C30" s="229" t="inlineStr">
        <is>
          <t>current_rate</t>
        </is>
      </c>
      <c r="D30" s="229" t="inlineStr">
        <is>
          <t>блок 04, сравнение</t>
        </is>
      </c>
    </row>
    <row r="31">
      <c r="A31" s="258" t="inlineStr">
        <is>
          <t>regime</t>
        </is>
      </c>
      <c r="B31" s="229" t="inlineStr">
        <is>
          <t>название режима</t>
        </is>
      </c>
      <c r="C31" s="229" t="inlineStr">
        <is>
          <t>текст пункта списка</t>
        </is>
      </c>
      <c r="D31" s="229" t="inlineStr">
        <is>
          <t>блок 07, налоги</t>
        </is>
      </c>
    </row>
    <row r="32">
      <c r="A32" s="258" t="inlineStr">
        <is>
          <t>regimeCode</t>
        </is>
      </c>
      <c r="B32" s="229" t="inlineStr">
        <is>
          <t>код режима (npd4/npd5/npd6/usn6/usn15/ausn8/ausn20)</t>
        </is>
      </c>
      <c r="C32" s="229" t="inlineStr">
        <is>
          <t>select #regime, value</t>
        </is>
      </c>
      <c r="D32" s="229" t="inlineStr">
        <is>
          <t>блок 04: какая плашка и какой нюанс показать</t>
        </is>
      </c>
    </row>
    <row r="33">
      <c r="A33" s="258" t="inlineStr">
        <is>
          <t>npd_who</t>
        </is>
      </c>
      <c r="B33" s="229" t="inlineStr">
        <is>
          <t>заказчики на НПД (mix/phys/jur)</t>
        </is>
      </c>
      <c r="C33" s="229" t="inlineStr">
        <is>
          <t>select #npd_who, виден только при НПД</t>
        </is>
      </c>
      <c r="D33" s="229" t="inlineStr">
        <is>
          <t>раскрывает НПД в npd4/npd5/npd6 → ставка 4/5/6%</t>
        </is>
      </c>
    </row>
    <row r="34">
      <c r="A34" s="258" t="inlineStr">
        <is>
          <t>profession</t>
        </is>
      </c>
    </row>
    <row r="35"/>
    <row r="36">
      <c r="A36" s="2" t="inlineStr">
        <is>
          <t>ПРОВЕРКА: сумма всех сегментов диаграммы = R. Расхождение должно быть 0 ₽. Сумма доходных сегментов = Ny.</t>
        </is>
      </c>
    </row>
    <row r="37">
      <c r="A37" s="250" t="inlineStr">
        <is>
          <t>Запасной путь, если localStorage недоступен: reportLink(d) отдаёт ссылку report.html?data=&lt;base64&gt;. Отчёт читает параметр data первым делом.</t>
        </is>
      </c>
    </row>
  </sheetData>
  <mergeCells count="5">
    <mergeCell ref="A1:D1"/>
    <mergeCell ref="A34:D34"/>
    <mergeCell ref="A35:D35"/>
    <mergeCell ref="A4:D4"/>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0"/>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5" customWidth="1" min="3" max="3"/>
    <col width="30" customWidth="1" min="4" max="4"/>
    <col width="20" customWidth="1" min="5" max="5"/>
    <col width="34" customWidth="1" min="6" max="6"/>
    <col width="11" customWidth="1" min="7" max="7"/>
    <col width="10" customWidth="1" min="8" max="8"/>
    <col width="30" customWidth="1" min="9" max="9"/>
    <col width="14" customWidth="1" min="10" max="10"/>
  </cols>
  <sheetData>
    <row r="1">
      <c r="A1" s="1" t="inlineStr">
        <is>
          <t>12 · ДИАГРАММЫ — состав, группы и подписи</t>
        </is>
      </c>
    </row>
    <row r="2">
      <c r="A2" s="25" t="inlineStr">
        <is>
          <t>Одна строка = один сегмент диаграммы. Порядок строк = порядок сегментов по кругу. Жёлтое — редактируется, серое — служебное.</t>
        </is>
      </c>
    </row>
    <row r="4">
      <c r="A4" s="3" t="inlineStr">
        <is>
          <t>Д1 · ОСНОВНАЯ КОЛЬЦЕВАЯ — предварительный отчёт, видна всем</t>
        </is>
      </c>
    </row>
    <row r="5">
      <c r="A5" s="2" t="inlineStr">
        <is>
          <t>Тип диаграммы</t>
        </is>
      </c>
      <c r="C5" s="46" t="inlineStr">
        <is>
          <t>Кольцевая (donut), 11–13 секторов</t>
        </is>
      </c>
      <c r="D5" s="72" t="n"/>
      <c r="E5" s="73" t="n"/>
      <c r="F5" s="25" t="inlineStr">
        <is>
          <t>260 px, кольцо 58 px, отверстие 47%. Центр — белый диск и внутренняя шайба с мягкой тенью: цифра лежит на подложке, а не висит в пустоте</t>
        </is>
      </c>
    </row>
    <row r="6">
      <c r="A6" s="2" t="inlineStr">
        <is>
          <t>Где размещена</t>
        </is>
      </c>
      <c r="C6" s="46" t="inlineStr">
        <is>
          <t>Блок «Куда уходит каждый час съёмки»</t>
        </is>
      </c>
      <c r="D6" s="72" t="n"/>
      <c r="E6" s="73" t="n"/>
      <c r="F6" s="25" t="inlineStr">
        <is>
          <t>Открыта без оплаты</t>
        </is>
      </c>
    </row>
    <row r="7">
      <c r="A7" s="2" t="inlineStr">
        <is>
          <t>Что показывает</t>
        </is>
      </c>
      <c r="C7" s="46" t="inlineStr">
        <is>
          <t>Разбор одного оплаченного часа съёмки</t>
        </is>
      </c>
      <c r="D7" s="72" t="n"/>
      <c r="E7" s="73" t="n"/>
      <c r="F7" s="25" t="inlineStr">
        <is>
          <t>Все суммы делятся на shooting_time</t>
        </is>
      </c>
    </row>
    <row r="8">
      <c r="A8" s="2" t="inlineStr">
        <is>
          <t>В центре кольца</t>
        </is>
      </c>
      <c r="C8" s="46" t="inlineStr">
        <is>
          <t>Ставка часа + подпись «за час съёмки»</t>
        </is>
      </c>
      <c r="D8" s="72" t="n"/>
      <c r="E8" s="73" t="n"/>
      <c r="F8" s="25" t="inlineStr">
        <is>
          <t>real_rate = R / shooting_time</t>
        </is>
      </c>
    </row>
    <row r="9">
      <c r="A9" s="2" t="inlineStr">
        <is>
          <t>Строка легенды</t>
        </is>
      </c>
      <c r="C9" s="46" t="inlineStr">
        <is>
          <t>Название · сумма · «за N ч»</t>
        </is>
      </c>
      <c r="D9" s="72" t="n"/>
      <c r="E9" s="73" t="n"/>
      <c r="F9" s="250" t="inlineStr">
        <is>
          <t>Отдельного столбца времени нет. Часы — подписью под суммой: «747 ₽ / за 1,0 ч». Часы на ОДИН оплаченный час съёмки, сумма по всем строкам = 7,7 ч</t>
        </is>
      </c>
    </row>
    <row r="10">
      <c r="A10" s="2" t="inlineStr">
        <is>
          <t>Две плашки</t>
        </is>
      </c>
      <c r="C10" s="46" t="inlineStr">
        <is>
          <t>Одинаковые по форме</t>
        </is>
      </c>
      <c r="D10" s="72" t="n"/>
      <c r="E10" s="73" t="n"/>
      <c r="F10" s="250" t="inlineStr">
        <is>
          <t>«Ваш доход на руки» и «Ваши расходы» — одинаковые по вёрстке: обе прямые дети карточки, один набор элементов (знак, заголовок, подводка, сумма, строка снизу). Отличаются только цветом рамки и текстом</t>
        </is>
      </c>
    </row>
    <row r="11">
      <c r="A11" s="2" t="inlineStr">
        <is>
          <t>Заголовки плашек</t>
        </is>
      </c>
      <c r="C11" s="249" t="inlineStr">
        <is>
          <t>21 px, --c-ink, без заливки</t>
        </is>
      </c>
      <c r="F11" s="250" t="inlineStr">
        <is>
          <t>Выделяются размером шрифта, не цветом. Капсул и цветных подложек нет</t>
        </is>
      </c>
    </row>
    <row r="12" ht="30" customHeight="1">
      <c r="A12" s="26" t="inlineStr">
        <is>
          <t>№</t>
        </is>
      </c>
      <c r="B12" s="26" t="inlineStr">
        <is>
          <t>Группа</t>
        </is>
      </c>
      <c r="C12" s="26" t="inlineStr">
        <is>
          <t>Код сегмента</t>
        </is>
      </c>
      <c r="D12" s="26" t="inlineStr">
        <is>
          <t>Подпись в легенде</t>
        </is>
      </c>
      <c r="E12" s="26" t="inlineStr">
        <is>
          <t>Параметр расчёта</t>
        </is>
      </c>
      <c r="F12" s="26" t="inlineStr">
        <is>
          <t>Формула / что берём</t>
        </is>
      </c>
      <c r="G12" s="26" t="inlineStr">
        <is>
          <t>Цвет</t>
        </is>
      </c>
      <c r="H12" s="26" t="inlineStr">
        <is>
          <t>Условие</t>
        </is>
      </c>
      <c r="I12" s="26" t="inlineStr">
        <is>
          <t>Комментарий</t>
        </is>
      </c>
      <c r="J12" s="24" t="inlineStr">
        <is>
          <t>Предупреждение</t>
        </is>
      </c>
    </row>
    <row r="13">
      <c r="A13" s="61" t="n">
        <v>1</v>
      </c>
      <c r="B13" s="108" t="inlineStr">
        <is>
          <t>ПО СПЕЦИАЛЬНОСТИ</t>
        </is>
      </c>
      <c r="C13" s="6" t="inlineStr">
        <is>
          <t>earn_shoot</t>
        </is>
      </c>
      <c r="D13" s="113" t="inlineStr">
        <is>
          <t>Как фотограф — съёмка</t>
        </is>
      </c>
      <c r="E13" s="6" t="inlineStr">
        <is>
          <t>shooting_time</t>
        </is>
      </c>
      <c r="F13" s="5" t="inlineStr">
        <is>
          <t>hr × shooting_time</t>
        </is>
      </c>
      <c r="G13" s="125" t="inlineStr">
        <is>
          <t>#0B6B22</t>
        </is>
      </c>
      <c r="H13" s="5" t="inlineStr">
        <is>
          <t>всегда</t>
        </is>
      </c>
      <c r="I13" s="5" t="inlineStr">
        <is>
          <t>Работа по специальности — холодный зелёный, градация от тёмного к светлому</t>
        </is>
      </c>
    </row>
    <row r="14">
      <c r="A14" s="61" t="n">
        <v>2</v>
      </c>
      <c r="B14" s="108" t="inlineStr">
        <is>
          <t>ПО СПЕЦИАЛЬНОСТИ</t>
        </is>
      </c>
      <c r="C14" s="6" t="inlineStr">
        <is>
          <t>earn_post</t>
        </is>
      </c>
      <c r="D14" s="113" t="inlineStr">
        <is>
          <t>Как фотограф — обработка</t>
        </is>
      </c>
      <c r="E14" s="6" t="inlineStr">
        <is>
          <t>post_time</t>
        </is>
      </c>
      <c r="F14" s="5" t="inlineStr">
        <is>
          <t>hr × post_time</t>
        </is>
      </c>
      <c r="G14" s="261" t="inlineStr">
        <is>
          <t>#2FA84A</t>
        </is>
      </c>
      <c r="H14" s="5" t="inlineStr">
        <is>
          <t>всегда</t>
        </is>
      </c>
      <c r="I14" s="5" t="inlineStr"/>
    </row>
    <row r="15">
      <c r="A15" s="61" t="n">
        <v>3</v>
      </c>
      <c r="B15" s="113" t="inlineStr">
        <is>
          <t>ОСТАЛЬНАЯ КОМАНДА</t>
        </is>
      </c>
      <c r="C15" s="6" t="inlineStr">
        <is>
          <t>earn_sales</t>
        </is>
      </c>
      <c r="D15" s="113" t="inlineStr">
        <is>
          <t>Как отдел продаж — работа с клиентом</t>
        </is>
      </c>
      <c r="E15" s="6" t="inlineStr">
        <is>
          <t>client_total</t>
        </is>
      </c>
      <c r="F15" s="5" t="inlineStr">
        <is>
          <t>hr × client_total</t>
        </is>
      </c>
      <c r="G15" s="262" t="inlineStr">
        <is>
          <t>#5F8A1B</t>
        </is>
      </c>
      <c r="H15" s="5" t="inlineStr">
        <is>
          <t>всегда</t>
        </is>
      </c>
      <c r="I15" s="5" t="inlineStr">
        <is>
          <t>Работа за остальную команду — тёплый зелёный (салатовый), та же градация</t>
        </is>
      </c>
    </row>
    <row r="16">
      <c r="A16" s="61" t="n">
        <v>4</v>
      </c>
      <c r="B16" s="113" t="inlineStr">
        <is>
          <t>ОСТАЛЬНАЯ КОМАНДА</t>
        </is>
      </c>
      <c r="C16" s="6" t="inlineStr">
        <is>
          <t>earn_promo</t>
        </is>
      </c>
      <c r="D16" s="113" t="inlineStr">
        <is>
          <t>Как маркетолог и SMM — продвижение</t>
        </is>
      </c>
      <c r="E16" s="6" t="inlineStr">
        <is>
          <t>promo_time</t>
        </is>
      </c>
      <c r="F16" s="5" t="inlineStr">
        <is>
          <t>hr × promo_time</t>
        </is>
      </c>
      <c r="G16" s="263" t="inlineStr">
        <is>
          <t>#8CB82F</t>
        </is>
      </c>
      <c r="H16" s="5" t="inlineStr">
        <is>
          <t>всегда</t>
        </is>
      </c>
      <c r="I16" s="5" t="inlineStr"/>
    </row>
    <row r="17">
      <c r="A17" s="61" t="n">
        <v>5</v>
      </c>
      <c r="B17" s="113" t="inlineStr">
        <is>
          <t>ОСТАЛЬНАЯ КОМАНДА</t>
        </is>
      </c>
      <c r="C17" s="6" t="inlineStr">
        <is>
          <t>earn_acc</t>
        </is>
      </c>
      <c r="D17" s="113" t="inlineStr">
        <is>
          <t>Как бухгалтер — учёт и отчётность</t>
        </is>
      </c>
      <c r="E17" s="6" t="inlineStr">
        <is>
          <t>accounting_time</t>
        </is>
      </c>
      <c r="F17" s="5" t="inlineStr">
        <is>
          <t>hr × accounting_time</t>
        </is>
      </c>
      <c r="G17" s="264" t="inlineStr">
        <is>
          <t>#B9D96F</t>
        </is>
      </c>
      <c r="H17" s="5" t="inlineStr">
        <is>
          <t>только если acc_mode = «Веду самостоятельно»</t>
        </is>
      </c>
      <c r="I17" s="5" t="inlineStr">
        <is>
          <t>Скрыт, если нанят бухгалтер</t>
        </is>
      </c>
    </row>
    <row r="18">
      <c r="A18" s="61" t="n">
        <v>6</v>
      </c>
      <c r="B18" s="254" t="inlineStr">
        <is>
          <t>НЕ ОПЛАЧИВАЕТСЯ</t>
        </is>
      </c>
      <c r="C18" s="6" t="inlineStr">
        <is>
          <t>earn_idle</t>
        </is>
      </c>
      <c r="D18" s="113" t="inlineStr">
        <is>
          <t>Форс-мажоры и простой</t>
        </is>
      </c>
      <c r="E18" s="6" t="inlineStr">
        <is>
          <t>fm_time + idle</t>
        </is>
      </c>
      <c r="F18" s="5" t="inlineStr">
        <is>
          <t>hr × (fm_time + idle)</t>
        </is>
      </c>
      <c r="G18" s="255" t="inlineStr">
        <is>
          <t>#B6BCC4</t>
        </is>
      </c>
      <c r="H18" s="5" t="inlineStr">
        <is>
          <t>всегда</t>
        </is>
      </c>
      <c r="I18" s="5" t="inlineStr">
        <is>
          <t>Не оплачивается — серый. idle = 219 ч, час в день на паузы</t>
        </is>
      </c>
    </row>
    <row r="19">
      <c r="A19" s="61" t="n">
        <v>7</v>
      </c>
      <c r="B19" s="8" t="inlineStr">
        <is>
          <t>ВАШИ РАСХОДЫ</t>
        </is>
      </c>
      <c r="C19" s="6" t="inlineStr">
        <is>
          <t>cost_equip</t>
        </is>
      </c>
      <c r="D19" s="113" t="inlineStr">
        <is>
          <t>Отложите на оборудование и ПО</t>
        </is>
      </c>
      <c r="E19" s="6" t="inlineStr">
        <is>
          <t>equip</t>
        </is>
      </c>
      <c r="F19" s="5" t="inlineStr">
        <is>
          <t>dep_shoot + dep_office + dep_software</t>
        </is>
      </c>
      <c r="G19" s="131" t="inlineStr">
        <is>
          <t>#EF4444</t>
        </is>
      </c>
      <c r="H19" s="5" t="inlineStr">
        <is>
          <t>всегда</t>
        </is>
      </c>
      <c r="I19" s="5" t="inlineStr">
        <is>
          <t>Чтобы обновить технику, когда придёт в негодность</t>
        </is>
      </c>
    </row>
    <row r="20">
      <c r="A20" s="61" t="n">
        <v>8</v>
      </c>
      <c r="B20" s="8" t="inlineStr">
        <is>
          <t>ВАШИ РАСХОДЫ</t>
        </is>
      </c>
      <c r="C20" s="6" t="inlineStr">
        <is>
          <t>cost_promo</t>
        </is>
      </c>
      <c r="D20" s="113" t="inlineStr">
        <is>
          <t>Потратите на рекламу и продвижение</t>
        </is>
      </c>
      <c r="E20" s="6" t="inlineStr">
        <is>
          <t>promoM</t>
        </is>
      </c>
      <c r="F20" s="5" t="inlineStr">
        <is>
          <t>var_ads + dep_website</t>
        </is>
      </c>
      <c r="G20" s="132" t="inlineStr">
        <is>
          <t>#F59E0B</t>
        </is>
      </c>
      <c r="H20" s="5" t="inlineStr">
        <is>
          <t>всегда</t>
        </is>
      </c>
      <c r="I20" s="5" t="inlineStr">
        <is>
          <t>Сайт отнесён сюда, а не в оборудование</t>
        </is>
      </c>
    </row>
    <row r="21">
      <c r="A21" s="61" t="n">
        <v>9</v>
      </c>
      <c r="B21" s="8" t="inlineStr">
        <is>
          <t>ВАШИ РАСХОДЫ</t>
        </is>
      </c>
      <c r="C21" s="6" t="inlineStr">
        <is>
          <t>cost_current</t>
        </is>
      </c>
      <c r="D21" s="113" t="inlineStr">
        <is>
          <t>Заплатите по текущим счетам</t>
        </is>
      </c>
      <c r="E21" s="6" t="inlineStr">
        <is>
          <t>current</t>
        </is>
      </c>
      <c r="F21" s="5" t="inlineStr">
        <is>
          <t>var_workspace + var_bank + var_accounting + var_software + dep_workspace + dep_education</t>
        </is>
      </c>
      <c r="G21" s="133" t="inlineStr">
        <is>
          <t>#FB923C</t>
        </is>
      </c>
      <c r="H21" s="5" t="inlineStr">
        <is>
          <t>всегда</t>
        </is>
      </c>
      <c r="I21" s="5" t="inlineStr">
        <is>
          <t>Аренда, подписки, бухгалтер, обустройство, обучение</t>
        </is>
      </c>
    </row>
    <row r="22">
      <c r="A22" s="61" t="n">
        <v>10</v>
      </c>
      <c r="B22" s="8" t="inlineStr">
        <is>
          <t>ВАШИ РАСХОДЫ</t>
        </is>
      </c>
      <c r="C22" s="6" t="inlineStr">
        <is>
          <t>cost_tax</t>
        </is>
      </c>
      <c r="D22" s="113" t="inlineStr">
        <is>
          <t>Заплатите налогов и взносов</t>
        </is>
      </c>
      <c r="E22" s="6" t="inlineStr">
        <is>
          <t>taxAll</t>
        </is>
      </c>
      <c r="F22" s="5" t="inlineStr">
        <is>
          <t>налог + страховые взносы по выбранному режиму</t>
        </is>
      </c>
      <c r="G22" s="134" t="inlineStr">
        <is>
          <t>#8B5CF6</t>
        </is>
      </c>
      <c r="H22" s="5" t="inlineStr">
        <is>
          <t>всегда</t>
        </is>
      </c>
      <c r="I22" s="5" t="inlineStr"/>
    </row>
    <row r="23">
      <c r="A23" s="61" t="n">
        <v>11</v>
      </c>
      <c r="B23" s="8" t="inlineStr">
        <is>
          <t>ВАШИ РАСХОДЫ</t>
        </is>
      </c>
      <c r="C23" s="6" t="inlineStr">
        <is>
          <t>cost_bank</t>
        </is>
      </c>
      <c r="D23" s="113" t="inlineStr">
        <is>
          <t>Отдадите банку за эквайринг</t>
        </is>
      </c>
      <c r="E23" s="6" t="inlineStr">
        <is>
          <t>aq</t>
        </is>
      </c>
      <c r="F23" s="5" t="inlineStr">
        <is>
          <t>R × acquiring</t>
        </is>
      </c>
      <c r="G23" s="135" t="inlineStr">
        <is>
          <t>#3B82F6</t>
        </is>
      </c>
      <c r="H23" s="5" t="inlineStr">
        <is>
          <t>всегда</t>
        </is>
      </c>
      <c r="I23" s="5" t="inlineStr"/>
    </row>
    <row r="24">
      <c r="A24" s="265" t="n">
        <v>12</v>
      </c>
      <c r="B24" s="266" t="inlineStr">
        <is>
          <t>ВАШИ РАСХОДЫ</t>
        </is>
      </c>
      <c r="C24" s="267" t="inlineStr">
        <is>
          <t>cost_fund</t>
        </is>
      </c>
      <c r="D24" s="268" t="inlineStr">
        <is>
          <t>Отложите в фонд развития</t>
        </is>
      </c>
      <c r="E24" s="267" t="inlineStr">
        <is>
          <t>fundY</t>
        </is>
      </c>
      <c r="F24" s="265" t="inlineStr">
        <is>
          <t>R × fund_pct</t>
        </is>
      </c>
      <c r="G24" s="269" t="inlineStr">
        <is>
          <t>#7189AE</t>
        </is>
      </c>
      <c r="H24" s="265" t="inlineStr">
        <is>
          <t>всегда, даже при нуле</t>
        </is>
      </c>
      <c r="I24" s="265" t="inlineStr">
        <is>
          <t>Галочка «Закладывать фонд развития» в анкете СНЯТА по умолчанию, поле % неактивно. При нуле — предупреждение: «Технику придётся менять из своего кармана или в кредит». Анкета, блок 15</t>
        </is>
      </c>
      <c r="J24" t="inlineStr">
        <is>
          <t>да</t>
        </is>
      </c>
    </row>
    <row r="25">
      <c r="A25" s="265" t="n">
        <v>13</v>
      </c>
      <c r="B25" s="266" t="inlineStr">
        <is>
          <t>ВАШИ РАСХОДЫ</t>
        </is>
      </c>
      <c r="C25" s="267" t="inlineStr">
        <is>
          <t>cost_disc</t>
        </is>
      </c>
      <c r="D25" s="268" t="inlineStr">
        <is>
          <t>Заложите запас на скидку</t>
        </is>
      </c>
      <c r="E25" s="267" t="inlineStr">
        <is>
          <t>discY</t>
        </is>
      </c>
      <c r="F25" s="265" t="inlineStr">
        <is>
          <t>R × disc_pct</t>
        </is>
      </c>
      <c r="G25" s="270" t="inlineStr">
        <is>
          <t>#B7C9E8</t>
        </is>
      </c>
      <c r="H25" s="265" t="inlineStr">
        <is>
          <t>всегда, даже при нуле</t>
        </is>
      </c>
      <c r="I25" s="265" t="inlineStr">
        <is>
          <t>Галочка «Закладывать запас на скидку» СНЯТА по умолчанию, поле % неактивно. При нуле — предупреждение: «Любая скидка просто так будет вычтена из вашего дохода». Анкета, блок 15</t>
        </is>
      </c>
      <c r="J25" t="inlineStr">
        <is>
          <t>да</t>
        </is>
      </c>
    </row>
    <row r="27">
      <c r="A27" s="3" t="inlineStr">
        <is>
          <t>Д2 · ТРИ КОЛЬЦА СРАВНЕНИЯ — полный отчёт, после оплаты</t>
        </is>
      </c>
    </row>
    <row r="28">
      <c r="A28" s="2" t="inlineStr">
        <is>
          <t>Тип диаграммы</t>
        </is>
      </c>
      <c r="C28" s="46" t="inlineStr">
        <is>
          <t>Три кольцевые рядом (donut × 3)</t>
        </is>
      </c>
      <c r="D28" s="72" t="n"/>
      <c r="E28" s="73" t="n"/>
      <c r="F28" s="25" t="inlineStr">
        <is>
          <t>190 px каждая, в ряд на десктопе, столбцом на мобильном</t>
        </is>
      </c>
    </row>
    <row r="29">
      <c r="A29" s="2" t="inlineStr">
        <is>
          <t>Где размещена</t>
        </is>
      </c>
      <c r="C29" s="46" t="inlineStr">
        <is>
          <t>Блок «Куда уходит каждый час»</t>
        </is>
      </c>
      <c r="D29" s="72" t="n"/>
      <c r="E29" s="73" t="n"/>
      <c r="F29" s="25" t="inlineStr">
        <is>
          <t>Под размытием до оплаты</t>
        </is>
      </c>
    </row>
    <row r="30">
      <c r="A30" s="2" t="inlineStr">
        <is>
          <t>Что показывает</t>
        </is>
      </c>
      <c r="C30" s="46" t="inlineStr">
        <is>
          <t>Одни и те же сегменты при трёх ставках</t>
        </is>
      </c>
      <c r="D30" s="72" t="n"/>
      <c r="E30" s="73" t="n"/>
      <c r="F30" s="25" t="inlineStr">
        <is>
          <t>Сегменты и цвета совпадают с Д1</t>
        </is>
      </c>
    </row>
    <row r="31">
      <c r="A31" s="2" t="inlineStr">
        <is>
          <t>Кольцо 1</t>
        </is>
      </c>
      <c r="C31" s="46" t="inlineStr">
        <is>
          <t>Ваша расчётная ставка</t>
        </is>
      </c>
      <c r="D31" s="72" t="n"/>
      <c r="E31" s="73" t="n"/>
      <c r="F31" s="25" t="inlineStr">
        <is>
          <t>Выручка R, доход = target_income</t>
        </is>
      </c>
    </row>
    <row r="32">
      <c r="A32" s="2" t="inlineStr">
        <is>
          <t>Кольцо 2</t>
        </is>
      </c>
      <c r="C32" s="46" t="inlineStr">
        <is>
          <t>Ваша текущая ставка</t>
        </is>
      </c>
      <c r="D32" s="72" t="n"/>
      <c r="E32" s="73" t="n"/>
      <c r="F32" s="25" t="inlineStr">
        <is>
          <t>Выручка current_rate × shooting_time, доход = leftC</t>
        </is>
      </c>
    </row>
    <row r="33">
      <c r="A33" s="2" t="inlineStr">
        <is>
          <t>Кольцо 3</t>
        </is>
      </c>
      <c r="C33" s="46" t="inlineStr">
        <is>
          <t>Работа в ноль</t>
        </is>
      </c>
      <c r="D33" s="72" t="n"/>
      <c r="E33" s="73" t="n"/>
      <c r="F33" s="25" t="inlineStr">
        <is>
          <t>Выручка Rb (безубыточность), доход = 0</t>
        </is>
      </c>
    </row>
    <row r="34" ht="30" customHeight="1">
      <c r="A34" s="2" t="inlineStr">
        <is>
          <t>Единица легенды</t>
        </is>
      </c>
      <c r="C34" s="46" t="inlineStr">
        <is>
          <t>Рубли и проценты</t>
        </is>
      </c>
      <c r="D34" s="72" t="n"/>
      <c r="E34" s="73" t="n"/>
      <c r="F34" s="25" t="inlineStr"/>
    </row>
    <row r="36">
      <c r="A36" s="26" t="inlineStr">
        <is>
          <t>№</t>
        </is>
      </c>
      <c r="B36" s="26" t="inlineStr">
        <is>
          <t>Группа</t>
        </is>
      </c>
      <c r="C36" s="26" t="inlineStr">
        <is>
          <t>Код сегмента</t>
        </is>
      </c>
      <c r="D36" s="26" t="inlineStr">
        <is>
          <t>Подпись в легенде</t>
        </is>
      </c>
      <c r="E36" s="26" t="inlineStr">
        <is>
          <t>Параметр расчёта</t>
        </is>
      </c>
      <c r="F36" s="26" t="inlineStr">
        <is>
          <t>Формула / что берём</t>
        </is>
      </c>
      <c r="G36" s="26" t="inlineStr">
        <is>
          <t>Цвет</t>
        </is>
      </c>
      <c r="H36" s="26" t="inlineStr">
        <is>
          <t>Условие</t>
        </is>
      </c>
      <c r="I36" s="26" t="inlineStr">
        <is>
          <t>Комментарий</t>
        </is>
      </c>
    </row>
    <row r="37">
      <c r="A37" s="61" t="inlineStr">
        <is>
          <t>1–11</t>
        </is>
      </c>
      <c r="B37" s="20" t="inlineStr">
        <is>
          <t>те же</t>
        </is>
      </c>
      <c r="C37" s="6" t="inlineStr">
        <is>
          <t>см. Д1</t>
        </is>
      </c>
      <c r="D37" s="113" t="inlineStr">
        <is>
          <t>Состав полностью совпадает с Д1</t>
        </is>
      </c>
      <c r="E37" s="6" t="inlineStr">
        <is>
          <t>parts(d)</t>
        </is>
      </c>
      <c r="F37" s="5" t="inlineStr">
        <is>
          <t>Для кольца 2 доходные сегменты × коэффициент leftC / target_income</t>
        </is>
      </c>
      <c r="G37" s="6" t="inlineStr">
        <is>
          <t>—</t>
        </is>
      </c>
      <c r="H37" s="5" t="inlineStr">
        <is>
          <t>всегда</t>
        </is>
      </c>
      <c r="I37" s="5" t="inlineStr">
        <is>
          <t>Для кольца 3 все доходные сегменты = 0</t>
        </is>
      </c>
    </row>
    <row r="39">
      <c r="A39" s="3" t="inlineStr">
        <is>
          <t>Д3 · СЕТКА НЕДЕЛИ — блок 02. Обновлено 06.08.2026: расшифровка убрана, добавлена легенда цветов под сеткой</t>
        </is>
      </c>
    </row>
    <row r="40">
      <c r="A40" s="2" t="inlineStr">
        <is>
          <t>Тип диаграммы</t>
        </is>
      </c>
      <c r="C40" s="46" t="inlineStr">
        <is>
          <t>Тепловая сетка (heatmap) 5 × 9</t>
        </is>
      </c>
      <c r="D40" s="72" t="n"/>
      <c r="E40" s="73" t="n"/>
      <c r="F40" s="25" t="inlineStr">
        <is>
          <t>5 рабочих дней, часы с 10:00 до 19:00</t>
        </is>
      </c>
    </row>
    <row r="41">
      <c r="A41" s="2" t="inlineStr">
        <is>
          <t>Где размещена</t>
        </is>
      </c>
      <c r="C41" s="46" t="inlineStr">
        <is>
          <t>Блок «Ваша неделя»</t>
        </is>
      </c>
      <c r="D41" s="72" t="n"/>
      <c r="E41" s="73" t="n"/>
      <c r="F41" s="25" t="inlineStr">
        <is>
          <t>Под размытием до оплаты</t>
        </is>
      </c>
    </row>
    <row r="42">
      <c r="A42" s="2" t="inlineStr">
        <is>
          <t>Что показывает</t>
        </is>
      </c>
      <c r="C42" s="46" t="inlineStr">
        <is>
          <t>Как распределяется рабочий день по видам работ</t>
        </is>
      </c>
      <c r="D42" s="72" t="n"/>
      <c r="E42" s="73" t="n"/>
      <c r="F42" s="25" t="inlineStr">
        <is>
          <t>Часы в неделю ÷ 5 дней</t>
        </is>
      </c>
    </row>
    <row r="43">
      <c r="A43" s="2" t="inlineStr">
        <is>
          <t>Обед</t>
        </is>
      </c>
      <c r="C43" s="46" t="inlineStr">
        <is>
          <t>Один час в 14:00, серый</t>
        </is>
      </c>
      <c r="D43" s="72" t="n"/>
      <c r="E43" s="73" t="n"/>
      <c r="F43" s="25" t="inlineStr">
        <is>
          <t>Не входит в рабочее время</t>
        </is>
      </c>
    </row>
    <row r="44" ht="30" customHeight="1">
      <c r="A44" s="2" t="inlineStr">
        <is>
          <t>Легенда цветов</t>
        </is>
      </c>
      <c r="C44" s="46" t="inlineStr">
        <is>
          <t>Под сеткой, класс .slg</t>
        </is>
      </c>
      <c r="D44" s="72" t="n"/>
      <c r="E44" s="73" t="n"/>
      <c r="F44" s="250" t="inlineStr">
        <is>
          <t>Съёмка · Обработка · Продвижение · Работа с клиентом · Учёт · Рабочие паузы · Форс-мажоры (штриховка, только если &gt; 0)</t>
        </is>
      </c>
    </row>
    <row r="45">
      <c r="A45" s="2" t="inlineStr">
        <is>
          <t>Комментарий</t>
        </is>
      </c>
      <c r="C45" s="249" t="inlineStr">
        <is>
          <t>Один, крупным шрифтом</t>
        </is>
      </c>
      <c r="F45" s="250" t="inlineStr">
        <is>
          <t>«За неделю у вас одна съёмка на N ч… Получается всего N часа с камерой в руках, а остальное время — это та самая невидимая, но огромная работа за кадром, без которой ни одна съёмка просто не состоится»</t>
        </is>
      </c>
    </row>
    <row r="46">
      <c r="A46" s="26" t="inlineStr">
        <is>
          <t>№</t>
        </is>
      </c>
      <c r="B46" s="26" t="inlineStr">
        <is>
          <t>Группа</t>
        </is>
      </c>
      <c r="C46" s="26" t="inlineStr">
        <is>
          <t>Код сегмента</t>
        </is>
      </c>
      <c r="D46" s="26" t="inlineStr">
        <is>
          <t>Подпись в легенде</t>
        </is>
      </c>
      <c r="E46" s="26" t="inlineStr">
        <is>
          <t>Параметр расчёта</t>
        </is>
      </c>
      <c r="F46" s="26" t="inlineStr">
        <is>
          <t>Формула / что берём</t>
        </is>
      </c>
      <c r="G46" s="26" t="inlineStr">
        <is>
          <t>Цвет</t>
        </is>
      </c>
      <c r="H46" s="26" t="inlineStr">
        <is>
          <t>Условие</t>
        </is>
      </c>
      <c r="I46" s="26" t="inlineStr">
        <is>
          <t>Комментарий</t>
        </is>
      </c>
    </row>
    <row r="47">
      <c r="A47" s="61" t="n">
        <v>1</v>
      </c>
      <c r="B47" s="108" t="inlineStr">
        <is>
          <t>ВРЕМЯ</t>
        </is>
      </c>
      <c r="C47" s="6" t="inlineStr">
        <is>
          <t>wk_shoot</t>
        </is>
      </c>
      <c r="D47" s="113" t="inlineStr">
        <is>
          <t>Съёмка</t>
        </is>
      </c>
      <c r="E47" s="6" t="inlineStr">
        <is>
          <t>shooting_time</t>
        </is>
      </c>
      <c r="F47" s="5" t="inlineStr">
        <is>
          <t>shooting_time / net_weeks / 5</t>
        </is>
      </c>
      <c r="G47" s="125" t="inlineStr">
        <is>
          <t>#0B6B22</t>
        </is>
      </c>
      <c r="H47" s="5" t="inlineStr">
        <is>
          <t>всегда</t>
        </is>
      </c>
      <c r="I47" s="5" t="inlineStr">
        <is>
          <t>Цвет совпадает с Д1</t>
        </is>
      </c>
    </row>
    <row r="48">
      <c r="A48" s="61" t="n">
        <v>2</v>
      </c>
      <c r="B48" s="108" t="inlineStr">
        <is>
          <t>ВРЕМЯ</t>
        </is>
      </c>
      <c r="C48" s="6" t="inlineStr">
        <is>
          <t>wk_post</t>
        </is>
      </c>
      <c r="D48" s="113" t="inlineStr">
        <is>
          <t>Обработка</t>
        </is>
      </c>
      <c r="E48" s="6" t="inlineStr">
        <is>
          <t>post_time</t>
        </is>
      </c>
      <c r="F48" s="5" t="inlineStr">
        <is>
          <t>post_time / net_weeks / 5</t>
        </is>
      </c>
      <c r="G48" s="126" t="inlineStr">
        <is>
          <t>#1B9331</t>
        </is>
      </c>
      <c r="H48" s="5" t="inlineStr">
        <is>
          <t>всегда</t>
        </is>
      </c>
      <c r="I48" s="5" t="inlineStr"/>
    </row>
    <row r="49">
      <c r="A49" s="61" t="n">
        <v>3</v>
      </c>
      <c r="B49" s="108" t="inlineStr">
        <is>
          <t>ВРЕМЯ</t>
        </is>
      </c>
      <c r="C49" s="6" t="inlineStr">
        <is>
          <t>wk_client</t>
        </is>
      </c>
      <c r="D49" s="113" t="inlineStr">
        <is>
          <t>Работа с клиентом</t>
        </is>
      </c>
      <c r="E49" s="6" t="inlineStr">
        <is>
          <t>client_total</t>
        </is>
      </c>
      <c r="F49" s="5" t="inlineStr">
        <is>
          <t>client_total / net_weeks / 5</t>
        </is>
      </c>
      <c r="G49" s="127" t="inlineStr">
        <is>
          <t>#35B94C</t>
        </is>
      </c>
      <c r="H49" s="5" t="inlineStr">
        <is>
          <t>всегда</t>
        </is>
      </c>
      <c r="I49" s="5" t="inlineStr"/>
    </row>
    <row r="50">
      <c r="A50" s="61" t="n">
        <v>4</v>
      </c>
      <c r="B50" s="108" t="inlineStr">
        <is>
          <t>ВРЕМЯ</t>
        </is>
      </c>
      <c r="C50" s="6" t="inlineStr">
        <is>
          <t>wk_promo</t>
        </is>
      </c>
      <c r="D50" s="113" t="inlineStr">
        <is>
          <t>Продвижение</t>
        </is>
      </c>
      <c r="E50" s="6" t="inlineStr">
        <is>
          <t>promo_time</t>
        </is>
      </c>
      <c r="F50" s="5" t="inlineStr">
        <is>
          <t>promo_time / net_weeks / 5</t>
        </is>
      </c>
      <c r="G50" s="128" t="inlineStr">
        <is>
          <t>#6FD183</t>
        </is>
      </c>
      <c r="H50" s="5" t="inlineStr">
        <is>
          <t>всегда</t>
        </is>
      </c>
      <c r="I50" s="5" t="inlineStr"/>
    </row>
    <row r="51">
      <c r="A51" s="61" t="n">
        <v>5</v>
      </c>
      <c r="B51" s="108" t="inlineStr">
        <is>
          <t>ВРЕМЯ</t>
        </is>
      </c>
      <c r="C51" s="6" t="inlineStr">
        <is>
          <t>wk_acc</t>
        </is>
      </c>
      <c r="D51" s="113" t="inlineStr">
        <is>
          <t>Учёт</t>
        </is>
      </c>
      <c r="E51" s="6" t="inlineStr">
        <is>
          <t>accounting_time</t>
        </is>
      </c>
      <c r="F51" s="5" t="inlineStr">
        <is>
          <t>accounting_time / net_weeks / 5</t>
        </is>
      </c>
      <c r="G51" s="129" t="inlineStr">
        <is>
          <t>#A6E5B2</t>
        </is>
      </c>
      <c r="H51" s="5" t="inlineStr">
        <is>
          <t>только при acc_mode = сам</t>
        </is>
      </c>
      <c r="I51" s="5" t="inlineStr"/>
    </row>
    <row r="52">
      <c r="A52" s="61" t="n">
        <v>6</v>
      </c>
      <c r="B52" s="108" t="inlineStr">
        <is>
          <t>ВРЕМЯ</t>
        </is>
      </c>
      <c r="C52" s="6" t="inlineStr">
        <is>
          <t>wk_fm</t>
        </is>
      </c>
      <c r="D52" s="113" t="inlineStr">
        <is>
          <t>Резерв на срывы</t>
        </is>
      </c>
      <c r="E52" s="6" t="inlineStr">
        <is>
          <t>fm_time</t>
        </is>
      </c>
      <c r="F52" s="5" t="inlineStr">
        <is>
          <t>fm_time / net_weeks / 5</t>
        </is>
      </c>
      <c r="G52" s="130" t="inlineStr">
        <is>
          <t>#CDF2D5</t>
        </is>
      </c>
      <c r="H52" s="5" t="inlineStr">
        <is>
          <t>только при fm_on</t>
        </is>
      </c>
      <c r="I52" s="5" t="inlineStr"/>
    </row>
    <row r="53">
      <c r="A53" s="61" t="n">
        <v>7</v>
      </c>
      <c r="B53" s="20" t="inlineStr">
        <is>
          <t>СЛУЖЕБНОЕ</t>
        </is>
      </c>
      <c r="C53" s="6" t="inlineStr">
        <is>
          <t>wk_lunch</t>
        </is>
      </c>
      <c r="D53" s="113" t="inlineStr">
        <is>
          <t>Обед</t>
        </is>
      </c>
      <c r="E53" s="6" t="inlineStr">
        <is>
          <t>—</t>
        </is>
      </c>
      <c r="F53" s="5" t="inlineStr">
        <is>
          <t>фиксированно 1 час в 14:00</t>
        </is>
      </c>
      <c r="G53" s="136" t="inlineStr">
        <is>
          <t>#E5E7EB</t>
        </is>
      </c>
      <c r="H53" s="5" t="inlineStr">
        <is>
          <t>всегда</t>
        </is>
      </c>
      <c r="I53" s="5" t="inlineStr">
        <is>
          <t>Нейтральный серый</t>
        </is>
      </c>
    </row>
    <row r="55">
      <c r="A55" s="3" t="inlineStr">
        <is>
          <t>Д4 · РЕЗЕРВ — заготовка под будущую диаграмму</t>
        </is>
      </c>
    </row>
    <row r="56">
      <c r="A56" s="2" t="inlineStr">
        <is>
          <t>Тип диаграммы</t>
        </is>
      </c>
      <c r="C56" s="46" t="inlineStr">
        <is>
          <t>(заполнить)</t>
        </is>
      </c>
      <c r="D56" s="72" t="n"/>
      <c r="E56" s="73" t="n"/>
      <c r="F56" s="25" t="inlineStr">
        <is>
          <t>Варианты: столбчатая, линейная, воронка</t>
        </is>
      </c>
    </row>
    <row r="57">
      <c r="A57" s="2" t="inlineStr">
        <is>
          <t>Где размещена</t>
        </is>
      </c>
      <c r="C57" s="46" t="inlineStr">
        <is>
          <t>(заполнить)</t>
        </is>
      </c>
      <c r="D57" s="72" t="n"/>
      <c r="E57" s="73" t="n"/>
      <c r="F57" s="25" t="inlineStr"/>
    </row>
    <row r="58">
      <c r="A58" s="2" t="inlineStr">
        <is>
          <t>Что показывает</t>
        </is>
      </c>
      <c r="C58" s="46" t="inlineStr">
        <is>
          <t>(заполнить)</t>
        </is>
      </c>
      <c r="D58" s="72" t="n"/>
      <c r="E58" s="73" t="n"/>
      <c r="F58" s="25" t="inlineStr"/>
    </row>
    <row r="59">
      <c r="A59" s="2" t="inlineStr">
        <is>
          <t>Идея 1</t>
        </is>
      </c>
      <c r="C59" s="46" t="inlineStr">
        <is>
          <t>Динамика ставки при разной длительности съёмки</t>
        </is>
      </c>
      <c r="D59" s="72" t="n"/>
      <c r="E59" s="73" t="n"/>
      <c r="F59" s="25" t="inlineStr">
        <is>
          <t>Как S влияет на цену часа</t>
        </is>
      </c>
    </row>
    <row r="60">
      <c r="A60" s="2" t="inlineStr">
        <is>
          <t>Идея 2</t>
        </is>
      </c>
      <c r="C60" s="46" t="inlineStr">
        <is>
          <t>Структура года: оплачиваемые и неоплачиваемые часы</t>
        </is>
      </c>
      <c r="D60" s="72" t="n"/>
      <c r="E60" s="73" t="n"/>
      <c r="F60" s="25" t="inlineStr">
        <is>
          <t>Наглядное соотношение</t>
        </is>
      </c>
    </row>
    <row r="61" ht="30" customHeight="1">
      <c r="A61" s="2" t="inlineStr">
        <is>
          <t>Идея 3</t>
        </is>
      </c>
      <c r="C61" s="46" t="inlineStr">
        <is>
          <t>Сравнение с наймом</t>
        </is>
      </c>
      <c r="D61" s="72" t="n"/>
      <c r="E61" s="73" t="n"/>
      <c r="F61" s="25" t="inlineStr">
        <is>
          <t>Ставка фрилансера против зарплаты в штате</t>
        </is>
      </c>
    </row>
    <row r="63">
      <c r="A63" s="26" t="inlineStr">
        <is>
          <t>№</t>
        </is>
      </c>
      <c r="B63" s="26" t="inlineStr">
        <is>
          <t>Группа</t>
        </is>
      </c>
      <c r="C63" s="26" t="inlineStr">
        <is>
          <t>Код сегмента</t>
        </is>
      </c>
      <c r="D63" s="26" t="inlineStr">
        <is>
          <t>Подпись в легенде</t>
        </is>
      </c>
      <c r="E63" s="26" t="inlineStr">
        <is>
          <t>Параметр расчёта</t>
        </is>
      </c>
      <c r="F63" s="26" t="inlineStr">
        <is>
          <t>Формула / что берём</t>
        </is>
      </c>
      <c r="G63" s="26" t="inlineStr">
        <is>
          <t>Цвет</t>
        </is>
      </c>
      <c r="H63" s="26" t="inlineStr">
        <is>
          <t>Условие</t>
        </is>
      </c>
      <c r="I63" s="26" t="inlineStr">
        <is>
          <t>Комментарий</t>
        </is>
      </c>
    </row>
    <row r="64">
      <c r="A64" s="61" t="n">
        <v>1</v>
      </c>
      <c r="B64" s="20" t="inlineStr"/>
      <c r="C64" s="6" t="inlineStr"/>
      <c r="D64" s="113" t="inlineStr"/>
      <c r="E64" s="6" t="inlineStr"/>
      <c r="F64" s="5" t="inlineStr"/>
      <c r="G64" s="6" t="inlineStr"/>
      <c r="H64" s="5" t="inlineStr"/>
      <c r="I64" s="5" t="inlineStr"/>
    </row>
    <row r="65">
      <c r="A65" s="61" t="n">
        <v>2</v>
      </c>
      <c r="B65" s="20" t="inlineStr"/>
      <c r="C65" s="6" t="inlineStr"/>
      <c r="D65" s="113" t="inlineStr"/>
      <c r="E65" s="6" t="inlineStr"/>
      <c r="F65" s="5" t="inlineStr"/>
      <c r="G65" s="6" t="inlineStr"/>
      <c r="H65" s="5" t="inlineStr"/>
      <c r="I65" s="5" t="inlineStr"/>
    </row>
    <row r="66">
      <c r="A66" s="61" t="n">
        <v>3</v>
      </c>
      <c r="B66" s="20" t="inlineStr"/>
      <c r="C66" s="6" t="inlineStr"/>
      <c r="D66" s="113" t="inlineStr"/>
      <c r="E66" s="6" t="inlineStr"/>
      <c r="F66" s="5" t="inlineStr"/>
      <c r="G66" s="6" t="inlineStr"/>
      <c r="H66" s="5" t="inlineStr"/>
      <c r="I66" s="5" t="inlineStr"/>
    </row>
    <row r="67">
      <c r="A67" s="61" t="n">
        <v>4</v>
      </c>
      <c r="B67" s="20" t="inlineStr"/>
      <c r="C67" s="6" t="inlineStr"/>
      <c r="D67" s="113" t="inlineStr"/>
      <c r="E67" s="6" t="inlineStr"/>
      <c r="F67" s="5" t="inlineStr"/>
      <c r="G67" s="6" t="inlineStr"/>
      <c r="H67" s="5" t="inlineStr"/>
      <c r="I67" s="5" t="inlineStr"/>
    </row>
    <row r="68">
      <c r="A68" s="61" t="n">
        <v>5</v>
      </c>
      <c r="B68" s="20" t="inlineStr"/>
      <c r="C68" s="6" t="inlineStr"/>
      <c r="D68" s="113" t="inlineStr"/>
      <c r="E68" s="6" t="inlineStr"/>
      <c r="F68" s="5" t="inlineStr"/>
      <c r="G68" s="6" t="inlineStr"/>
      <c r="H68" s="5" t="inlineStr"/>
      <c r="I68" s="5" t="inlineStr"/>
    </row>
    <row r="69">
      <c r="A69" s="61" t="n">
        <v>6</v>
      </c>
      <c r="B69" s="20" t="inlineStr"/>
      <c r="C69" s="6" t="inlineStr"/>
      <c r="D69" s="113" t="inlineStr"/>
      <c r="E69" s="6" t="inlineStr"/>
      <c r="F69" s="5" t="inlineStr"/>
      <c r="G69" s="6" t="inlineStr"/>
      <c r="H69" s="5" t="inlineStr"/>
      <c r="I69" s="5" t="inlineStr"/>
    </row>
    <row r="71">
      <c r="A71" s="3" t="inlineStr">
        <is>
          <t>ОБЩИЕ ПРАВИЛА</t>
        </is>
      </c>
    </row>
    <row r="72">
      <c r="A72" t="inlineStr">
        <is>
          <t>Порядок сегментов в таблице = порядок отрисовки по часовой стрелке от 12 часов.</t>
        </is>
      </c>
    </row>
    <row r="73">
      <c r="A73" t="inlineStr">
        <is>
          <t>Цвета едины для всех диаграмм: зелёная гамма — заработок, тёплая и холодная — расходы.</t>
        </is>
      </c>
    </row>
    <row r="74">
      <c r="A74" t="inlineStr">
        <is>
          <t>Проценты подписываются прямо на сегменте, если доля не меньше 3,2%. Мельче — не читается.</t>
        </is>
      </c>
    </row>
    <row r="75">
      <c r="A75" t="inlineStr">
        <is>
          <t>Сегмент с нулевым значением не отрисовывается и не попадает в легенду.</t>
        </is>
      </c>
    </row>
    <row r="76">
      <c r="A76" t="inlineStr">
        <is>
          <t>Условные сегменты (бухгалтер, резерв) исчезают, когда соответствующая опция выключена.</t>
        </is>
      </c>
    </row>
    <row r="77">
      <c r="A77" t="inlineStr">
        <is>
          <t>Сумма всех сегментов всегда равна выручке — это проверяется формулой в листе 05_Расчёт.</t>
        </is>
      </c>
    </row>
    <row r="78"/>
    <row r="79">
      <c r="A79" t="inlineStr">
        <is>
          <t>ЧТО ПРАВИТЬ В ЭТОМ ЛИСТЕ: подписи в легенде (жёлтая колонка) и состав групп.</t>
        </is>
      </c>
    </row>
    <row r="80">
      <c r="A80" t="inlineStr">
        <is>
          <t>Формулы и коды сегментов менять только вместе с кодом HTML.</t>
        </is>
      </c>
    </row>
  </sheetData>
  <mergeCells count="88">
    <mergeCell ref="C44:E44"/>
    <mergeCell ref="C31:E31"/>
    <mergeCell ref="C40:E40"/>
    <mergeCell ref="A27:I27"/>
    <mergeCell ref="C60:E60"/>
    <mergeCell ref="A2:I2"/>
    <mergeCell ref="A7:B7"/>
    <mergeCell ref="A41:B41"/>
    <mergeCell ref="F29:I29"/>
    <mergeCell ref="A56:B56"/>
    <mergeCell ref="C7:E7"/>
    <mergeCell ref="C57:E57"/>
    <mergeCell ref="A33:B33"/>
    <mergeCell ref="A42:B42"/>
    <mergeCell ref="F59:I59"/>
    <mergeCell ref="A39:I39"/>
    <mergeCell ref="C34:E34"/>
    <mergeCell ref="C42:E42"/>
    <mergeCell ref="A28:B28"/>
    <mergeCell ref="A79:I79"/>
    <mergeCell ref="A9:B9"/>
    <mergeCell ref="A30:B30"/>
    <mergeCell ref="F56:I56"/>
    <mergeCell ref="A59:B59"/>
    <mergeCell ref="F43:I43"/>
    <mergeCell ref="F58:I58"/>
    <mergeCell ref="A74:I74"/>
    <mergeCell ref="C59:E59"/>
    <mergeCell ref="A61:B61"/>
    <mergeCell ref="F60:I60"/>
    <mergeCell ref="A71:I71"/>
    <mergeCell ref="F57:I57"/>
    <mergeCell ref="A76:I76"/>
    <mergeCell ref="C61:E61"/>
    <mergeCell ref="F44:I44"/>
    <mergeCell ref="F34:I34"/>
    <mergeCell ref="F6:I6"/>
    <mergeCell ref="C32:E32"/>
    <mergeCell ref="F30:I30"/>
    <mergeCell ref="A77:I77"/>
    <mergeCell ref="F5:I5"/>
    <mergeCell ref="A8:B8"/>
    <mergeCell ref="F33:I33"/>
    <mergeCell ref="F42:I42"/>
    <mergeCell ref="C33:E33"/>
    <mergeCell ref="A10:B10"/>
    <mergeCell ref="A1:I1"/>
    <mergeCell ref="A78:I78"/>
    <mergeCell ref="A34:B34"/>
    <mergeCell ref="F28:I28"/>
    <mergeCell ref="C10:E10"/>
    <mergeCell ref="F9:I9"/>
    <mergeCell ref="A75:I75"/>
    <mergeCell ref="F61:I61"/>
    <mergeCell ref="C9:E9"/>
    <mergeCell ref="A80:I80"/>
    <mergeCell ref="A55:I55"/>
    <mergeCell ref="A4:I4"/>
    <mergeCell ref="F10:I10"/>
    <mergeCell ref="C28:E28"/>
    <mergeCell ref="F7:I7"/>
    <mergeCell ref="A57:B57"/>
    <mergeCell ref="A5:B5"/>
    <mergeCell ref="A32:B32"/>
    <mergeCell ref="C30:E30"/>
    <mergeCell ref="C6:E6"/>
    <mergeCell ref="A43:B43"/>
    <mergeCell ref="F8:I8"/>
    <mergeCell ref="A40:B40"/>
    <mergeCell ref="F31:I31"/>
    <mergeCell ref="C41:E41"/>
    <mergeCell ref="A60:B60"/>
    <mergeCell ref="C56:E56"/>
    <mergeCell ref="C43:E43"/>
    <mergeCell ref="A6:B6"/>
    <mergeCell ref="C8:E8"/>
    <mergeCell ref="A72:I72"/>
    <mergeCell ref="F40:I40"/>
    <mergeCell ref="C58:E58"/>
    <mergeCell ref="F32:I32"/>
    <mergeCell ref="A73:I73"/>
    <mergeCell ref="F41:I41"/>
    <mergeCell ref="A29:B29"/>
    <mergeCell ref="C5:E5"/>
    <mergeCell ref="A44:B44"/>
    <mergeCell ref="C29:E29"/>
    <mergeCell ref="A31:B31"/>
    <mergeCell ref="A58:B5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4" customWidth="1" min="5" max="5"/>
    <col width="46" customWidth="1" min="6" max="6"/>
  </cols>
  <sheetData>
    <row r="1">
      <c r="A1" s="1" t="inlineStr">
        <is>
          <t>13 · СЕТКА ЦЕН ПО ОБЪЁМУ</t>
        </is>
      </c>
    </row>
    <row r="2">
      <c r="A2" s="25" t="inlineStr">
        <is>
          <t>Постоянная величина — час ПРОЕКТНОГО времени. Цена съёмочного часа падает за счёт накладных, а не дохода.</t>
        </is>
      </c>
    </row>
    <row r="4">
      <c r="A4" s="3" t="inlineStr">
        <is>
          <t>ПРИНЦИП</t>
        </is>
      </c>
    </row>
    <row r="5">
      <c r="A5" t="inlineStr">
        <is>
          <t>Час проектного времени = выручка / проектное время за год. Величина ПОСТОЯННАЯ.</t>
        </is>
      </c>
    </row>
    <row r="6">
      <c r="A6" t="inlineStr">
        <is>
          <t>Проект = S × (1 + коэффициент обработки) + 1 час на клиента.</t>
        </is>
      </c>
    </row>
    <row r="7">
      <c r="A7" t="inlineStr">
        <is>
          <t>Час на клиента одинаков и для съёмки на 2 часа, и для съёмки на 6 часов.</t>
        </is>
      </c>
    </row>
    <row r="8">
      <c r="A8" t="inlineStr">
        <is>
          <t>Чем длиннее съёмка, тем меньше накладных приходится на каждый съёмочный час.</t>
        </is>
      </c>
    </row>
    <row r="9"/>
    <row r="10">
      <c r="A10" t="inlineStr">
        <is>
          <t>ВАЖНО: доход специалиста НЕ уменьшается. Годовая выручка одинакова при любой длительности.</t>
        </is>
      </c>
    </row>
    <row r="12">
      <c r="A12" s="3" t="inlineStr">
        <is>
          <t>ПРИМЕР: минимальная съёмка 2 ч, коэффициент обработки 3</t>
        </is>
      </c>
    </row>
    <row r="13">
      <c r="A13" s="11" t="inlineStr">
        <is>
          <t>Длительность</t>
        </is>
      </c>
      <c r="B13" s="11" t="inlineStr">
        <is>
          <t>Проектное время</t>
        </is>
      </c>
      <c r="C13" s="11" t="inlineStr">
        <is>
          <t>Цена заказа</t>
        </is>
      </c>
      <c r="D13" s="11" t="inlineStr">
        <is>
          <t>Цена часа</t>
        </is>
      </c>
      <c r="E13" s="11" t="inlineStr">
        <is>
          <t>Скидка</t>
        </is>
      </c>
      <c r="F13" s="11" t="inlineStr">
        <is>
          <t>Комментарий</t>
        </is>
      </c>
    </row>
    <row r="14">
      <c r="A14" s="8" t="inlineStr">
        <is>
          <t>2 ч — базовая</t>
        </is>
      </c>
      <c r="B14" s="8" t="inlineStr">
        <is>
          <t>9 ч</t>
        </is>
      </c>
      <c r="C14" s="118" t="n">
        <v>18708</v>
      </c>
      <c r="D14" s="118" t="n">
        <v>9354</v>
      </c>
      <c r="E14" s="8" t="inlineStr">
        <is>
          <t>—</t>
        </is>
      </c>
      <c r="F14" s="8" t="inlineStr">
        <is>
          <t>Максимальная ставка</t>
        </is>
      </c>
    </row>
    <row r="15">
      <c r="A15" s="5" t="inlineStr">
        <is>
          <t>3 ч</t>
        </is>
      </c>
      <c r="B15" s="5" t="inlineStr">
        <is>
          <t>13 ч</t>
        </is>
      </c>
      <c r="C15" s="137" t="n">
        <v>27023</v>
      </c>
      <c r="D15" s="137" t="n">
        <v>9008</v>
      </c>
      <c r="E15" s="5" t="inlineStr">
        <is>
          <t>−3.7%</t>
        </is>
      </c>
      <c r="F15" s="5" t="inlineStr">
        <is>
          <t>Клиент экономит 346 ₽ с часа</t>
        </is>
      </c>
    </row>
    <row r="16">
      <c r="A16" s="5" t="inlineStr">
        <is>
          <t>4 ч</t>
        </is>
      </c>
      <c r="B16" s="5" t="inlineStr">
        <is>
          <t>17 ч</t>
        </is>
      </c>
      <c r="C16" s="137" t="n">
        <v>35338</v>
      </c>
      <c r="D16" s="137" t="n">
        <v>8835</v>
      </c>
      <c r="E16" s="5" t="inlineStr">
        <is>
          <t>−5.6%</t>
        </is>
      </c>
      <c r="F16" s="5" t="inlineStr">
        <is>
          <t>Клиент экономит 520 ₽ с часа</t>
        </is>
      </c>
    </row>
    <row r="17">
      <c r="A17" s="5" t="inlineStr">
        <is>
          <t>5 ч</t>
        </is>
      </c>
      <c r="B17" s="5" t="inlineStr">
        <is>
          <t>21 ч</t>
        </is>
      </c>
      <c r="C17" s="137" t="n">
        <v>43653</v>
      </c>
      <c r="D17" s="137" t="n">
        <v>8731</v>
      </c>
      <c r="E17" s="5" t="inlineStr">
        <is>
          <t>−6.7%</t>
        </is>
      </c>
      <c r="F17" s="5" t="inlineStr">
        <is>
          <t>Клиент экономит 624 ₽ с часа</t>
        </is>
      </c>
    </row>
    <row r="18">
      <c r="A18" s="5" t="inlineStr">
        <is>
          <t>6 ч</t>
        </is>
      </c>
      <c r="B18" s="5" t="inlineStr">
        <is>
          <t>25 ч</t>
        </is>
      </c>
      <c r="C18" s="137" t="n">
        <v>51968</v>
      </c>
      <c r="D18" s="137" t="n">
        <v>8661</v>
      </c>
      <c r="E18" s="5" t="inlineStr">
        <is>
          <t>−7.4%</t>
        </is>
      </c>
      <c r="F18" s="5" t="inlineStr">
        <is>
          <t>Клиент экономит 693 ₽ с часа</t>
        </is>
      </c>
    </row>
    <row r="19">
      <c r="A19" s="5" t="inlineStr">
        <is>
          <t>7 ч</t>
        </is>
      </c>
      <c r="B19" s="5" t="inlineStr">
        <is>
          <t>29 ч</t>
        </is>
      </c>
      <c r="C19" s="137" t="n">
        <v>60283</v>
      </c>
      <c r="D19" s="137" t="n">
        <v>8612</v>
      </c>
      <c r="E19" s="5" t="inlineStr">
        <is>
          <t>−7.9%</t>
        </is>
      </c>
      <c r="F19" s="5" t="inlineStr">
        <is>
          <t>Клиент экономит 742 ₽ с часа</t>
        </is>
      </c>
    </row>
    <row r="21">
      <c r="A21" s="108" t="inlineStr">
        <is>
          <t>ПРОВЕРКА</t>
        </is>
      </c>
      <c r="B21" s="108" t="inlineStr">
        <is>
          <t>Выручка за год при любом S</t>
        </is>
      </c>
      <c r="C21" s="116" t="n">
        <v>2138693</v>
      </c>
      <c r="D21" s="108" t="inlineStr"/>
      <c r="E21" s="108" t="inlineStr"/>
      <c r="F21" s="108" t="inlineStr">
        <is>
          <t>Сумма всех заказов одинакова</t>
        </is>
      </c>
    </row>
    <row r="23">
      <c r="A23" s="256" t="inlineStr">
        <is>
          <t>ПЕРЕСМОТР 06.08.2026 — база от 1 часа, ступени 2/4/6</t>
        </is>
      </c>
    </row>
    <row r="24">
      <c r="A24" s="2" t="inlineStr">
        <is>
          <t>Было</t>
        </is>
      </c>
      <c r="B24" s="229" t="inlineStr">
        <is>
          <t>Ступени S, S+1, S+2, S+3 — зависели от введённой длительности. Первая карточка считалась «базой», хотя при S=2 это уже цена со скидкой 10%</t>
        </is>
      </c>
    </row>
    <row r="25">
      <c r="A25" s="2" t="inlineStr">
        <is>
          <t>Стало</t>
        </is>
      </c>
      <c r="B25" s="229" t="inlineStr">
        <is>
          <t>База всегда 1 час — короче никто не работает. Ступени фиксированы: 2, 4, 6 часов</t>
        </is>
      </c>
    </row>
    <row r="26">
      <c r="A26" s="2" t="inlineStr">
        <is>
          <t>Формула</t>
        </is>
      </c>
      <c r="B26" s="229" t="inlineStr">
        <is>
          <t>час(S) = (S × (1+K) + cl) × hp / S, где hp = R / project_pool</t>
        </is>
      </c>
    </row>
    <row r="27">
      <c r="A27" s="2" t="inlineStr">
        <is>
          <t>Почему час дороже</t>
        </is>
      </c>
      <c r="B27" s="229" t="inlineStr">
        <is>
          <t>Час на работу с клиентом тратится на каждый заказ независимо от длины. При S=1 он занимает 20% проекта, при S=6 — только 4%</t>
        </is>
      </c>
    </row>
    <row r="28">
      <c r="A28" s="2" t="inlineStr">
        <is>
          <t>На демо-наборе</t>
        </is>
      </c>
      <c r="B28" s="229" t="inlineStr">
        <is>
          <t>1 ч → 9 874 ₽ · 2 ч → 8 887 ₽ (−10,0%) · 4 ч → 8 393 ₽ (−15,0%) · 6 ч → 8 228 ₽ (−16,7%)</t>
        </is>
      </c>
    </row>
  </sheetData>
  <mergeCells count="16">
    <mergeCell ref="A2:F2"/>
    <mergeCell ref="A10:F10"/>
    <mergeCell ref="B24:F24"/>
    <mergeCell ref="A1:F1"/>
    <mergeCell ref="A5:F5"/>
    <mergeCell ref="A9:F9"/>
    <mergeCell ref="A23:F23"/>
    <mergeCell ref="A8:F8"/>
    <mergeCell ref="B25:F25"/>
    <mergeCell ref="A6:F6"/>
    <mergeCell ref="B28:F28"/>
    <mergeCell ref="A12:F12"/>
    <mergeCell ref="A4:F4"/>
    <mergeCell ref="B26:F26"/>
    <mergeCell ref="B27:F27"/>
    <mergeCell ref="A7:F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5"/>
  <sheetViews>
    <sheetView workbookViewId="0">
      <pane ySplit="5" topLeftCell="A6"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52" customWidth="1" min="7" max="7"/>
  </cols>
  <sheetData>
    <row r="1">
      <c r="A1" s="1" t="inlineStr">
        <is>
          <t>13b · ПРОГРАММА ЛОЯЛЬНОСТИ — ФОНД, СКИДКИ, СЕРТИФИКАТЫ</t>
        </is>
      </c>
    </row>
    <row r="2">
      <c r="A2" s="298" t="inlineStr">
        <is>
          <t>Структура скидок блока 03 отчёта. Жёлтое — исходные данные, зелёное — итог. Всё остальное считается формулами.</t>
        </is>
      </c>
    </row>
    <row r="3">
      <c r="A3" s="299" t="inlineStr">
        <is>
          <t>ПРАВИЛО: скидки покрываются ТОЛЬКО фондом. Экономия на привлечении и высвобожденное время в покрытие не идут — это выгода фотографа.</t>
        </is>
      </c>
    </row>
    <row r="5">
      <c r="A5" s="3" t="inlineStr">
        <is>
          <t>ИСХОДНЫЕ ДАННЫЕ — из анкеты и расчёта</t>
        </is>
      </c>
      <c r="B5" s="103" t="n"/>
      <c r="C5" s="103" t="n"/>
      <c r="D5" s="103" t="n"/>
      <c r="E5" s="103" t="n"/>
      <c r="F5" s="103" t="n"/>
      <c r="G5" s="103" t="n"/>
    </row>
    <row r="6">
      <c r="A6" s="11" t="inlineStr">
        <is>
          <t>Показатель</t>
        </is>
      </c>
      <c r="B6" s="11" t="inlineStr">
        <is>
          <t>Значение</t>
        </is>
      </c>
      <c r="C6" s="11" t="inlineStr">
        <is>
          <t>Ед.</t>
        </is>
      </c>
      <c r="D6" s="11" t="inlineStr"/>
      <c r="E6" s="11" t="inlineStr"/>
      <c r="F6" s="11" t="inlineStr"/>
      <c r="G6" s="11" t="inlineStr">
        <is>
          <t>Откуда</t>
        </is>
      </c>
    </row>
    <row r="7">
      <c r="A7" t="inlineStr">
        <is>
          <t>Резерв на скидку (discP)</t>
        </is>
      </c>
      <c r="B7" s="300" t="n">
        <v>0.15</v>
      </c>
      <c r="C7" t="inlineStr">
        <is>
          <t>доля</t>
        </is>
      </c>
      <c r="G7" s="229" t="inlineStr">
        <is>
          <t>Анкета, блок «резерв на скидку»: 5 / 10 / 15%</t>
        </is>
      </c>
    </row>
    <row r="8">
      <c r="A8" t="inlineStr">
        <is>
          <t>Выручка целевая (R)</t>
        </is>
      </c>
      <c r="B8" s="301" t="n">
        <v>2138693</v>
      </c>
      <c r="C8" t="inlineStr">
        <is>
          <t>₽/год</t>
        </is>
      </c>
      <c r="G8" s="229" t="inlineStr">
        <is>
          <t>05_Расчёт</t>
        </is>
      </c>
    </row>
    <row r="9">
      <c r="A9" t="inlineStr">
        <is>
          <t>Съёмок (заказов) в год</t>
        </is>
      </c>
      <c r="B9" s="311" t="n">
        <v>216.6</v>
      </c>
      <c r="C9" t="inlineStr">
        <is>
          <t>шт</t>
        </is>
      </c>
      <c r="G9" s="229" t="inlineStr">
        <is>
          <t>06_Отчёт, py. Дробное — это среднее за год. В отчёте показывается округлённым</t>
        </is>
      </c>
    </row>
    <row r="10">
      <c r="A10" t="inlineStr">
        <is>
          <t>Средний чек</t>
        </is>
      </c>
      <c r="B10" s="301" t="n">
        <v>47000</v>
      </c>
      <c r="C10" t="inlineStr">
        <is>
          <t>₽</t>
        </is>
      </c>
      <c r="G10" s="229" t="inlineStr">
        <is>
          <t>Прайс 11 700 ₽/ч × средняя съёмка 5 ч, округлено</t>
        </is>
      </c>
    </row>
    <row r="11">
      <c r="A11" t="inlineStr">
        <is>
          <t>Стоимость привлечения нового клиента</t>
        </is>
      </c>
      <c r="B11" s="301" t="n">
        <v>2645</v>
      </c>
      <c r="C11" t="inlineStr">
        <is>
          <t>₽</t>
        </is>
      </c>
      <c r="G11" s="229" t="inlineStr">
        <is>
          <t>09b, строки о стоимости клиента</t>
        </is>
      </c>
    </row>
    <row r="12">
      <c r="A12" t="inlineStr">
        <is>
          <t>Время на привлечение нового клиента</t>
        </is>
      </c>
      <c r="B12" s="302" t="n">
        <v>2.32</v>
      </c>
      <c r="C12" t="inlineStr">
        <is>
          <t>ч</t>
        </is>
      </c>
      <c r="G12" s="229" t="inlineStr">
        <is>
          <t>09b: поиск 2,02 ч + переписка сверх постоянного 0,30 ч</t>
        </is>
      </c>
    </row>
    <row r="13">
      <c r="A13" t="inlineStr">
        <is>
          <t>Рабочих часов в дне</t>
        </is>
      </c>
      <c r="B13" s="302" t="n">
        <v>8</v>
      </c>
      <c r="C13" t="inlineStr">
        <is>
          <t>ч</t>
        </is>
      </c>
      <c r="G13" s="229" t="inlineStr">
        <is>
          <t>02_Параметры</t>
        </is>
      </c>
    </row>
    <row r="15">
      <c r="A15" s="3" t="inlineStr">
        <is>
          <t>ФОНД ПРОГРАММЫ ЛОЯЛЬНОСТИ — сколько денег и на что</t>
        </is>
      </c>
      <c r="B15" s="103" t="n"/>
      <c r="C15" s="103" t="n"/>
      <c r="D15" s="103" t="n"/>
      <c r="E15" s="103" t="n"/>
      <c r="F15" s="103" t="n"/>
      <c r="G15" s="103" t="n"/>
    </row>
    <row r="16">
      <c r="A16" s="11" t="inlineStr">
        <is>
          <t>Направление</t>
        </is>
      </c>
      <c r="B16" s="11" t="inlineStr">
        <is>
          <t>Доля</t>
        </is>
      </c>
      <c r="C16" s="11" t="inlineStr">
        <is>
          <t>Сумма / год</t>
        </is>
      </c>
      <c r="D16" s="11" t="inlineStr"/>
      <c r="E16" s="11" t="inlineStr"/>
      <c r="F16" s="11" t="inlineStr"/>
      <c r="G16" s="11" t="inlineStr">
        <is>
          <t>Комментарий</t>
        </is>
      </c>
    </row>
    <row r="17">
      <c r="A17" t="inlineStr">
        <is>
          <t>Бюджет фонда, всего</t>
        </is>
      </c>
      <c r="C17" s="301" t="n">
        <v>377826</v>
      </c>
      <c r="G17" s="229" t="inlineStr">
        <is>
          <t>Резерв, заложенный в цену: цена = база / (1 − резерв). Считается в calc.html</t>
        </is>
      </c>
    </row>
    <row r="18">
      <c r="A18" t="inlineStr">
        <is>
          <t>Скидка за объём</t>
        </is>
      </c>
      <c r="B18" s="303">
        <f>C18/$C$17</f>
        <v>0.2504486192056661</v>
      </c>
      <c r="C18" s="304">
        <f>C17-C19-C20</f>
        <v>94626.0</v>
      </c>
      <c r="G18" s="229" t="inlineStr">
        <is>
          <t>Остаток фонда: то, что не ушло на постоянных и спецпредложения</t>
        </is>
      </c>
    </row>
    <row r="19">
      <c r="A19" t="inlineStr">
        <is>
          <t>Постоянным клиентам</t>
        </is>
      </c>
      <c r="B19" s="303">
        <f>C19/$C$17</f>
        <v>0.44782518937288596</v>
      </c>
      <c r="C19" s="304">
        <f>F30</f>
        <v>169200.0</v>
      </c>
      <c r="G19" s="229" t="inlineStr">
        <is>
          <t>Ровно сумма ступеней ниже — направление расходуется полностью</t>
        </is>
      </c>
    </row>
    <row r="20">
      <c r="A20" t="inlineStr">
        <is>
          <t>Специальные предложения</t>
        </is>
      </c>
      <c r="B20" s="303">
        <f>C20/$C$17</f>
        <v>0.30172619142144796</v>
      </c>
      <c r="C20" s="304">
        <f>E46</f>
        <v>114000.0</v>
      </c>
      <c r="G20" s="229" t="inlineStr">
        <is>
          <t>Ровно номинал комплекта сертификатов</t>
        </is>
      </c>
    </row>
    <row r="21">
      <c r="A21" s="2" t="inlineStr">
        <is>
          <t>ИТОГО</t>
        </is>
      </c>
      <c r="B21" s="305">
        <f>SUM(B18:B20)</f>
        <v>1.0</v>
      </c>
      <c r="C21" s="306">
        <f>SUM(C18:C20)</f>
        <v>377826.0</v>
      </c>
      <c r="G21" s="229" t="inlineStr">
        <is>
          <t>Должно совпасть с бюджетом фонда</t>
        </is>
      </c>
    </row>
    <row r="22">
      <c r="A22" t="inlineStr">
        <is>
          <t>В месяц</t>
        </is>
      </c>
      <c r="C22" s="304">
        <f>ROUND(C17/12,0)</f>
        <v>31486.0</v>
      </c>
    </row>
    <row r="23">
      <c r="A23" t="inlineStr">
        <is>
          <t>С каждой съёмки</t>
        </is>
      </c>
      <c r="C23" s="304">
        <f>ROUND(C17/B9,0)</f>
        <v>1744.0</v>
      </c>
    </row>
    <row r="25">
      <c r="A25" s="3" t="inlineStr">
        <is>
          <t>СКИДКА ПОСТОЯННОМУ КЛИЕНТУ — ступени и распределение бюджета</t>
        </is>
      </c>
      <c r="B25" s="103" t="n"/>
      <c r="C25" s="103" t="n"/>
      <c r="D25" s="103" t="n"/>
      <c r="E25" s="103" t="n"/>
      <c r="F25" s="103" t="n"/>
      <c r="G25" s="103" t="n"/>
    </row>
    <row r="26">
      <c r="A26" s="11" t="inlineStr">
        <is>
          <t>Частота визитов</t>
        </is>
      </c>
      <c r="B26" s="11" t="inlineStr">
        <is>
          <t>Скидка</t>
        </is>
      </c>
      <c r="C26" s="11" t="inlineStr">
        <is>
          <t>Съёмок / год</t>
        </is>
      </c>
      <c r="D26" s="11" t="inlineStr">
        <is>
          <t>Клиентов</t>
        </is>
      </c>
      <c r="E26" s="11" t="inlineStr">
        <is>
          <t>Заказов</t>
        </is>
      </c>
      <c r="F26" s="11" t="inlineStr">
        <is>
          <t>Скидка / год</t>
        </is>
      </c>
      <c r="G26" s="11" t="inlineStr">
        <is>
          <t>Порог: принесёт вам от</t>
        </is>
      </c>
    </row>
    <row r="27">
      <c r="A27" t="inlineStr">
        <is>
          <t>Раз в полгода</t>
        </is>
      </c>
      <c r="B27" s="303" t="n">
        <v>0.05</v>
      </c>
      <c r="C27" t="n">
        <v>2</v>
      </c>
      <c r="D27" s="302" t="n">
        <v>10</v>
      </c>
      <c r="E27">
        <f>C27*D27</f>
        <v>20.0</v>
      </c>
      <c r="F27" s="304">
        <f>ROUND(E27*$B$10*B27,0)</f>
        <v>47000.0</v>
      </c>
      <c r="G27" s="304">
        <f>ROUND(C27*$B$10*(1-B27),-2)</f>
        <v>89300.0</v>
      </c>
    </row>
    <row r="28">
      <c r="A28" t="inlineStr">
        <is>
          <t>Раз в квартал</t>
        </is>
      </c>
      <c r="B28" s="303" t="n">
        <v>0.07000000000000001</v>
      </c>
      <c r="C28" t="n">
        <v>4</v>
      </c>
      <c r="D28" s="302" t="n">
        <v>5</v>
      </c>
      <c r="E28">
        <f>C28*D28</f>
        <v>20.0</v>
      </c>
      <c r="F28" s="304">
        <f>ROUND(E28*$B$10*B28,0)</f>
        <v>65800.0</v>
      </c>
      <c r="G28" s="304">
        <f>ROUND(C28*$B$10*(1-B28),-2)</f>
        <v>174800.0</v>
      </c>
    </row>
    <row r="29">
      <c r="A29" t="inlineStr">
        <is>
          <t>Раз в месяц</t>
        </is>
      </c>
      <c r="B29" s="303" t="n">
        <v>0.1</v>
      </c>
      <c r="C29" t="n">
        <v>12</v>
      </c>
      <c r="D29" s="302" t="n">
        <v>1</v>
      </c>
      <c r="E29">
        <f>C29*D29</f>
        <v>12.0</v>
      </c>
      <c r="F29" s="304">
        <f>ROUND(E29*$B$10*B29,0)</f>
        <v>56400.0</v>
      </c>
      <c r="G29" s="304">
        <f>ROUND(C29*$B$10*(1-B29),-2)</f>
        <v>507600.0</v>
      </c>
    </row>
    <row r="30">
      <c r="A30" s="2" t="inlineStr">
        <is>
          <t>ИТОГО</t>
        </is>
      </c>
      <c r="D30" s="307">
        <f>SUM(D27:D29)</f>
        <v>16.0</v>
      </c>
      <c r="E30" s="307">
        <f>SUM(E27:E29)</f>
        <v>52.0</v>
      </c>
      <c r="F30" s="306">
        <f>SUM(F27:F29)</f>
        <v>169200.0</v>
      </c>
    </row>
    <row r="31">
      <c r="A31" t="inlineStr">
        <is>
          <t>Сходимость фонда</t>
        </is>
      </c>
      <c r="F31" s="308">
        <f>C21-C17</f>
        <v>0.0</v>
      </c>
      <c r="G31" s="229" t="inlineStr">
        <is>
          <t>Должно быть 0: сумма трёх направлений равна бюджету фонда</t>
        </is>
      </c>
    </row>
    <row r="32">
      <c r="A32" t="inlineStr">
        <is>
          <t>Доля заказов от постоянных</t>
        </is>
      </c>
      <c r="F32" s="303">
        <f>E30/B9</f>
        <v>0.24007386888273316</v>
      </c>
      <c r="G32" s="229" t="inlineStr">
        <is>
          <t>Отраслевая норма Repeat Purchase Rate 20–40%, медиана 27% — см. 09b</t>
        </is>
      </c>
    </row>
    <row r="34">
      <c r="A34" s="3" t="inlineStr">
        <is>
          <t>ВЫГОДА ФОТОГРАФА СВЕРХ СКИДОК — в покрытие НЕ идёт</t>
        </is>
      </c>
      <c r="B34" s="103" t="n"/>
      <c r="C34" s="103" t="n"/>
      <c r="D34" s="103" t="n"/>
      <c r="E34" s="103" t="n"/>
      <c r="F34" s="103" t="n"/>
      <c r="G34" s="103" t="n"/>
    </row>
    <row r="35">
      <c r="A35" s="11" t="inlineStr">
        <is>
          <t>Показатель</t>
        </is>
      </c>
      <c r="B35" s="11" t="inlineStr"/>
      <c r="C35" s="11" t="inlineStr">
        <is>
          <t>Значение</t>
        </is>
      </c>
      <c r="D35" s="11" t="inlineStr"/>
      <c r="E35" s="11" t="inlineStr"/>
      <c r="F35" s="11" t="inlineStr"/>
      <c r="G35" s="11" t="inlineStr">
        <is>
          <t>Комментарий</t>
        </is>
      </c>
    </row>
    <row r="36">
      <c r="A36" t="inlineStr">
        <is>
          <t>Сэкономлено на привлечении</t>
        </is>
      </c>
      <c r="C36" s="309">
        <f>ROUND(E30*B11,0)</f>
        <v>137540.0</v>
      </c>
      <c r="G36" s="229" t="inlineStr">
        <is>
          <t>Повторный заказ не требует поиска и повторных согласований</t>
        </is>
      </c>
    </row>
    <row r="37">
      <c r="A37" t="inlineStr">
        <is>
          <t>Высвобождено времени, ч</t>
        </is>
      </c>
      <c r="C37">
        <f>ROUND(E30*B12,0)</f>
        <v>121.0</v>
      </c>
    </row>
    <row r="38">
      <c r="A38" t="inlineStr">
        <is>
          <t>То же в рабочих днях</t>
        </is>
      </c>
      <c r="C38">
        <f>ROUND(C37/B13,0)</f>
        <v>15.0</v>
      </c>
    </row>
    <row r="39">
      <c r="A39" s="2" t="inlineStr">
        <is>
          <t>Решение 09.08.2026</t>
        </is>
      </c>
      <c r="G39" s="229" t="inlineStr">
        <is>
          <t>Раньше экономия засчитывалась в покрытие скидок, из фонда уходило 19% — фонд выглядел нерасходуемым. Теперь скидки считаются от бюджета фонда, а экономия показана отдельной строкой.</t>
        </is>
      </c>
    </row>
    <row r="41">
      <c r="A41" s="3" t="inlineStr">
        <is>
          <t>СПЕЦИАЛЬНЫЕ ПРЕДЛОЖЕНИЯ — комплект сертификатов на год</t>
        </is>
      </c>
      <c r="B41" s="103" t="n"/>
      <c r="C41" s="103" t="n"/>
      <c r="D41" s="103" t="n"/>
      <c r="E41" s="103" t="n"/>
      <c r="F41" s="103" t="n"/>
      <c r="G41" s="103" t="n"/>
    </row>
    <row r="42">
      <c r="A42" s="11" t="inlineStr">
        <is>
          <t>Код</t>
        </is>
      </c>
      <c r="B42" s="11" t="inlineStr">
        <is>
          <t>Название</t>
        </is>
      </c>
      <c r="C42" s="11" t="inlineStr">
        <is>
          <t>Номинал</t>
        </is>
      </c>
      <c r="D42" s="11" t="inlineStr">
        <is>
          <t>Штук / год</t>
        </is>
      </c>
      <c r="E42" s="11" t="inlineStr">
        <is>
          <t>Сумма</t>
        </is>
      </c>
      <c r="F42" s="11" t="inlineStr"/>
      <c r="G42" s="11" t="inlineStr">
        <is>
          <t>Как использовать</t>
        </is>
      </c>
    </row>
    <row r="43">
      <c r="A43" t="inlineStr">
        <is>
          <t>SP-26001</t>
        </is>
      </c>
      <c r="B43" t="inlineStr">
        <is>
          <t>День рождения</t>
        </is>
      </c>
      <c r="C43" s="310" t="n">
        <v>5000</v>
      </c>
      <c r="D43" s="249" t="n">
        <v>7</v>
      </c>
      <c r="E43" s="304">
        <f>C43*D43</f>
        <v>35000.0</v>
      </c>
      <c r="G43" s="229" t="inlineStr">
        <is>
          <t>Точечный прогрев в несезон</t>
        </is>
      </c>
    </row>
    <row r="44">
      <c r="A44" t="inlineStr">
        <is>
          <t>SP-26002</t>
        </is>
      </c>
      <c r="B44" t="inlineStr">
        <is>
          <t>На свадьбу</t>
        </is>
      </c>
      <c r="C44" s="310" t="n">
        <v>10000</v>
      </c>
      <c r="D44" s="249" t="n">
        <v>1</v>
      </c>
      <c r="E44" s="304">
        <f>C44*D44</f>
        <v>10000.0</v>
      </c>
      <c r="G44" s="229" t="inlineStr">
        <is>
          <t>Розыгрыш среди подписчиков, ажиотаж вокруг услуги</t>
        </is>
      </c>
    </row>
    <row r="45">
      <c r="A45" t="inlineStr">
        <is>
          <t>SP-26003</t>
        </is>
      </c>
      <c r="B45" t="inlineStr">
        <is>
          <t>Событие</t>
        </is>
      </c>
      <c r="C45" s="310" t="n">
        <v>3000</v>
      </c>
      <c r="D45" s="249" t="n">
        <v>23</v>
      </c>
      <c r="E45" s="304">
        <f>C45*D45</f>
        <v>69000.0</v>
      </c>
      <c r="G45" s="229" t="inlineStr">
        <is>
          <t>Бонус клиенту или под удобные праздники</t>
        </is>
      </c>
    </row>
    <row r="46">
      <c r="A46" s="2" t="inlineStr">
        <is>
          <t>ИТОГО</t>
        </is>
      </c>
      <c r="D46" s="2">
        <f>SUM(D43:D45)</f>
        <v>31.0</v>
      </c>
      <c r="E46" s="306">
        <f>SUM(E43:E45)</f>
        <v>114000.0</v>
      </c>
    </row>
    <row r="47">
      <c r="A47" t="inlineStr">
        <is>
          <t>Остаток направления</t>
        </is>
      </c>
      <c r="E47" s="304" t="n">
        <v>0</v>
      </c>
      <c r="G47" s="229" t="inlineStr">
        <is>
          <t>Направление задано ровно по номиналу комплекта. Чтобы добавить сертификатов, увеличьте комплект — фонд перераспределится сам</t>
        </is>
      </c>
    </row>
    <row r="49">
      <c r="A49" s="3" t="inlineStr">
        <is>
          <t>СКИДКА ЗА ОБЪЁМ — ступени прайса</t>
        </is>
      </c>
      <c r="B49" s="103" t="n"/>
      <c r="C49" s="103" t="n"/>
      <c r="D49" s="103" t="n"/>
      <c r="E49" s="103" t="n"/>
      <c r="F49" s="103" t="n"/>
      <c r="G49" s="103" t="n"/>
    </row>
    <row r="50">
      <c r="A50" s="11" t="inlineStr">
        <is>
          <t>Длительность</t>
        </is>
      </c>
      <c r="B50" s="11" t="inlineStr">
        <is>
          <t>Цена часа</t>
        </is>
      </c>
      <c r="C50" s="11" t="inlineStr">
        <is>
          <t>Скидка</t>
        </is>
      </c>
      <c r="D50" s="11" t="inlineStr"/>
      <c r="E50" s="11" t="inlineStr"/>
      <c r="F50" s="11" t="inlineStr"/>
      <c r="G50" s="11" t="inlineStr">
        <is>
          <t>Комментарий</t>
        </is>
      </c>
    </row>
    <row r="51">
      <c r="A51" t="inlineStr">
        <is>
          <t>от 1 часа — базовая</t>
        </is>
      </c>
      <c r="B51" s="310" t="n">
        <v>11700</v>
      </c>
      <c r="C51" t="inlineStr">
        <is>
          <t>—</t>
        </is>
      </c>
      <c r="G51" s="229" t="inlineStr">
        <is>
          <t>Базовая ставка прайса, резерв уже включён</t>
        </is>
      </c>
    </row>
    <row r="52">
      <c r="A52" t="inlineStr">
        <is>
          <t>от 3 часов</t>
        </is>
      </c>
      <c r="B52" s="310" t="n">
        <v>10500</v>
      </c>
      <c r="C52" s="303">
        <f>B52/$B$51-1</f>
        <v>-0.10256410256410253</v>
      </c>
      <c r="G52" s="229" t="inlineStr">
        <is>
          <t>Проценты считаются от ОКРУГЛЁННЫХ цен — клиент проверит на калькуляторе</t>
        </is>
      </c>
    </row>
    <row r="53">
      <c r="A53" t="inlineStr">
        <is>
          <t>от 5 часов</t>
        </is>
      </c>
      <c r="B53" s="310" t="n">
        <v>9400</v>
      </c>
      <c r="C53" s="303">
        <f>B53/$B$51-1</f>
        <v>-0.19658119658119655</v>
      </c>
      <c r="G53" s="229" t="inlineStr"/>
    </row>
    <row r="54">
      <c r="A54" t="inlineStr">
        <is>
          <t>от 7 часов</t>
        </is>
      </c>
      <c r="B54" s="310" t="n">
        <v>8300</v>
      </c>
      <c r="C54" s="303">
        <f>B54/$B$51-1</f>
        <v>-0.29059829059829057</v>
      </c>
      <c r="G54" s="229" t="inlineStr"/>
    </row>
    <row r="55">
      <c r="A55" t="inlineStr">
        <is>
          <t>Природа скидки</t>
        </is>
      </c>
      <c r="G55" s="229" t="inlineStr">
        <is>
          <t>Часть — накладные (подготовка размазывается на больше часов), часть — из фонда. Доход фотографа не меняется.</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46" customWidth="1" min="4" max="4"/>
    <col width="14" customWidth="1" min="5" max="5"/>
    <col width="38" customWidth="1" min="6" max="6"/>
  </cols>
  <sheetData>
    <row r="1">
      <c r="A1" s="1" t="inlineStr">
        <is>
          <t>14 · ОПРОС — что доработать в первую очередь</t>
        </is>
      </c>
    </row>
    <row r="2">
      <c r="A2" s="25" t="inlineStr">
        <is>
          <t>Показываются все 4 варианта пула, всегда в одном порядке. Метрика — лайки / показы. Жёлтое редактируется, иконка берётся по коду.</t>
        </is>
      </c>
    </row>
    <row r="4">
      <c r="A4" s="3" t="inlineStr">
        <is>
          <t>ПУЛ ВАРИАНТОВ</t>
        </is>
      </c>
    </row>
    <row r="5">
      <c r="A5" s="11" t="inlineStr">
        <is>
          <t>№</t>
        </is>
      </c>
      <c r="B5" s="12" t="inlineStr">
        <is>
          <t>price</t>
        </is>
      </c>
      <c r="C5" s="113" t="inlineStr">
        <is>
          <t>Прайс для клиентов</t>
        </is>
      </c>
      <c r="D5" s="113" t="inlineStr">
        <is>
          <t>готовый прайс-лист, который не стыдно отправить</t>
        </is>
      </c>
      <c r="E5" s="11" t="inlineStr">
        <is>
          <t>да</t>
        </is>
      </c>
      <c r="F5" s="11" t="inlineStr"/>
    </row>
    <row r="6">
      <c r="A6" s="5" t="n">
        <v>1</v>
      </c>
      <c r="B6" s="6" t="inlineStr">
        <is>
          <t>invoice</t>
        </is>
      </c>
      <c r="C6" s="113" t="inlineStr">
        <is>
          <t>Счета и акты</t>
        </is>
      </c>
      <c r="D6" s="113" t="inlineStr">
        <is>
          <t>выставить за минуту, без бухгалтера</t>
        </is>
      </c>
      <c r="E6" s="113" t="inlineStr">
        <is>
          <t>да</t>
        </is>
      </c>
      <c r="F6" s="5" t="inlineStr"/>
    </row>
    <row r="7">
      <c r="A7" s="5" t="n">
        <v>2</v>
      </c>
      <c r="B7" s="6" t="inlineStr">
        <is>
          <t>pocket</t>
        </is>
      </c>
      <c r="C7" s="113" t="inlineStr">
        <is>
          <t>Карманный помощник</t>
        </is>
      </c>
      <c r="D7" s="113" t="inlineStr">
        <is>
          <t>приложение, которое всегда с вами</t>
        </is>
      </c>
      <c r="E7" s="113" t="inlineStr">
        <is>
          <t>да</t>
        </is>
      </c>
      <c r="F7" s="5" t="inlineStr"/>
    </row>
    <row r="8">
      <c r="A8" s="5" t="n">
        <v>3</v>
      </c>
      <c r="B8" s="6" t="inlineStr">
        <is>
          <t>search</t>
        </is>
      </c>
      <c r="C8" s="113" t="inlineStr">
        <is>
          <t>Поиск клиентов</t>
        </is>
      </c>
      <c r="D8" s="113" t="inlineStr">
        <is>
          <t>где брать заказы, когда сарафанное радио молчит</t>
        </is>
      </c>
      <c r="E8" s="113" t="inlineStr">
        <is>
          <t>да</t>
        </is>
      </c>
      <c r="F8" s="5" t="inlineStr"/>
    </row>
    <row r="9">
      <c r="A9" s="5" t="n">
        <v>4</v>
      </c>
      <c r="B9" s="6" t="inlineStr">
        <is>
          <t>tax</t>
        </is>
      </c>
      <c r="C9" s="113" t="inlineStr">
        <is>
          <t>Налоговый помощник</t>
        </is>
      </c>
      <c r="D9" s="113" t="inlineStr">
        <is>
          <t>какой режим выгоднее именно вам</t>
        </is>
      </c>
      <c r="E9" s="113" t="inlineStr">
        <is>
          <t>да</t>
        </is>
      </c>
      <c r="F9" s="139" t="inlineStr">
        <is>
          <t>УДАЛЕНО из HTML: пул сокращён до 4 фиксированных вариантов</t>
        </is>
      </c>
    </row>
    <row r="10">
      <c r="A10" s="5" t="n">
        <v>5</v>
      </c>
      <c r="B10" s="6" t="inlineStr">
        <is>
          <t>calendar</t>
        </is>
      </c>
      <c r="C10" s="113" t="inlineStr">
        <is>
          <t>Календарь съёмок</t>
        </is>
      </c>
      <c r="D10" s="113" t="inlineStr">
        <is>
          <t>планировать загрузку на месяц</t>
        </is>
      </c>
      <c r="E10" s="113" t="inlineStr">
        <is>
          <t>да</t>
        </is>
      </c>
      <c r="F10" s="139" t="inlineStr">
        <is>
          <t>УДАЛЕНО из HTML: пул сокращён до 4 фиксированных вариантов</t>
        </is>
      </c>
    </row>
    <row r="11">
      <c r="A11" s="5" t="n">
        <v>6</v>
      </c>
      <c r="B11" s="6" t="inlineStr">
        <is>
          <t>clients</t>
        </is>
      </c>
      <c r="C11" s="113" t="inlineStr">
        <is>
          <t>База клиентов</t>
        </is>
      </c>
      <c r="D11" s="113" t="inlineStr">
        <is>
          <t>помнить, кто и сколько заказывал</t>
        </is>
      </c>
      <c r="E11" s="113" t="inlineStr">
        <is>
          <t>да</t>
        </is>
      </c>
      <c r="F11" s="139" t="inlineStr">
        <is>
          <t>УДАЛЕНО из HTML: пул сокращён до 4 фиксированных вариантов</t>
        </is>
      </c>
    </row>
    <row r="12">
      <c r="A12" s="5" t="n">
        <v>7</v>
      </c>
      <c r="B12" s="6" t="inlineStr">
        <is>
          <t>contract</t>
        </is>
      </c>
      <c r="C12" s="113" t="inlineStr">
        <is>
          <t>Договоры</t>
        </is>
      </c>
      <c r="D12" s="113" t="inlineStr">
        <is>
          <t>шаблоны под съёмку и предоплату</t>
        </is>
      </c>
      <c r="E12" s="113" t="inlineStr">
        <is>
          <t>да</t>
        </is>
      </c>
      <c r="F12" s="139" t="inlineStr">
        <is>
          <t>УДАЛЕНО из HTML: пул сокращён до 4 фиксированных вариантов</t>
        </is>
      </c>
    </row>
    <row r="13">
      <c r="A13" s="5" t="n">
        <v>8</v>
      </c>
      <c r="B13" s="6" t="inlineStr">
        <is>
          <t>analytics</t>
        </is>
      </c>
      <c r="C13" s="113" t="inlineStr">
        <is>
          <t>Аналитика года</t>
        </is>
      </c>
      <c r="D13" s="113" t="inlineStr">
        <is>
          <t>сравнить месяцы и увидеть рост</t>
        </is>
      </c>
      <c r="E13" s="113" t="inlineStr">
        <is>
          <t>да</t>
        </is>
      </c>
      <c r="F13" s="139" t="inlineStr">
        <is>
          <t>УДАЛЕНО из HTML: пул сокращён до 4 фиксированных вариантов</t>
        </is>
      </c>
    </row>
    <row r="14">
      <c r="A14" s="5" t="n">
        <v>9</v>
      </c>
      <c r="B14" s="6" t="inlineStr">
        <is>
          <t>budget</t>
        </is>
      </c>
      <c r="C14" s="113" t="inlineStr">
        <is>
          <t>Сравнение с рынком</t>
        </is>
      </c>
      <c r="D14" s="113" t="inlineStr">
        <is>
          <t>какие цены у коллег в вашем городе</t>
        </is>
      </c>
      <c r="E14" s="113" t="inlineStr">
        <is>
          <t>да</t>
        </is>
      </c>
      <c r="F14" s="139" t="inlineStr">
        <is>
          <t>УДАЛЕНО из HTML: пул сокращён до 4 фиксированных вариантов</t>
        </is>
      </c>
    </row>
    <row r="15">
      <c r="A15" s="5" t="n">
        <v>10</v>
      </c>
      <c r="B15" s="6" t="inlineStr">
        <is>
          <t>analytics</t>
        </is>
      </c>
      <c r="C15" s="113" t="inlineStr">
        <is>
          <t>Расчёт на команду</t>
        </is>
      </c>
      <c r="D15" s="113" t="inlineStr">
        <is>
          <t>если работаете не одни</t>
        </is>
      </c>
      <c r="E15" s="113" t="inlineStr">
        <is>
          <t>да</t>
        </is>
      </c>
      <c r="F15" s="5" t="inlineStr">
        <is>
          <t>иконка переиспользована</t>
        </is>
      </c>
    </row>
    <row r="17">
      <c r="A17" s="3" t="inlineStr">
        <is>
          <t>КАК РАБОТАЕТ</t>
        </is>
      </c>
    </row>
    <row r="18">
      <c r="A18" t="inlineStr">
        <is>
          <t>Показываются все 4 варианта пула — без случайной выборки, порядок фиксирован.</t>
        </is>
      </c>
    </row>
    <row r="19">
      <c r="A19" t="inlineStr">
        <is>
          <t>Пользователь отмечает сердечком те, что ему нужны, и нажимает «Отправить».</t>
        </is>
      </c>
    </row>
    <row r="20"/>
    <row r="21">
      <c r="A21" t="inlineStr">
        <is>
          <t>ВАЖНО ПРО СТАТИСТИКУ: считаем не только лайки, но и показы.</t>
        </is>
      </c>
    </row>
    <row r="22">
      <c r="A22" t="inlineStr">
        <is>
          <t>Метрика = лайки / показы. Иначе сравнение нечестное: у вариантов разное число показов.</t>
        </is>
      </c>
    </row>
    <row r="23">
      <c r="A23" t="inlineStr">
        <is>
          <t>Показы = число расчётов: каждый вариант видят все, кто дошёл до отчёта.</t>
        </is>
      </c>
    </row>
    <row r="24"/>
    <row r="25">
      <c r="A25" t="inlineStr">
        <is>
          <t>Добавить вариант: впишите строку выше, продублируйте в POOL внутри HTML и добавьте иконку в ICONS.</t>
        </is>
      </c>
    </row>
    <row r="27">
      <c r="A27" s="3" t="inlineStr">
        <is>
          <t>ЦЕЛИ В ЯНДЕКС.МЕТРИКЕ</t>
        </is>
      </c>
    </row>
    <row r="28">
      <c r="A28" s="11" t="inlineStr">
        <is>
          <t>№</t>
        </is>
      </c>
      <c r="B28" s="12" t="inlineStr">
        <is>
          <t>Цель</t>
        </is>
      </c>
      <c r="C28" s="11" t="inlineStr">
        <is>
          <t>Когда срабатывает</t>
        </is>
      </c>
      <c r="D28" s="11" t="inlineStr">
        <is>
          <t>Параметры</t>
        </is>
      </c>
      <c r="E28" s="11" t="inlineStr"/>
      <c r="F28" s="11" t="inlineStr"/>
    </row>
    <row r="29">
      <c r="A29" s="5" t="n">
        <v>1</v>
      </c>
      <c r="B29" s="6" t="inlineStr">
        <is>
          <t>poll_show</t>
        </is>
      </c>
      <c r="C29" s="5" t="inlineStr">
        <is>
          <t>при отрисовке блока опроса</t>
        </is>
      </c>
      <c r="D29" s="5" t="inlineStr">
        <is>
          <t>shown — какие 4 варианта показаны</t>
        </is>
      </c>
      <c r="E29" s="5" t="inlineStr"/>
      <c r="F29" s="5" t="inlineStr"/>
    </row>
    <row r="30">
      <c r="A30" s="5" t="n">
        <v>2</v>
      </c>
      <c r="B30" s="6" t="inlineStr">
        <is>
          <t>poll_vote</t>
        </is>
      </c>
      <c r="C30" s="5" t="inlineStr">
        <is>
          <t>при нажатии «Отправить»</t>
        </is>
      </c>
      <c r="D30" s="5" t="inlineStr">
        <is>
          <t>liked — отмеченные, other — своя идея, shown</t>
        </is>
      </c>
      <c r="E30" s="5" t="inlineStr"/>
      <c r="F30" s="5" t="inlineStr"/>
    </row>
    <row r="31">
      <c r="A31" s="5" t="n">
        <v>3</v>
      </c>
      <c r="B31" s="6" t="inlineStr">
        <is>
          <t>buy_click</t>
        </is>
      </c>
      <c r="C31" s="5" t="inlineStr">
        <is>
          <t>клик по ценнику или кнопке оплаты</t>
        </is>
      </c>
      <c r="D31" s="5" t="inlineStr">
        <is>
          <t>—</t>
        </is>
      </c>
      <c r="E31" s="5" t="inlineStr"/>
      <c r="F31" s="5" t="inlineStr"/>
    </row>
    <row r="32">
      <c r="A32" s="5" t="n">
        <v>4</v>
      </c>
      <c r="B32" s="6" t="inlineStr">
        <is>
          <t>paid</t>
        </is>
      </c>
      <c r="C32" s="5" t="inlineStr">
        <is>
          <t>возврат на страницу с ?paid=1</t>
        </is>
      </c>
      <c r="D32" s="5" t="inlineStr">
        <is>
          <t>—</t>
        </is>
      </c>
      <c r="E32" s="5" t="inlineStr"/>
      <c r="F32" s="5" t="inlineStr"/>
    </row>
    <row r="34">
      <c r="A34" t="inlineStr">
        <is>
          <t>Номер счётчика пропишите в HTML: var YM_ID=0; → var YM_ID=ваш_номер;</t>
        </is>
      </c>
    </row>
    <row r="35">
      <c r="A35" t="inlineStr">
        <is>
          <t>Отчёт в Метрике: «Отчёты → Конверсии → Цели», параметры видны в «Содержание → Параметры визитов».</t>
        </is>
      </c>
    </row>
    <row r="37">
      <c r="A37" s="3" t="inlineStr">
        <is>
          <t>ЕСЛИ НУЖНО СОБИРАТЬ ОТВЕТЫ В TILDA</t>
        </is>
      </c>
    </row>
    <row r="38">
      <c r="A38" t="inlineStr">
        <is>
          <t>Вариант 1. Метрика — уже настроено, ничего не нужно. Смотрите статистику в отчётах.</t>
        </is>
      </c>
    </row>
    <row r="39">
      <c r="A39" t="inlineStr">
        <is>
          <t>Вариант 2. Форма Tilda — добавить скрытое поле и отправлять ответы в Заявки.</t>
        </is>
      </c>
    </row>
    <row r="40">
      <c r="A40" t="inlineStr">
        <is>
          <t xml:space="preserve">   В HTML заменить отправку в ym() на fetch к форме Tilda с полями liked и other.</t>
        </is>
      </c>
    </row>
    <row r="41">
      <c r="A41" t="inlineStr">
        <is>
          <t>Вариант 3. Google-таблица через Tilda — заявки автоматически падают в таблицу.</t>
        </is>
      </c>
    </row>
    <row r="42"/>
    <row r="43">
      <c r="A43" t="inlineStr">
        <is>
          <t>Для теста хватит Метрики: она уже стоит и не требует бэкенда.</t>
        </is>
      </c>
    </row>
  </sheetData>
  <mergeCells count="22">
    <mergeCell ref="A41:F41"/>
    <mergeCell ref="A37:F37"/>
    <mergeCell ref="A27:F27"/>
    <mergeCell ref="A18:F18"/>
    <mergeCell ref="A21:F21"/>
    <mergeCell ref="A2:F2"/>
    <mergeCell ref="A42:F42"/>
    <mergeCell ref="A23:F23"/>
    <mergeCell ref="A22:F22"/>
    <mergeCell ref="A17:F17"/>
    <mergeCell ref="A35:F35"/>
    <mergeCell ref="A4:F4"/>
    <mergeCell ref="A20:F20"/>
    <mergeCell ref="A43:F43"/>
    <mergeCell ref="A38:F38"/>
    <mergeCell ref="A19:F19"/>
    <mergeCell ref="A34:F34"/>
    <mergeCell ref="A40:F40"/>
    <mergeCell ref="A39:F39"/>
    <mergeCell ref="A24:F24"/>
    <mergeCell ref="A1:F1"/>
    <mergeCell ref="A25:F25"/>
  </mergeCells>
  <pageMargins left="0.75" right="0.75" top="1" bottom="1" header="0.5" footer="0.5"/>
</worksheet>
</file>

<file path=xl/worksheets/sheet28.xml><?xml version="1.0" encoding="utf-8"?>
<worksheet xmlns="http://schemas.openxmlformats.org/spreadsheetml/2006/main">
  <sheetFormatPr defaultRowHeight="15"/>
  <cols>
    <col min="1" max="1" width="14" customWidth="1"/>
    <col min="2" max="2" width="34" customWidth="1"/>
    <col min="3" max="6" width="46" customWidth="1"/>
  </cols>
  <sheetData>
    <row r="1">
      <c r="A1" t="inlineStr">
        <is>
          <t xml:space="preserve">Дата</t>
        </is>
      </c>
      <c r="B1" t="inlineStr">
        <is>
          <t xml:space="preserve">Что изменили</t>
        </is>
      </c>
      <c r="C1" t="inlineStr">
        <is>
          <t xml:space="preserve">Как считается теперь</t>
        </is>
      </c>
      <c r="D1" t="inlineStr">
        <is>
          <t xml:space="preserve">Почему</t>
        </is>
      </c>
      <c r="E1" t="inlineStr">
        <is>
          <t xml:space="preserve">Где отражено</t>
        </is>
      </c>
      <c r="F1" t="inlineStr">
        <is>
          <t xml:space="preserve">Статус</t>
        </is>
      </c>
    </row>
    <row r="2">
      <c r="A2" t="inlineStr">
        <is>
          <t xml:space="preserve">18.08.2026</t>
        </is>
      </c>
      <c r="B2" t="inlineStr">
        <is>
          <t xml:space="preserve">Окупаемость камеры</t>
        </is>
      </c>
      <c r="C2" t="inlineStr">
        <is>
          <t xml:space="preserve">Цена камеры ÷ ((доход на руки за год + амортизация камеры) ÷ проектов за год) = 166 999 ÷ 6 363 = 26,2 съёмки (1,5 мес)</t>
        </is>
      </c>
      <c r="D2" t="inlineStr">
        <is>
          <t xml:space="preserve">Раньше делили цену камеры на выручку за съёмку (17,7) — это не окупаемость: из выручки ещё уходят налог, комиссия, реклама, аренда. Срок окупаемости считают по денежному потоку; амортизацию в поток возвращают, иначе камера оплачивается дважды</t>
        </is>
      </c>
      <c r="E2" t="inlineStr">
        <is>
          <t xml:space="preserve">Детализация, таблица 03; справочник — статьи «Окупаемость», «Денежный поток»</t>
        </is>
      </c>
      <c r="F2" t="inlineStr">
        <is>
          <t xml:space="preserve">в книгу не внесено</t>
        </is>
      </c>
    </row>
    <row r="3">
      <c r="A3" t="inlineStr">
        <is>
          <t xml:space="preserve">18.08.2026</t>
        </is>
      </c>
      <c r="B3" t="inlineStr">
        <is>
          <t xml:space="preserve">Цена камеры / выручка за съёмку</t>
        </is>
      </c>
      <c r="C3" t="inlineStr">
        <is>
          <t xml:space="preserve">Цена камеры ÷ (выручка ÷ проектов за год) = 17,7 съёмки</t>
        </is>
      </c>
      <c r="D3" t="inlineStr">
        <is>
          <t xml:space="preserve">Оставлена как отдельная строка под честным названием: так фотографы говорят «окупил камеру», и человек должен видеть разницу с настоящей окупаемостью</t>
        </is>
      </c>
      <c r="E3" t="inlineStr">
        <is>
          <t xml:space="preserve">Детализация, таблица 03</t>
        </is>
      </c>
      <c r="F3" t="inlineStr">
        <is>
          <t xml:space="preserve">в книгу не внесено</t>
        </is>
      </c>
    </row>
    <row r="4">
      <c r="A4" t="inlineStr">
        <is>
          <t xml:space="preserve">18.08.2026</t>
        </is>
      </c>
      <c r="B4" t="inlineStr">
        <is>
          <t xml:space="preserve">Срабатываний затвора за 1 час</t>
        </is>
      </c>
      <c r="C4" t="inlineStr">
        <is>
          <t xml:space="preserve">Новое поле анкеты, по умолчанию 350 (Canon EOS R6 Mark II)</t>
        </is>
      </c>
      <c r="D4" t="inlineStr">
        <is>
          <t xml:space="preserve">Позволяет считать износ камеры и выработку ресурса затвора</t>
        </is>
      </c>
      <c r="E4" t="inlineStr">
        <is>
          <t xml:space="preserve">Анкета блок 04; детализация, таблицы 01 и 03</t>
        </is>
      </c>
      <c r="F4" t="inlineStr">
        <is>
          <t xml:space="preserve">в анкету не внесено</t>
        </is>
      </c>
    </row>
    <row r="5">
      <c r="A5" t="inlineStr">
        <is>
          <t xml:space="preserve">18.08.2026</t>
        </is>
      </c>
      <c r="B5" t="inlineStr">
        <is>
          <t xml:space="preserve">Ресурс затвора</t>
        </is>
      </c>
      <c r="C5" t="inlineStr">
        <is>
          <t xml:space="preserve">Новое поле анкеты, по умолчанию 300 000 срабатываний</t>
        </is>
      </c>
      <c r="D5" t="inlineStr">
        <is>
          <t xml:space="preserve">Заявленный ресурс у каждой камеры свой, зашивать в код нельзя</t>
        </is>
      </c>
      <c r="E5" t="inlineStr">
        <is>
          <t xml:space="preserve">Анкета блок 04; детализация, таблицы 01 и 03</t>
        </is>
      </c>
      <c r="F5" t="inlineStr">
        <is>
          <t xml:space="preserve">в анкету не внесено</t>
        </is>
      </c>
    </row>
    <row r="6">
      <c r="A6" t="inlineStr">
        <is>
          <t xml:space="preserve">18.08.2026</t>
        </is>
      </c>
      <c r="B6" t="inlineStr">
        <is>
          <t xml:space="preserve">Износ камеры</t>
        </is>
      </c>
      <c r="C6" t="inlineStr">
        <is>
          <t xml:space="preserve">Амортизация тушки за год ÷ срабатываний за год = 55 666 ÷ 75 810 = 0,73 ₽ за срабатывание; 257 ₽ за съёмку</t>
        </is>
      </c>
      <c r="D6" t="inlineStr">
        <is>
          <t xml:space="preserve">Показывает износ в деньгах на одну съёмку</t>
        </is>
      </c>
      <c r="E6" t="inlineStr">
        <is>
          <t xml:space="preserve">Детализация, таблица 03</t>
        </is>
      </c>
      <c r="F6" t="inlineStr">
        <is>
          <t xml:space="preserve">в книгу не внесено</t>
        </is>
      </c>
    </row>
    <row r="7">
      <c r="A7" t="inlineStr">
        <is>
          <t xml:space="preserve">18.08.2026</t>
        </is>
      </c>
      <c r="B7" t="inlineStr">
        <is>
          <t xml:space="preserve">Выработка ресурса затвора</t>
        </is>
      </c>
      <c r="C7" t="inlineStr">
        <is>
          <t xml:space="preserve">Срабатываний за год ÷ ресурс = 75 810 ÷ 300 000 = 25,3 % в год, ресурса хватит на 4 года</t>
        </is>
      </c>
      <c r="D7" t="inlineStr">
        <is>
          <t xml:space="preserve">Проверка срока амортизации камеры: разносим на 3 года, ресурс кончится через 4 — срок взят осторожно</t>
        </is>
      </c>
      <c r="E7" t="inlineStr">
        <is>
          <t xml:space="preserve">Детализация, таблица 03</t>
        </is>
      </c>
      <c r="F7" t="inlineStr">
        <is>
          <t xml:space="preserve">в книгу не внесено</t>
        </is>
      </c>
    </row>
    <row r="8">
      <c r="A8" t="inlineStr">
        <is>
          <t xml:space="preserve">18.08.2026</t>
        </is>
      </c>
      <c r="B8" t="inlineStr">
        <is>
          <t xml:space="preserve">Себестоимость часа съёмки</t>
        </is>
      </c>
      <c r="C8" t="inlineStr">
        <is>
          <t xml:space="preserve">(расходы дела + налог + комиссия) ÷ съёмочных часов = 3 324 ₽</t>
        </is>
      </c>
      <c r="D8" t="inlineStr">
        <is>
          <t xml:space="preserve">Нужна, чтобы показать наценку и границу цены</t>
        </is>
      </c>
      <c r="E8" t="inlineStr">
        <is>
          <t xml:space="preserve">Детализация, таблица 08</t>
        </is>
      </c>
      <c r="F8" t="inlineStr">
        <is>
          <t xml:space="preserve">в книгу не внесено</t>
        </is>
      </c>
    </row>
    <row r="9">
      <c r="A9" t="inlineStr">
        <is>
          <t xml:space="preserve">18.08.2026</t>
        </is>
      </c>
      <c r="B9" t="inlineStr">
        <is>
          <t xml:space="preserve">Наценка к себестоимости</t>
        </is>
      </c>
      <c r="C9" t="inlineStr">
        <is>
          <t xml:space="preserve">Ставка ÷ себестоимость − 1 = 183,7 %</t>
        </is>
      </c>
      <c r="D9" t="inlineStr">
        <is>
          <t xml:space="preserve">—</t>
        </is>
      </c>
      <c r="E9" t="inlineStr">
        <is>
          <t xml:space="preserve">Детализация, таблица 08</t>
        </is>
      </c>
      <c r="F9" t="inlineStr">
        <is>
          <t xml:space="preserve">в книгу не внесено</t>
        </is>
      </c>
    </row>
    <row r="10">
      <c r="A10" t="inlineStr">
        <is>
          <t xml:space="preserve">18.08.2026</t>
        </is>
      </c>
      <c r="B10" t="inlineStr">
        <is>
          <t xml:space="preserve">Запас прочности</t>
        </is>
      </c>
      <c r="C10" t="inlineStr">
        <is>
          <t xml:space="preserve">1 − выручка в ноль ÷ выручка = 70,2 %</t>
        </is>
      </c>
      <c r="D10" t="inlineStr">
        <is>
          <t xml:space="preserve">На столько может упасть выручка, прежде чем доход станет нулевым</t>
        </is>
      </c>
      <c r="E10" t="inlineStr">
        <is>
          <t xml:space="preserve">Детализация, таблица 08</t>
        </is>
      </c>
      <c r="F10" t="inlineStr">
        <is>
          <t xml:space="preserve">в книгу не внесено</t>
        </is>
      </c>
    </row>
    <row r="11">
      <c r="A11" t="inlineStr">
        <is>
          <t xml:space="preserve">18.08.2026</t>
        </is>
      </c>
      <c r="B11" t="inlineStr">
        <is>
          <t xml:space="preserve">Съёмок / выход в ноль</t>
        </is>
      </c>
      <c r="C11" t="inlineStr">
        <is>
          <t xml:space="preserve">Выручка в ноль ÷ цена проекта. При текущей ставке 101,6; при желаемой 64,6</t>
        </is>
      </c>
      <c r="D11" t="inlineStr">
        <is>
          <t xml:space="preserve">Понятнее, чем проценты: сколько съёмок уходит только на покрытие расходов</t>
        </is>
      </c>
      <c r="E11" t="inlineStr">
        <is>
          <t xml:space="preserve">Детализация, таблица 08</t>
        </is>
      </c>
      <c r="F11" t="inlineStr">
        <is>
          <t xml:space="preserve">в книгу не внесено</t>
        </is>
      </c>
    </row>
    <row r="12">
      <c r="A12" t="inlineStr">
        <is>
          <t xml:space="preserve">18.08.2026</t>
        </is>
      </c>
      <c r="B12" t="inlineStr">
        <is>
          <t xml:space="preserve">Календарь года развёрнут</t>
        </is>
      </c>
      <c r="C12" t="inlineStr">
        <is>
          <t xml:space="preserve">365 календарных = 104 выходных + 14 праздничных + 247 рабочих; 247 − 20 (отпуск) − 8 (больничные) = 219</t>
        </is>
      </c>
      <c r="D12" t="inlineStr">
        <is>
          <t xml:space="preserve">Раньше в отчёте было только 247/20/8, и цепочка не сходилась на глаз. Отпуск 28 календарных дней = 20 рабочих, больничные 10 = 8 рабочих</t>
        </is>
      </c>
      <c r="E12" t="inlineStr">
        <is>
          <t xml:space="preserve">Детализация, таблица 02</t>
        </is>
      </c>
      <c r="F12" t="inlineStr">
        <is>
          <t xml:space="preserve">в книгу не внесено</t>
        </is>
      </c>
    </row>
    <row r="13">
      <c r="A13" t="inlineStr">
        <is>
          <t xml:space="preserve">18.08.2026</t>
        </is>
      </c>
      <c r="B13" t="inlineStr">
        <is>
          <t xml:space="preserve">Демо-набор отчёта</t>
        </is>
      </c>
      <c r="C13" t="inlineStr">
        <is>
          <t xml:space="preserve">Пересобирается скриптом web/части/демо.py из настоящего calc()</t>
        </is>
      </c>
      <c r="D13" t="inlineStr">
        <is>
          <t xml:space="preserve">Вручную вписанные числа отстали от анкеты: ставка в ноль показывалась 3 331 ₽ вместо 2 814 ₽</t>
        </is>
      </c>
      <c r="E13" t="inlineStr">
        <is>
          <t xml:space="preserve">report.html, части/каркас.html, проверка в проверить.py</t>
        </is>
      </c>
      <c r="F13" t="inlineStr">
        <is>
          <t xml:space="preserve">сделано</t>
        </is>
      </c>
    </row>
    <row r="14">
      <c r="A14" t="inlineStr">
        <is>
          <t xml:space="preserve">18.08.2026</t>
        </is>
      </c>
      <c r="B14" t="inlineStr">
        <is>
          <t xml:space="preserve">Налоги внутри расходов</t>
        </is>
      </c>
      <c r="C14" t="inlineStr">
        <is>
          <t xml:space="preserve">Всего расходов = расходы дела + налог + взносы + комиссия = 719 943 ₽</t>
        </is>
      </c>
      <c r="D14" t="inlineStr">
        <is>
          <t xml:space="preserve">Налог и комиссия — такие же траты; выручка − расходы = доход на руки одной строкой</t>
        </is>
      </c>
      <c r="E14" t="inlineStr">
        <is>
          <t xml:space="preserve">Детализация, таблицы 04 и 05</t>
        </is>
      </c>
      <c r="F14" t="inlineStr">
        <is>
          <t xml:space="preserve">в книгу не внесено</t>
        </is>
      </c>
    </row>
  </sheetData>
</worksheet>
</file>

<file path=xl/worksheets/sheet29.xml><?xml version="1.0" encoding="utf-8"?>
<worksheet xmlns="http://schemas.openxmlformats.org/spreadsheetml/2006/main">
  <sheetFormatPr defaultRowHeight="15"/>
  <cols>
    <col min="1" max="1" width="6" customWidth="1"/>
    <col min="2" max="2" width="22" customWidth="1"/>
    <col min="3" max="3" width="34" customWidth="1"/>
    <col min="4" max="5" width="16" customWidth="1"/>
    <col min="6" max="6" width="80" customWidth="1"/>
    <col min="7" max="8" width="16" customWidth="1"/>
  </cols>
  <sheetData>
    <row r="1">
      <c r="A1" t="inlineStr">
        <is>
          <t xml:space="preserve">06b · ПОЛНЫЙ ОТЧЁТ В КНИГЕ — то же, что видит человек в отчёте</t>
        </is>
      </c>
    </row>
    <row r="2">
      <c r="A2" t="inlineStr">
        <is>
          <t xml:space="preserve">Формулы ссылаются на листы и параметры книги. Столбец «Калькулятор» — значение из настоящего расчёта сайта, для сверки. Пустая формула значит: параметра в книге ещё нет, смотрите описание.</t>
        </is>
      </c>
    </row>
    <row r="3"/>
    <row r="4">
      <c r="A4" t="inlineStr">
        <is>
          <t xml:space="preserve">№</t>
        </is>
      </c>
      <c r="B4" t="inlineStr">
        <is>
          <t xml:space="preserve">Блок</t>
        </is>
      </c>
      <c r="C4" t="inlineStr">
        <is>
          <t xml:space="preserve">Показатель</t>
        </is>
      </c>
      <c r="D4" t="inlineStr">
        <is>
          <t xml:space="preserve">Значение</t>
        </is>
      </c>
      <c r="E4" t="inlineStr">
        <is>
          <t xml:space="preserve">Ед.</t>
        </is>
      </c>
      <c r="F4" t="inlineStr">
        <is>
          <t xml:space="preserve">Описание алгоритма</t>
        </is>
      </c>
      <c r="G4" t="inlineStr">
        <is>
          <t xml:space="preserve">Калькулятор</t>
        </is>
      </c>
      <c r="H4" t="inlineStr">
        <is>
          <t xml:space="preserve">Сходится</t>
        </is>
      </c>
    </row>
    <row r="5"/>
    <row r="6">
      <c r="A6" t="inlineStr">
        <is>
          <t xml:space="preserve">ШАПКА И ПЕРВЫЙ ЭКРАН</t>
        </is>
      </c>
    </row>
    <row r="7">
      <c r="A7" t="inlineStr">
        <is>
          <t xml:space="preserve">1</t>
        </is>
      </c>
      <c r="B7" t="inlineStr">
        <is>
          <t xml:space="preserve">Первый экран</t>
        </is>
      </c>
      <c r="C7" t="inlineStr">
        <is>
          <t xml:space="preserve">Ставка часа съёмки</t>
        </is>
      </c>
      <c r="D7">
        <f>'04_Итог'!B5</f>
        <v>9429.986029299362</v>
      </c>
      <c r="E7" t="inlineStr">
        <is>
          <t xml:space="preserve">₽/ч</t>
        </is>
      </c>
      <c r="F7" t="inlineStr">
        <is>
          <t xml:space="preserve">Выручка за год делится на съёмочные часы. Это цена часа на площадке для клиента: в ней уже лежат доход на руки, расходы дела, налоги и эквайринг.</t>
        </is>
      </c>
      <c r="G7">
        <v>9429.99</v>
      </c>
      <c r="H7" t="str">
        <f>IF(D7="","—",IF(ABS(D7-G7)&lt;1,"да","НЕТ"))</f>
        <v>да</v>
      </c>
    </row>
    <row r="8">
      <c r="A8" t="inlineStr">
        <is>
          <t xml:space="preserve">2</t>
        </is>
      </c>
      <c r="B8" t="inlineStr">
        <is>
          <t xml:space="preserve">Первый экран</t>
        </is>
      </c>
      <c r="C8" t="inlineStr">
        <is>
          <t xml:space="preserve">Фактическая стоимость часа работы</t>
        </is>
      </c>
      <c r="E8" t="inlineStr">
        <is>
          <t xml:space="preserve">₽/ч</t>
        </is>
      </c>
      <c r="F8" t="inlineStr">
        <is>
          <t xml:space="preserve">Доход на руки за год делится на рабочее время: рабочие дни × 8 часов. в книге нет параметра — достроить.</t>
        </is>
      </c>
      <c r="G8">
        <v>754.9</v>
      </c>
    </row>
    <row r="9">
      <c r="A9" t="inlineStr">
        <is>
          <t xml:space="preserve">3</t>
        </is>
      </c>
      <c r="B9" t="inlineStr">
        <is>
          <t xml:space="preserve">Первый экран</t>
        </is>
      </c>
      <c r="C9" t="inlineStr">
        <is>
          <t xml:space="preserve">Полная стоимость часа работы</t>
        </is>
      </c>
      <c r="D9">
        <f>full_hour_rate</f>
        <v>1332.3776738070721</v>
      </c>
      <c r="E9" t="inlineStr">
        <is>
          <t xml:space="preserve">₽/ч</t>
        </is>
      </c>
      <c r="F9" t="inlineStr">
        <is>
          <t xml:space="preserve">Выручка за год делится на рабочее время. В книге сейчас делится на эффективное время (1 533 ч), в калькуляторе — на рабочее (1 752 ч). Расхождение, задача З-006.</t>
        </is>
      </c>
      <c r="G9">
        <v>1165.83</v>
      </c>
      <c r="H9" t="str">
        <f>IF(D9="","—",IF(ABS(D9-G9)&lt;1,"да","НЕТ"))</f>
        <v>НЕТ</v>
      </c>
    </row>
    <row r="10">
      <c r="A10" t="inlineStr">
        <is>
          <t xml:space="preserve">4</t>
        </is>
      </c>
      <c r="B10" t="inlineStr">
        <is>
          <t xml:space="preserve">Первый экран</t>
        </is>
      </c>
      <c r="C10" t="inlineStr">
        <is>
          <t xml:space="preserve">Стоимость клиентского часа</t>
        </is>
      </c>
      <c r="D10">
        <f>hour_pool</f>
        <v>1885.9972058598723</v>
      </c>
      <c r="E10" t="inlineStr">
        <is>
          <t xml:space="preserve">₽/ч</t>
        </is>
      </c>
      <c r="F10" t="inlineStr">
        <is>
          <t xml:space="preserve">Выручка за год делится на проектное время — часы, остающиеся на выполнение заказов.</t>
        </is>
      </c>
      <c r="G10">
        <v>1886.0</v>
      </c>
      <c r="H10" t="str">
        <f>IF(D10="","—",IF(ABS(D10-G10)&lt;1,"да","НЕТ"))</f>
        <v>да</v>
      </c>
    </row>
    <row r="11">
      <c r="A11" t="inlineStr">
        <is>
          <t xml:space="preserve">5</t>
        </is>
      </c>
      <c r="B11" t="inlineStr">
        <is>
          <t xml:space="preserve">Первый экран</t>
        </is>
      </c>
      <c r="C11" t="inlineStr">
        <is>
          <t xml:space="preserve">Доход на руки</t>
        </is>
      </c>
      <c r="D11">
        <f>target_income</f>
        <v>1322592.0</v>
      </c>
      <c r="E11" t="inlineStr">
        <is>
          <t xml:space="preserve">₽/год</t>
        </is>
      </c>
      <c r="F11" t="inlineStr">
        <is>
          <t xml:space="preserve">Желаемый доход в месяц × 12. Точка отсчёта всего расчёта.</t>
        </is>
      </c>
      <c r="G11">
        <v>1322592</v>
      </c>
      <c r="H11" t="str">
        <f>IF(D11="","—",IF(ABS(D11-G11)&lt;1,"да","НЕТ"))</f>
        <v>да</v>
      </c>
    </row>
    <row r="12">
      <c r="A12" t="inlineStr">
        <is>
          <t xml:space="preserve">6</t>
        </is>
      </c>
      <c r="B12" t="inlineStr">
        <is>
          <t xml:space="preserve">Первый экран</t>
        </is>
      </c>
      <c r="C12" t="inlineStr">
        <is>
          <t xml:space="preserve">Доход на руки</t>
        </is>
      </c>
      <c r="D12">
        <f>target_income/months</f>
        <v>110216.0</v>
      </c>
      <c r="E12" t="inlineStr">
        <is>
          <t xml:space="preserve">₽/мес</t>
        </is>
      </c>
      <c r="F12" t="inlineStr">
        <is>
          <t xml:space="preserve">Сумма, которую человек указал в анкете.</t>
        </is>
      </c>
      <c r="G12">
        <v>110216.0</v>
      </c>
      <c r="H12" t="str">
        <f>IF(D12="","—",IF(ABS(D12-G12)&lt;1,"да","НЕТ"))</f>
        <v>да</v>
      </c>
    </row>
    <row r="13">
      <c r="A13" t="inlineStr">
        <is>
          <t xml:space="preserve">7</t>
        </is>
      </c>
      <c r="B13" t="inlineStr">
        <is>
          <t xml:space="preserve">Первый экран</t>
        </is>
      </c>
      <c r="C13" t="inlineStr">
        <is>
          <t xml:space="preserve">Выручка</t>
        </is>
      </c>
      <c r="D13">
        <f>'04_Итог'!B8</f>
        <v>2042534.9739462417</v>
      </c>
      <c r="E13" t="inlineStr">
        <is>
          <t xml:space="preserve">₽/год</t>
        </is>
      </c>
      <c r="F13" t="inlineStr">
        <is>
          <t xml:space="preserve">Сколько нужно выставить клиентам, чтобы после расходов, налогов и эквайринга остался желаемый доход.</t>
        </is>
      </c>
      <c r="G13">
        <v>2042534.97</v>
      </c>
      <c r="H13" t="str">
        <f>IF(D13="","—",IF(ABS(D13-G13)&lt;1,"да","НЕТ"))</f>
        <v>да</v>
      </c>
    </row>
    <row r="14">
      <c r="A14" t="inlineStr">
        <is>
          <t xml:space="preserve">8</t>
        </is>
      </c>
      <c r="B14" t="inlineStr">
        <is>
          <t xml:space="preserve">Первый экран</t>
        </is>
      </c>
      <c r="C14" t="inlineStr">
        <is>
          <t xml:space="preserve">Выручка</t>
        </is>
      </c>
      <c r="D14">
        <f>'04_Итог'!B9</f>
        <v>170211.24782885346</v>
      </c>
      <c r="E14" t="inlineStr">
        <is>
          <t xml:space="preserve">₽/мес</t>
        </is>
      </c>
      <c r="F14" t="inlineStr">
        <is>
          <t xml:space="preserve">Выручка за год ÷ 12.</t>
        </is>
      </c>
      <c r="G14">
        <v>170211.25</v>
      </c>
      <c r="H14" t="str">
        <f>IF(D14="","—",IF(ABS(D14-G14)&lt;1,"да","НЕТ"))</f>
        <v>да</v>
      </c>
    </row>
    <row r="15">
      <c r="A15" t="inlineStr">
        <is>
          <t xml:space="preserve">9</t>
        </is>
      </c>
      <c r="B15" t="inlineStr">
        <is>
          <t xml:space="preserve">Первый экран</t>
        </is>
      </c>
      <c r="C15" t="inlineStr">
        <is>
          <t xml:space="preserve">Всего расходов</t>
        </is>
      </c>
      <c r="D15">
        <f>total_costs+CHOOSE(regime_no,'05_Расчёт'!B15,'05_Расчёт'!C15,'05_Расчёт'!D15,'05_Расчёт'!E15,'05_Расчёт'!F15,'05_Расчёт'!G15,'05_Расчёт'!H15)+'04_Итог'!B8*acquiring</f>
        <v>719942.9739462415</v>
      </c>
      <c r="E15" t="inlineStr">
        <is>
          <t xml:space="preserve">₽/год</t>
        </is>
      </c>
      <c r="F15" t="inlineStr">
        <is>
          <t xml:space="preserve">Расходы дела плюс налоги и взносы плюс эквайринг. На обложке показывается в месяц. Внимание: в таблице 03 отчёта «Всего расходов» — другая сумма, только прямые расходы. Одно название на две величины, требует решения.</t>
        </is>
      </c>
      <c r="G15">
        <v>719942.97</v>
      </c>
      <c r="H15" t="str">
        <f>IF(D15="","—",IF(ABS(D15-G15)&lt;1,"да","НЕТ"))</f>
        <v>да</v>
      </c>
    </row>
    <row r="16"/>
    <row r="17">
      <c r="A17" t="inlineStr">
        <is>
          <t xml:space="preserve">ВРЕМЯ</t>
        </is>
      </c>
    </row>
    <row r="18">
      <c r="A18" t="inlineStr">
        <is>
          <t xml:space="preserve">10</t>
        </is>
      </c>
      <c r="B18" t="inlineStr">
        <is>
          <t xml:space="preserve">Время</t>
        </is>
      </c>
      <c r="C18" t="inlineStr">
        <is>
          <t xml:space="preserve">Рабочее время</t>
        </is>
      </c>
      <c r="D18">
        <f>work_days*nominal_hours</f>
        <v>1976.0</v>
      </c>
      <c r="E18" t="inlineStr">
        <is>
          <t xml:space="preserve">ч/год</t>
        </is>
      </c>
      <c r="F18" t="inlineStr">
        <is>
          <t xml:space="preserve">Рабочие дни производственного календаря × 8 часов. Верхняя граница: всё время, которое человек проводит в работе.</t>
        </is>
      </c>
      <c r="G18">
        <v>1752</v>
      </c>
      <c r="H18" t="str">
        <f>IF(D18="","—",IF(ABS(D18-G18)&lt;1,"да","НЕТ"))</f>
        <v>НЕТ</v>
      </c>
    </row>
    <row r="19">
      <c r="A19" t="inlineStr">
        <is>
          <t xml:space="preserve">11</t>
        </is>
      </c>
      <c r="B19" t="inlineStr">
        <is>
          <t xml:space="preserve">Время</t>
        </is>
      </c>
      <c r="C19" t="inlineStr">
        <is>
          <t xml:space="preserve">Эффективное рабочее время</t>
        </is>
      </c>
      <c r="D19">
        <f>net_time</f>
        <v>1533.0</v>
      </c>
      <c r="E19" t="inlineStr">
        <is>
          <t xml:space="preserve">ч/год</t>
        </is>
      </c>
      <c r="F19" t="inlineStr">
        <is>
          <t xml:space="preserve">Рабочие дни минус отпуск и больничный, умноженные на 7 эффективных часов.</t>
        </is>
      </c>
      <c r="G19">
        <v>1533</v>
      </c>
      <c r="H19" t="str">
        <f>IF(D19="","—",IF(ABS(D19-G19)&lt;1,"да","НЕТ"))</f>
        <v>да</v>
      </c>
    </row>
    <row r="20">
      <c r="A20" t="inlineStr">
        <is>
          <t xml:space="preserve">12</t>
        </is>
      </c>
      <c r="B20" t="inlineStr">
        <is>
          <t xml:space="preserve">Время</t>
        </is>
      </c>
      <c r="C20" t="inlineStr">
        <is>
          <t xml:space="preserve">Съёмка</t>
        </is>
      </c>
      <c r="D20">
        <f>shooting_time</f>
        <v>216.6</v>
      </c>
      <c r="E20" t="inlineStr">
        <is>
          <t xml:space="preserve">ч/год</t>
        </is>
      </c>
      <c r="F20" t="inlineStr">
        <is>
          <t xml:space="preserve">Проектов за год × продолжительность одной съёмки. Единственные часы, которые клиент оплачивает напрямую.</t>
        </is>
      </c>
      <c r="G20">
        <v>216.6</v>
      </c>
      <c r="H20" t="str">
        <f>IF(D20="","—",IF(ABS(D20-G20)&lt;1,"да","НЕТ"))</f>
        <v>да</v>
      </c>
    </row>
    <row r="21">
      <c r="A21" t="inlineStr">
        <is>
          <t xml:space="preserve">13</t>
        </is>
      </c>
      <c r="B21" t="inlineStr">
        <is>
          <t xml:space="preserve">Время</t>
        </is>
      </c>
      <c r="C21" t="inlineStr">
        <is>
          <t xml:space="preserve">Постпродакшн</t>
        </is>
      </c>
      <c r="D21">
        <f>post_time</f>
        <v>649.8</v>
      </c>
      <c r="E21" t="inlineStr">
        <is>
          <t xml:space="preserve">ч/год</t>
        </is>
      </c>
      <c r="F21" t="inlineStr">
        <is>
          <t xml:space="preserve">Съёмочные часы × коэффициент обработки.</t>
        </is>
      </c>
      <c r="G21">
        <v>649.8</v>
      </c>
      <c r="H21" t="str">
        <f>IF(D21="","—",IF(ABS(D21-G21)&lt;1,"да","НЕТ"))</f>
        <v>да</v>
      </c>
    </row>
    <row r="22">
      <c r="A22" t="inlineStr">
        <is>
          <t xml:space="preserve">14</t>
        </is>
      </c>
      <c r="B22" t="inlineStr">
        <is>
          <t xml:space="preserve">Время</t>
        </is>
      </c>
      <c r="C22" t="inlineStr">
        <is>
          <t xml:space="preserve">Проектная работа с клиентами</t>
        </is>
      </c>
      <c r="D22">
        <f>client_total</f>
        <v>216.6</v>
      </c>
      <c r="E22" t="inlineStr">
        <is>
          <t xml:space="preserve">ч/год</t>
        </is>
      </c>
      <c r="F22" t="inlineStr">
        <is>
          <t xml:space="preserve">Проектов за год × время на одного клиента: обсуждение задачи, согласование условий, подготовка, передача результата.</t>
        </is>
      </c>
      <c r="G22">
        <v>216.6</v>
      </c>
      <c r="H22" t="str">
        <f>IF(D22="","—",IF(ABS(D22-G22)&lt;1,"да","НЕТ"))</f>
        <v>да</v>
      </c>
    </row>
    <row r="23">
      <c r="A23" t="inlineStr">
        <is>
          <t xml:space="preserve">15</t>
        </is>
      </c>
      <c r="B23" t="inlineStr">
        <is>
          <t xml:space="preserve">Время</t>
        </is>
      </c>
      <c r="C23" t="inlineStr">
        <is>
          <t xml:space="preserve">Поиск заказов</t>
        </is>
      </c>
      <c r="D23">
        <f>promo_time</f>
        <v>438.0</v>
      </c>
      <c r="E23" t="inlineStr">
        <is>
          <t xml:space="preserve">ч/год</t>
        </is>
      </c>
      <c r="F23" t="inlineStr">
        <is>
          <t xml:space="preserve">Часов в день на поиск заказов × рабочие дни.</t>
        </is>
      </c>
      <c r="G23">
        <v>438</v>
      </c>
      <c r="H23" t="str">
        <f>IF(D23="","—",IF(ABS(D23-G23)&lt;1,"да","НЕТ"))</f>
        <v>да</v>
      </c>
    </row>
    <row r="24">
      <c r="A24" t="inlineStr">
        <is>
          <t xml:space="preserve">16</t>
        </is>
      </c>
      <c r="B24" t="inlineStr">
        <is>
          <t xml:space="preserve">Время</t>
        </is>
      </c>
      <c r="C24" t="inlineStr">
        <is>
          <t xml:space="preserve">Учёт</t>
        </is>
      </c>
      <c r="D24">
        <f>accounting_time</f>
        <v>12.0</v>
      </c>
      <c r="E24" t="inlineStr">
        <is>
          <t xml:space="preserve">ч/год</t>
        </is>
      </c>
      <c r="F24" t="inlineStr">
        <is>
          <t xml:space="preserve">Часов в квартал × 4. Если нанят специалист — ноль, вместо часов появляются деньги.</t>
        </is>
      </c>
      <c r="G24">
        <v>12</v>
      </c>
      <c r="H24" t="str">
        <f>IF(D24="","—",IF(ABS(D24-G24)&lt;1,"да","НЕТ"))</f>
        <v>да</v>
      </c>
    </row>
    <row r="25">
      <c r="A25" t="inlineStr">
        <is>
          <t xml:space="preserve">17</t>
        </is>
      </c>
      <c r="B25" t="inlineStr">
        <is>
          <t xml:space="preserve">Время</t>
        </is>
      </c>
      <c r="C25" t="inlineStr">
        <is>
          <t xml:space="preserve">Рабочие паузы</t>
        </is>
      </c>
      <c r="D25">
        <f>idle_time</f>
        <v>219.0</v>
      </c>
      <c r="E25" t="inlineStr">
        <is>
          <t xml:space="preserve">ч/год</t>
        </is>
      </c>
      <c r="F25" t="inlineStr">
        <is>
          <t xml:space="preserve">Разница между рабочим днём и эффективным: рабочие дни × 1 час.</t>
        </is>
      </c>
      <c r="G25">
        <v>219</v>
      </c>
      <c r="H25" t="str">
        <f>IF(D25="","—",IF(ABS(D25-G25)&lt;1,"да","НЕТ"))</f>
        <v>да</v>
      </c>
    </row>
    <row r="26">
      <c r="A26" t="inlineStr">
        <is>
          <t xml:space="preserve">18</t>
        </is>
      </c>
      <c r="B26" t="inlineStr">
        <is>
          <t xml:space="preserve">Время</t>
        </is>
      </c>
      <c r="C26" t="inlineStr">
        <is>
          <t xml:space="preserve">Резерв времени на форс-мажоры</t>
        </is>
      </c>
      <c r="D26">
        <f>fm_time</f>
        <v>0.0</v>
      </c>
      <c r="E26" t="inlineStr">
        <is>
          <t xml:space="preserve">ч/год</t>
        </is>
      </c>
      <c r="F26" t="inlineStr">
        <is>
          <t xml:space="preserve">Процент от времени на заказы. По умолчанию выключен.</t>
        </is>
      </c>
      <c r="G26">
        <v>0</v>
      </c>
      <c r="H26" t="str">
        <f>IF(D26="","—",IF(ABS(D26-G26)&lt;1,"да","НЕТ"))</f>
        <v>да</v>
      </c>
    </row>
    <row r="27">
      <c r="A27" t="inlineStr">
        <is>
          <t xml:space="preserve">19</t>
        </is>
      </c>
      <c r="B27" t="inlineStr">
        <is>
          <t xml:space="preserve">Время</t>
        </is>
      </c>
      <c r="C27" t="inlineStr">
        <is>
          <t xml:space="preserve">Проектное время</t>
        </is>
      </c>
      <c r="D27">
        <f>project_pool</f>
        <v>1083.0</v>
      </c>
      <c r="E27" t="inlineStr">
        <is>
          <t xml:space="preserve">ч/год</t>
        </is>
      </c>
      <c r="F27" t="inlineStr">
        <is>
          <t xml:space="preserve">Эффективное рабочее время минус операционное время и резерв на форс-мажоры.</t>
        </is>
      </c>
      <c r="G27">
        <v>1083</v>
      </c>
      <c r="H27" t="str">
        <f>IF(D27="","—",IF(ABS(D27-G27)&lt;1,"да","НЕТ"))</f>
        <v>да</v>
      </c>
    </row>
    <row r="28">
      <c r="A28" t="inlineStr">
        <is>
          <t xml:space="preserve">20</t>
        </is>
      </c>
      <c r="B28" t="inlineStr">
        <is>
          <t xml:space="preserve">Время</t>
        </is>
      </c>
      <c r="C28" t="inlineStr">
        <is>
          <t xml:space="preserve">Съёмочных проектов</t>
        </is>
      </c>
      <c r="D28">
        <f>projects_year</f>
        <v>216.6</v>
      </c>
      <c r="E28" t="inlineStr">
        <is>
          <t xml:space="preserve">шт/год</t>
        </is>
      </c>
      <c r="F28" t="inlineStr">
        <is>
          <t xml:space="preserve">Проектное время ÷ время на один проект.</t>
        </is>
      </c>
      <c r="G28">
        <v>216.6</v>
      </c>
      <c r="H28" t="str">
        <f>IF(D28="","—",IF(ABS(D28-G28)&lt;1,"да","НЕТ"))</f>
        <v>да</v>
      </c>
    </row>
    <row r="29"/>
    <row r="30">
      <c r="A30" t="inlineStr">
        <is>
          <t xml:space="preserve">ДЕНЬГИ</t>
        </is>
      </c>
    </row>
    <row r="31">
      <c r="A31" t="inlineStr">
        <is>
          <t xml:space="preserve">21</t>
        </is>
      </c>
      <c r="B31" t="inlineStr">
        <is>
          <t xml:space="preserve">Деньги</t>
        </is>
      </c>
      <c r="C31" t="inlineStr">
        <is>
          <t xml:space="preserve">Амортизация</t>
        </is>
      </c>
      <c r="D31">
        <f>investment</f>
        <v>278687.78095238097</v>
      </c>
      <c r="E31" t="inlineStr">
        <is>
          <t xml:space="preserve">₽/год</t>
        </is>
      </c>
      <c r="F31" t="inlineStr">
        <is>
          <t xml:space="preserve">Сумма годовых долей всех разовых покупок: оборудование, ПО, рабочее место, обучение, сайт.</t>
        </is>
      </c>
      <c r="G31">
        <v>278687.78</v>
      </c>
      <c r="H31" t="str">
        <f>IF(D31="","—",IF(ABS(D31-G31)&lt;1,"да","НЕТ"))</f>
        <v>да</v>
      </c>
    </row>
    <row r="32">
      <c r="A32" t="inlineStr">
        <is>
          <t xml:space="preserve">22</t>
        </is>
      </c>
      <c r="B32" t="inlineStr">
        <is>
          <t xml:space="preserve">Деньги</t>
        </is>
      </c>
      <c r="C32" t="inlineStr">
        <is>
          <t xml:space="preserve">Текущие расходы</t>
        </is>
      </c>
      <c r="D32">
        <f>variable_costs</f>
        <v>283980.0</v>
      </c>
      <c r="E32" t="inlineStr">
        <is>
          <t xml:space="preserve">₽/год</t>
        </is>
      </c>
      <c r="F32" t="inlineStr">
        <is>
          <t xml:space="preserve">Регулярные платежи за год: подписки, реклама, банк, содержание рабочего места.</t>
        </is>
      </c>
      <c r="G32">
        <v>283980</v>
      </c>
      <c r="H32" t="str">
        <f>IF(D32="","—",IF(ABS(D32-G32)&lt;1,"да","НЕТ"))</f>
        <v>да</v>
      </c>
    </row>
    <row r="33">
      <c r="A33" t="inlineStr">
        <is>
          <t xml:space="preserve">23</t>
        </is>
      </c>
      <c r="B33" t="inlineStr">
        <is>
          <t xml:space="preserve">Деньги</t>
        </is>
      </c>
      <c r="C33" t="inlineStr">
        <is>
          <t xml:space="preserve">Расходы дела</t>
        </is>
      </c>
      <c r="D33">
        <f>total_costs</f>
        <v>562667.780952381</v>
      </c>
      <c r="E33" t="inlineStr">
        <is>
          <t xml:space="preserve">₽/год</t>
        </is>
      </c>
      <c r="F33" t="inlineStr">
        <is>
          <t xml:space="preserve">Амортизация плюс текущие расходы. Без налогов и эквайринга.</t>
        </is>
      </c>
      <c r="G33">
        <v>562667.78</v>
      </c>
      <c r="H33" t="str">
        <f>IF(D33="","—",IF(ABS(D33-G33)&lt;1,"да","НЕТ"))</f>
        <v>да</v>
      </c>
    </row>
    <row r="34">
      <c r="A34" t="inlineStr">
        <is>
          <t xml:space="preserve">24</t>
        </is>
      </c>
      <c r="B34" t="inlineStr">
        <is>
          <t xml:space="preserve">Деньги</t>
        </is>
      </c>
      <c r="C34" t="inlineStr">
        <is>
          <t xml:space="preserve">Налоги и взносы</t>
        </is>
      </c>
      <c r="D34">
        <f>CHOOSE(regime_no,'05_Расчёт'!B15,'05_Расчёт'!C15,'05_Расчёт'!D15,'05_Расчёт'!E15,'05_Расчёт'!F15,'05_Расчёт'!G15,'05_Расчёт'!H15)</f>
        <v>102126.74869731208</v>
      </c>
      <c r="E34" t="inlineStr">
        <is>
          <t xml:space="preserve">₽/год</t>
        </is>
      </c>
      <c r="F34" t="inlineStr">
        <is>
          <t xml:space="preserve">По выбранному режиму: налог плюс страховые взносы.</t>
        </is>
      </c>
      <c r="G34">
        <v>102126.75</v>
      </c>
      <c r="H34" t="str">
        <f>IF(D34="","—",IF(ABS(D34-G34)&lt;1,"да","НЕТ"))</f>
        <v>да</v>
      </c>
    </row>
    <row r="35">
      <c r="A35" t="inlineStr">
        <is>
          <t xml:space="preserve">25</t>
        </is>
      </c>
      <c r="B35" t="inlineStr">
        <is>
          <t xml:space="preserve">Деньги</t>
        </is>
      </c>
      <c r="C35" t="inlineStr">
        <is>
          <t xml:space="preserve">Эквайринг</t>
        </is>
      </c>
      <c r="D35">
        <f>'04_Итог'!B8*acquiring</f>
        <v>55148.44429654852</v>
      </c>
      <c r="E35" t="inlineStr">
        <is>
          <t xml:space="preserve">₽/год</t>
        </is>
      </c>
      <c r="F35" t="inlineStr">
        <is>
          <t xml:space="preserve">Ставка эквайринга × доля безналичных платежей × выручка.</t>
        </is>
      </c>
      <c r="G35">
        <v>55148.44</v>
      </c>
      <c r="H35" t="str">
        <f>IF(D35="","—",IF(ABS(D35-G35)&lt;1,"да","НЕТ"))</f>
        <v>да</v>
      </c>
    </row>
    <row r="36">
      <c r="A36" t="inlineStr">
        <is>
          <t xml:space="preserve">26</t>
        </is>
      </c>
      <c r="B36" t="inlineStr">
        <is>
          <t xml:space="preserve">Деньги</t>
        </is>
      </c>
      <c r="C36" t="inlineStr">
        <is>
          <t xml:space="preserve">Себестоимость часа съёмки</t>
        </is>
      </c>
      <c r="E36" t="inlineStr">
        <is>
          <t xml:space="preserve">₽/ч</t>
        </is>
      </c>
      <c r="F36" t="inlineStr">
        <is>
          <t xml:space="preserve">Все затраты дела, налоги и эквайринг ÷ съёмочные часы. в книге нет параметра — достроить.</t>
        </is>
      </c>
      <c r="G36">
        <v>3323.84</v>
      </c>
    </row>
    <row r="37">
      <c r="A37" t="inlineStr">
        <is>
          <t xml:space="preserve">27</t>
        </is>
      </c>
      <c r="B37" t="inlineStr">
        <is>
          <t xml:space="preserve">Деньги</t>
        </is>
      </c>
      <c r="C37" t="inlineStr">
        <is>
          <t xml:space="preserve">Наценка к себестоимости</t>
        </is>
      </c>
      <c r="E37" t="inlineStr">
        <is>
          <t xml:space="preserve">%</t>
        </is>
      </c>
      <c r="F37" t="inlineStr">
        <is>
          <t xml:space="preserve">На сколько процентов ставка часа выше себестоимости часа. в книге нет параметра — достроить.</t>
        </is>
      </c>
      <c r="G37">
        <v>183.71</v>
      </c>
    </row>
    <row r="38">
      <c r="A38" t="inlineStr">
        <is>
          <t xml:space="preserve">28</t>
        </is>
      </c>
      <c r="B38" t="inlineStr">
        <is>
          <t xml:space="preserve">Деньги</t>
        </is>
      </c>
      <c r="C38" t="inlineStr">
        <is>
          <t xml:space="preserve">Точка безубыточности</t>
        </is>
      </c>
      <c r="D38">
        <f>'04_Итог'!B12</f>
        <v>609607.5633286901</v>
      </c>
      <c r="E38" t="inlineStr">
        <is>
          <t xml:space="preserve">₽/год</t>
        </is>
      </c>
      <c r="F38" t="inlineStr">
        <is>
          <t xml:space="preserve">Выручка, при которой доход на руки равен нулю: покрыты только расходы и налоги.</t>
        </is>
      </c>
      <c r="G38">
        <v>609607.56</v>
      </c>
      <c r="H38" t="str">
        <f>IF(D38="","—",IF(ABS(D38-G38)&lt;1,"да","НЕТ"))</f>
        <v>да</v>
      </c>
    </row>
    <row r="39">
      <c r="A39" t="inlineStr">
        <is>
          <t xml:space="preserve">29</t>
        </is>
      </c>
      <c r="B39" t="inlineStr">
        <is>
          <t xml:space="preserve">Деньги</t>
        </is>
      </c>
      <c r="C39" t="inlineStr">
        <is>
          <t xml:space="preserve">Ставка в ноль</t>
        </is>
      </c>
      <c r="E39" t="inlineStr">
        <is>
          <t xml:space="preserve">₽/ч</t>
        </is>
      </c>
      <c r="F39" t="inlineStr">
        <is>
          <t xml:space="preserve">Точка безубыточности ÷ съёмочные часы. в книге нет параметра — достроить.</t>
        </is>
      </c>
      <c r="G39">
        <v>2814.44</v>
      </c>
    </row>
    <row r="40">
      <c r="A40" t="inlineStr">
        <is>
          <t xml:space="preserve">30</t>
        </is>
      </c>
      <c r="B40" t="inlineStr">
        <is>
          <t xml:space="preserve">Деньги</t>
        </is>
      </c>
      <c r="C40" t="inlineStr">
        <is>
          <t xml:space="preserve">Фонд развития</t>
        </is>
      </c>
      <c r="E40" t="inlineStr">
        <is>
          <t xml:space="preserve">₽/год</t>
        </is>
      </c>
      <c r="F40" t="inlineStr">
        <is>
          <t xml:space="preserve">Процент от выручки, откладываемый на развитие. в книге нет параметра — достроить.</t>
        </is>
      </c>
      <c r="G40">
        <v>0</v>
      </c>
    </row>
    <row r="41">
      <c r="A41" t="inlineStr">
        <is>
          <t xml:space="preserve">31</t>
        </is>
      </c>
      <c r="B41" t="inlineStr">
        <is>
          <t xml:space="preserve">Деньги</t>
        </is>
      </c>
      <c r="C41" t="inlineStr">
        <is>
          <t xml:space="preserve">Фонд программы лояльности</t>
        </is>
      </c>
      <c r="E41" t="inlineStr">
        <is>
          <t xml:space="preserve">₽/год</t>
        </is>
      </c>
      <c r="F41" t="inlineStr">
        <is>
          <t xml:space="preserve">Процент от выручки, заложенный на скидки и подарки клиентам. в книге нет параметра — достроить.</t>
        </is>
      </c>
      <c r="G41">
        <v>0</v>
      </c>
    </row>
    <row r="42"/>
    <row r="43">
      <c r="A43" t="inlineStr">
        <is>
          <t xml:space="preserve">ИЗНОС КАМЕРЫ</t>
        </is>
      </c>
    </row>
    <row r="44">
      <c r="A44" t="inlineStr">
        <is>
          <t xml:space="preserve">32</t>
        </is>
      </c>
      <c r="B44" t="inlineStr">
        <is>
          <t xml:space="preserve">Износ камеры</t>
        </is>
      </c>
      <c r="C44" t="inlineStr">
        <is>
          <t xml:space="preserve">Камера</t>
        </is>
      </c>
      <c r="E44" t="inlineStr">
        <is>
          <t xml:space="preserve">—</t>
        </is>
      </c>
      <c r="F44" t="inlineStr">
        <is>
          <t xml:space="preserve">Название камеры из анкеты. в книге нет параметра — достроить.</t>
        </is>
      </c>
      <c r="G44" t="inlineStr">
        <is>
          <t xml:space="preserve">Canon EOS R6 Mark II Body</t>
        </is>
      </c>
    </row>
    <row r="45">
      <c r="A45" t="inlineStr">
        <is>
          <t xml:space="preserve">33</t>
        </is>
      </c>
      <c r="B45" t="inlineStr">
        <is>
          <t xml:space="preserve">Износ камеры</t>
        </is>
      </c>
      <c r="C45" t="inlineStr">
        <is>
          <t xml:space="preserve">Стоимость камеры</t>
        </is>
      </c>
      <c r="E45" t="inlineStr">
        <is>
          <t xml:space="preserve">₽</t>
        </is>
      </c>
      <c r="F45" t="inlineStr">
        <is>
          <t xml:space="preserve">Цена покупки из анкеты. в книге нет параметра — достроить.</t>
        </is>
      </c>
      <c r="G45">
        <v>166999</v>
      </c>
    </row>
    <row r="46">
      <c r="A46" t="inlineStr">
        <is>
          <t xml:space="preserve">34</t>
        </is>
      </c>
      <c r="B46" t="inlineStr">
        <is>
          <t xml:space="preserve">Износ камеры</t>
        </is>
      </c>
      <c r="C46" t="inlineStr">
        <is>
          <t xml:space="preserve">Срок службы</t>
        </is>
      </c>
      <c r="E46" t="inlineStr">
        <is>
          <t xml:space="preserve">лет</t>
        </is>
      </c>
      <c r="F46" t="inlineStr">
        <is>
          <t xml:space="preserve">Срок из анкеты. в книге нет параметра — достроить.</t>
        </is>
      </c>
      <c r="G46">
        <v>3</v>
      </c>
    </row>
    <row r="47">
      <c r="A47" t="inlineStr">
        <is>
          <t xml:space="preserve">35</t>
        </is>
      </c>
      <c r="B47" t="inlineStr">
        <is>
          <t xml:space="preserve">Износ камеры</t>
        </is>
      </c>
      <c r="C47" t="inlineStr">
        <is>
          <t xml:space="preserve">Амортизация камеры</t>
        </is>
      </c>
      <c r="E47" t="inlineStr">
        <is>
          <t xml:space="preserve">₽/год</t>
        </is>
      </c>
      <c r="F47" t="inlineStr">
        <is>
          <t xml:space="preserve">Стоимость ÷ срок службы. в книге нет параметра — достроить.</t>
        </is>
      </c>
      <c r="G47">
        <v>55666.33</v>
      </c>
    </row>
    <row r="48">
      <c r="A48" t="inlineStr">
        <is>
          <t xml:space="preserve">36</t>
        </is>
      </c>
      <c r="B48" t="inlineStr">
        <is>
          <t xml:space="preserve">Износ камеры</t>
        </is>
      </c>
      <c r="C48" t="inlineStr">
        <is>
          <t xml:space="preserve">Ресурс затвора</t>
        </is>
      </c>
      <c r="E48" t="inlineStr">
        <is>
          <t xml:space="preserve">шт</t>
        </is>
      </c>
      <c r="F48" t="inlineStr">
        <is>
          <t xml:space="preserve">Расчётное число срабатываний по данным производителя. в книге нет параметра — достроить.</t>
        </is>
      </c>
      <c r="G48">
        <v>300000</v>
      </c>
    </row>
    <row r="49">
      <c r="A49" t="inlineStr">
        <is>
          <t xml:space="preserve">37</t>
        </is>
      </c>
      <c r="B49" t="inlineStr">
        <is>
          <t xml:space="preserve">Износ камеры</t>
        </is>
      </c>
      <c r="C49" t="inlineStr">
        <is>
          <t xml:space="preserve">Срабатываний за год</t>
        </is>
      </c>
      <c r="E49" t="inlineStr">
        <is>
          <t xml:space="preserve">шт/год</t>
        </is>
      </c>
      <c r="F49" t="inlineStr">
        <is>
          <t xml:space="preserve">Срабатываний за час съёмки × съёмочные часы. в книге нет параметра — достроить.</t>
        </is>
      </c>
      <c r="G49">
        <v>75810</v>
      </c>
    </row>
    <row r="50">
      <c r="A50" t="inlineStr">
        <is>
          <t xml:space="preserve">38</t>
        </is>
      </c>
      <c r="B50" t="inlineStr">
        <is>
          <t xml:space="preserve">Износ камеры</t>
        </is>
      </c>
      <c r="C50" t="inlineStr">
        <is>
          <t xml:space="preserve">Выработка ресурса</t>
        </is>
      </c>
      <c r="E50" t="inlineStr">
        <is>
          <t xml:space="preserve">%/год</t>
        </is>
      </c>
      <c r="F50" t="inlineStr">
        <is>
          <t xml:space="preserve">Срабатываний за год ÷ ресурс затвора. в книге нет параметра — достроить.</t>
        </is>
      </c>
      <c r="G50">
        <v>73.43</v>
      </c>
    </row>
    <row r="51"/>
    <row r="52">
      <c r="A52" t="inlineStr">
        <is>
          <t xml:space="preserve">ЗАГРУЗКА И СРАВНЕНИЕ СТАВОК</t>
        </is>
      </c>
    </row>
    <row r="53">
      <c r="A53" t="inlineStr">
        <is>
          <t xml:space="preserve">39</t>
        </is>
      </c>
      <c r="B53" t="inlineStr">
        <is>
          <t xml:space="preserve">Сравнение</t>
        </is>
      </c>
      <c r="C53" t="inlineStr">
        <is>
          <t xml:space="preserve">Текущая ставка</t>
        </is>
      </c>
      <c r="D53">
        <f>current_rate</f>
        <v>6000.0</v>
      </c>
      <c r="E53" t="inlineStr">
        <is>
          <t xml:space="preserve">₽/ч</t>
        </is>
      </c>
      <c r="F53" t="inlineStr">
        <is>
          <t xml:space="preserve">Ставка, по которой человек работает сейчас. Для сравнения.</t>
        </is>
      </c>
      <c r="G53">
        <v>6000</v>
      </c>
      <c r="H53" t="str">
        <f>IF(D53="","—",IF(ABS(D53-G53)&lt;1,"да","НЕТ"))</f>
        <v>да</v>
      </c>
    </row>
    <row r="54">
      <c r="A54" t="inlineStr">
        <is>
          <t xml:space="preserve">40</t>
        </is>
      </c>
      <c r="B54" t="inlineStr">
        <is>
          <t xml:space="preserve">Сравнение</t>
        </is>
      </c>
      <c r="C54" t="inlineStr">
        <is>
          <t xml:space="preserve">Съёмок в год при текущей ставке</t>
        </is>
      </c>
      <c r="E54" t="inlineStr">
        <is>
          <t xml:space="preserve">шт/год</t>
        </is>
      </c>
      <c r="F54" t="inlineStr">
        <is>
          <t xml:space="preserve">Сколько съёмок нужно провести при текущей ставке, чтобы получить желаемый доход. в книге нет параметра — достроить.</t>
        </is>
      </c>
      <c r="G54">
        <v>340.42</v>
      </c>
    </row>
    <row r="55">
      <c r="A55" t="inlineStr">
        <is>
          <t xml:space="preserve">41</t>
        </is>
      </c>
      <c r="B55" t="inlineStr">
        <is>
          <t xml:space="preserve">Сравнение</t>
        </is>
      </c>
      <c r="C55" t="inlineStr">
        <is>
          <t xml:space="preserve">Часов в год при текущей ставке</t>
        </is>
      </c>
      <c r="E55" t="inlineStr">
        <is>
          <t xml:space="preserve">ч/год</t>
        </is>
      </c>
      <c r="F55" t="inlineStr">
        <is>
          <t xml:space="preserve">Столько времени займут эти съёмки со всей обработкой и работой с клиентами. в книге нет параметра — достроить.</t>
        </is>
      </c>
      <c r="G55">
        <v>2152.11</v>
      </c>
    </row>
    <row r="56">
      <c r="A56" t="inlineStr">
        <is>
          <t xml:space="preserve">42</t>
        </is>
      </c>
      <c r="B56" t="inlineStr">
        <is>
          <t xml:space="preserve">Сравнение</t>
        </is>
      </c>
      <c r="C56" t="inlineStr">
        <is>
          <t xml:space="preserve">Съёмок в год при расчётной ставке</t>
        </is>
      </c>
      <c r="E56" t="inlineStr">
        <is>
          <t xml:space="preserve">шт/год</t>
        </is>
      </c>
      <c r="F56" t="inlineStr">
        <is>
          <t xml:space="preserve">То же для расчётной ставки. в книге нет параметра — достроить.</t>
        </is>
      </c>
      <c r="G56">
        <v>216.6</v>
      </c>
    </row>
    <row r="57">
      <c r="A57" t="inlineStr">
        <is>
          <t xml:space="preserve">43</t>
        </is>
      </c>
      <c r="B57" t="inlineStr">
        <is>
          <t xml:space="preserve">Сравнение</t>
        </is>
      </c>
      <c r="C57" t="inlineStr">
        <is>
          <t xml:space="preserve">Часов в год при расчётной ставке</t>
        </is>
      </c>
      <c r="E57" t="inlineStr">
        <is>
          <t xml:space="preserve">ч/год</t>
        </is>
      </c>
      <c r="F57" t="inlineStr">
        <is>
          <t xml:space="preserve">То же для расчётной ставки. в книге нет параметра — достроить.</t>
        </is>
      </c>
      <c r="G57">
        <v>1533</v>
      </c>
    </row>
    <row r="58">
      <c r="A58" t="inlineStr">
        <is>
          <t xml:space="preserve">44</t>
        </is>
      </c>
      <c r="B58" t="inlineStr">
        <is>
          <t xml:space="preserve">Сравнение</t>
        </is>
      </c>
      <c r="C58" t="inlineStr">
        <is>
          <t xml:space="preserve">Съёмок в год при ставке в ноль</t>
        </is>
      </c>
      <c r="E58" t="inlineStr">
        <is>
          <t xml:space="preserve">шт/год</t>
        </is>
      </c>
      <c r="F58" t="inlineStr">
        <is>
          <t xml:space="preserve">То же для ставки в ноль. в книге нет параметра — достроить.</t>
        </is>
      </c>
      <c r="G58">
        <v>725.73</v>
      </c>
    </row>
    <row r="59">
      <c r="A59" t="inlineStr">
        <is>
          <t xml:space="preserve">45</t>
        </is>
      </c>
      <c r="B59" t="inlineStr">
        <is>
          <t xml:space="preserve">Сравнение</t>
        </is>
      </c>
      <c r="C59" t="inlineStr">
        <is>
          <t xml:space="preserve">Часов в год при ставке в ноль</t>
        </is>
      </c>
      <c r="E59" t="inlineStr">
        <is>
          <t xml:space="preserve">ч/год</t>
        </is>
      </c>
      <c r="F59" t="inlineStr">
        <is>
          <t xml:space="preserve">То же для ставки в ноль. в книге нет параметра — достроить.</t>
        </is>
      </c>
      <c r="G59">
        <v>4078.67</v>
      </c>
    </row>
    <row r="60">
      <c r="A60" t="inlineStr">
        <is>
          <t xml:space="preserve">46</t>
        </is>
      </c>
      <c r="B60" t="inlineStr">
        <is>
          <t xml:space="preserve">Сравнение</t>
        </is>
      </c>
      <c r="C60" t="inlineStr">
        <is>
          <t xml:space="preserve">Остаётся на руки при текущей ставке</t>
        </is>
      </c>
      <c r="E60" t="inlineStr">
        <is>
          <t xml:space="preserve">₽/год</t>
        </is>
      </c>
      <c r="F60" t="inlineStr">
        <is>
          <t xml:space="preserve">Выручка по текущей ставке минус расходы дела, налоги и эквайринг. в книге нет параметра — достроить.</t>
        </is>
      </c>
      <c r="G60">
        <v>636863.02</v>
      </c>
    </row>
    <row r="61">
      <c r="A61" t="inlineStr">
        <is>
          <t xml:space="preserve">47</t>
        </is>
      </c>
      <c r="B61" t="inlineStr">
        <is>
          <t xml:space="preserve">Сравнение</t>
        </is>
      </c>
      <c r="C61" t="inlineStr">
        <is>
          <t xml:space="preserve">Недополученный доход</t>
        </is>
      </c>
      <c r="E61" t="inlineStr">
        <is>
          <t xml:space="preserve">₽/год</t>
        </is>
      </c>
      <c r="F61" t="inlineStr">
        <is>
          <t xml:space="preserve">Желаемый доход минус то  что остаётся на руки при текущей ставке: 1 322 592 − 636 863. в книге нет параметра — достроить.</t>
        </is>
      </c>
      <c r="G61">
        <v>685728.98</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2026-08-01T12:21:38Z</dcterms:created>
  <dcterms:modified xmlns:dcterms="http://purl.org/dc/terms/" xmlns:xsi="http://www.w3.org/2001/XMLSchema-instance" xsi:type="dcterms:W3CDTF">2026-08-17T14:16:26Z</dcterms:modified>
</cp:coreProperties>
</file>